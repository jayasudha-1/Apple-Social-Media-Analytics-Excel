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5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6.xml" ContentType="application/vnd.openxmlformats-officedocument.spreadsheetml.pivot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7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8.xml" ContentType="application/vnd.openxmlformats-officedocument.spreadsheetml.table+xml"/>
  <Override PartName="/xl/pivotTables/pivotTable20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oorani\Downloads\Project_Jayasudha\"/>
    </mc:Choice>
  </mc:AlternateContent>
  <xr:revisionPtr revIDLastSave="0" documentId="13_ncr:1_{A0404B99-7C16-4E10-82ED-431CD193F51A}" xr6:coauthVersionLast="47" xr6:coauthVersionMax="47" xr10:uidLastSave="{00000000-0000-0000-0000-000000000000}"/>
  <bookViews>
    <workbookView xWindow="-108" yWindow="-108" windowWidth="23256" windowHeight="12456" tabRatio="932" firstSheet="13" activeTab="28" xr2:uid="{00000000-000D-0000-FFFF-FFFF00000000}"/>
  </bookViews>
  <sheets>
    <sheet name="Task-1" sheetId="4" state="hidden" r:id="rId1"/>
    <sheet name="Task1_Cleaned_Posts" sheetId="48" r:id="rId2"/>
    <sheet name="Task1_Cleaned_Engagement" sheetId="53" r:id="rId3"/>
    <sheet name="Task1_Cleaned_Campaign" sheetId="54" r:id="rId4"/>
    <sheet name="Task-2" sheetId="7" r:id="rId5"/>
    <sheet name="Task-2.2-Top_10_Posts" sheetId="6" state="hidden" r:id="rId6"/>
    <sheet name="Sheet7" sheetId="10" state="hidden" r:id="rId7"/>
    <sheet name="Sheet9" sheetId="13" state="hidden" r:id="rId8"/>
    <sheet name="Task-3" sheetId="14" r:id="rId9"/>
    <sheet name="Task-3-Continue" sheetId="20" r:id="rId10"/>
    <sheet name="Task-4" sheetId="25" r:id="rId11"/>
    <sheet name="Detail1" sheetId="33" state="hidden" r:id="rId12"/>
    <sheet name="Task-4-Continue.." sheetId="31" r:id="rId13"/>
    <sheet name="Task 5.1" sheetId="34" r:id="rId14"/>
    <sheet name="Task 5.2" sheetId="50" r:id="rId15"/>
    <sheet name="Task-5-Insights" sheetId="51" r:id="rId16"/>
    <sheet name="Task-6.1" sheetId="36" r:id="rId17"/>
    <sheet name="Sheet36" sheetId="44" state="hidden" r:id="rId18"/>
    <sheet name="Task-6.2" sheetId="46" r:id="rId19"/>
    <sheet name="Sheet37" sheetId="45" state="hidden" r:id="rId20"/>
    <sheet name="Task-6.3" sheetId="47" r:id="rId21"/>
    <sheet name="Cleaned_Posts_Dataset" sheetId="41" r:id="rId22"/>
    <sheet name="Sheet2" sheetId="49" state="hidden" r:id="rId23"/>
    <sheet name="Task-5.4" sheetId="52" state="hidden" r:id="rId24"/>
    <sheet name="Cleaned_Engagement_Summary" sheetId="42" r:id="rId25"/>
    <sheet name="Posts" sheetId="1" state="hidden" r:id="rId26"/>
    <sheet name="Sheet12" sheetId="16" state="hidden" r:id="rId27"/>
    <sheet name="Engagement Summary" sheetId="2" state="hidden" r:id="rId28"/>
    <sheet name="Cleaned_Campaign_Metadata" sheetId="43" r:id="rId29"/>
    <sheet name="Campaign Metadata" sheetId="3" state="hidden" r:id="rId30"/>
  </sheets>
  <definedNames>
    <definedName name="_xlnm._FilterDatabase" localSheetId="24" hidden="1">Cleaned_Engagement_Summary!$A$1:$K$1</definedName>
    <definedName name="_xlnm._FilterDatabase" localSheetId="25" hidden="1">Posts!$A$1:$AA$301</definedName>
    <definedName name="_xlnm._FilterDatabase" localSheetId="2" hidden="1">Task1_Cleaned_Engagement!$A$1:$K$1</definedName>
    <definedName name="_xlnm._FilterDatabase" localSheetId="10" hidden="1">'Task-4'!#REF!</definedName>
    <definedName name="ExternalData_1" localSheetId="21" hidden="1">Cleaned_Posts_Dataset!$A$1:$M$301</definedName>
    <definedName name="ExternalData_2" localSheetId="1" hidden="1">Task1_Cleaned_Posts!$A$1:$M$301</definedName>
  </definedNames>
  <calcPr calcId="191029"/>
  <pivotCaches>
    <pivotCache cacheId="0" r:id="rId31"/>
    <pivotCache cacheId="1" r:id="rId32"/>
    <pivotCache cacheId="2" r:id="rId33"/>
    <pivotCache cacheId="3" r:id="rId34"/>
    <pivotCache cacheId="4" r:id="rId35"/>
    <pivotCache cacheId="5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1" i="53" l="1" a="1"/>
  <c r="J201" i="53" s="1"/>
  <c r="G201" i="53"/>
  <c r="J200" i="53" a="1"/>
  <c r="J200" i="53" s="1"/>
  <c r="G200" i="53"/>
  <c r="J199" i="53" a="1"/>
  <c r="J199" i="53" s="1"/>
  <c r="G199" i="53"/>
  <c r="J198" i="53" a="1"/>
  <c r="J198" i="53" s="1"/>
  <c r="G198" i="53"/>
  <c r="J197" i="53" a="1"/>
  <c r="J197" i="53" s="1"/>
  <c r="G197" i="53"/>
  <c r="J196" i="53" a="1"/>
  <c r="J196" i="53" s="1"/>
  <c r="G196" i="53"/>
  <c r="J195" i="53" a="1"/>
  <c r="J195" i="53" s="1"/>
  <c r="G195" i="53"/>
  <c r="J194" i="53" a="1"/>
  <c r="J194" i="53" s="1"/>
  <c r="G194" i="53"/>
  <c r="J193" i="53" a="1"/>
  <c r="J193" i="53" s="1"/>
  <c r="G193" i="53"/>
  <c r="J192" i="53" a="1"/>
  <c r="J192" i="53" s="1"/>
  <c r="G192" i="53"/>
  <c r="J191" i="53" a="1"/>
  <c r="J191" i="53" s="1"/>
  <c r="G191" i="53"/>
  <c r="J190" i="53" a="1"/>
  <c r="J190" i="53" s="1"/>
  <c r="G190" i="53"/>
  <c r="J189" i="53" a="1"/>
  <c r="J189" i="53" s="1"/>
  <c r="G189" i="53"/>
  <c r="J188" i="53" a="1"/>
  <c r="J188" i="53" s="1"/>
  <c r="G188" i="53"/>
  <c r="J187" i="53" a="1"/>
  <c r="J187" i="53" s="1"/>
  <c r="G187" i="53"/>
  <c r="J186" i="53" a="1"/>
  <c r="J186" i="53" s="1"/>
  <c r="G186" i="53"/>
  <c r="J185" i="53" a="1"/>
  <c r="J185" i="53" s="1"/>
  <c r="G185" i="53"/>
  <c r="J184" i="53" a="1"/>
  <c r="J184" i="53" s="1"/>
  <c r="G184" i="53"/>
  <c r="J183" i="53" a="1"/>
  <c r="J183" i="53" s="1"/>
  <c r="G183" i="53"/>
  <c r="J182" i="53" a="1"/>
  <c r="J182" i="53" s="1"/>
  <c r="G182" i="53"/>
  <c r="J181" i="53" a="1"/>
  <c r="J181" i="53" s="1"/>
  <c r="G181" i="53"/>
  <c r="J180" i="53" a="1"/>
  <c r="J180" i="53" s="1"/>
  <c r="G180" i="53"/>
  <c r="J179" i="53" a="1"/>
  <c r="J179" i="53" s="1"/>
  <c r="G179" i="53"/>
  <c r="J178" i="53" a="1"/>
  <c r="J178" i="53" s="1"/>
  <c r="G178" i="53"/>
  <c r="J177" i="53" a="1"/>
  <c r="J177" i="53" s="1"/>
  <c r="G177" i="53"/>
  <c r="J176" i="53" a="1"/>
  <c r="J176" i="53" s="1"/>
  <c r="G176" i="53"/>
  <c r="J175" i="53" a="1"/>
  <c r="J175" i="53" s="1"/>
  <c r="G175" i="53"/>
  <c r="J174" i="53" a="1"/>
  <c r="J174" i="53" s="1"/>
  <c r="G174" i="53"/>
  <c r="J173" i="53" a="1"/>
  <c r="J173" i="53" s="1"/>
  <c r="G173" i="53"/>
  <c r="J172" i="53" a="1"/>
  <c r="J172" i="53" s="1"/>
  <c r="G172" i="53"/>
  <c r="J171" i="53" a="1"/>
  <c r="J171" i="53" s="1"/>
  <c r="G171" i="53"/>
  <c r="J170" i="53" a="1"/>
  <c r="J170" i="53" s="1"/>
  <c r="G170" i="53"/>
  <c r="J169" i="53" a="1"/>
  <c r="J169" i="53" s="1"/>
  <c r="G169" i="53"/>
  <c r="J168" i="53" a="1"/>
  <c r="J168" i="53" s="1"/>
  <c r="G168" i="53"/>
  <c r="J167" i="53" a="1"/>
  <c r="J167" i="53" s="1"/>
  <c r="G167" i="53"/>
  <c r="J166" i="53" a="1"/>
  <c r="J166" i="53" s="1"/>
  <c r="G166" i="53"/>
  <c r="J165" i="53" a="1"/>
  <c r="J165" i="53" s="1"/>
  <c r="G165" i="53"/>
  <c r="J164" i="53" a="1"/>
  <c r="J164" i="53" s="1"/>
  <c r="G164" i="53"/>
  <c r="J163" i="53" a="1"/>
  <c r="J163" i="53" s="1"/>
  <c r="G163" i="53"/>
  <c r="J162" i="53" a="1"/>
  <c r="J162" i="53" s="1"/>
  <c r="G162" i="53"/>
  <c r="J161" i="53" a="1"/>
  <c r="J161" i="53" s="1"/>
  <c r="G161" i="53"/>
  <c r="J160" i="53" a="1"/>
  <c r="J160" i="53" s="1"/>
  <c r="G160" i="53"/>
  <c r="J159" i="53" a="1"/>
  <c r="J159" i="53" s="1"/>
  <c r="G159" i="53"/>
  <c r="J158" i="53" a="1"/>
  <c r="J158" i="53" s="1"/>
  <c r="G158" i="53"/>
  <c r="J157" i="53" a="1"/>
  <c r="J157" i="53" s="1"/>
  <c r="G157" i="53"/>
  <c r="J156" i="53" a="1"/>
  <c r="J156" i="53" s="1"/>
  <c r="G156" i="53"/>
  <c r="J155" i="53" a="1"/>
  <c r="J155" i="53" s="1"/>
  <c r="G155" i="53"/>
  <c r="J154" i="53" a="1"/>
  <c r="J154" i="53" s="1"/>
  <c r="G154" i="53"/>
  <c r="J153" i="53" a="1"/>
  <c r="J153" i="53" s="1"/>
  <c r="G153" i="53"/>
  <c r="J152" i="53" a="1"/>
  <c r="J152" i="53" s="1"/>
  <c r="G152" i="53"/>
  <c r="J151" i="53" a="1"/>
  <c r="J151" i="53" s="1"/>
  <c r="G151" i="53"/>
  <c r="J150" i="53" a="1"/>
  <c r="J150" i="53" s="1"/>
  <c r="G150" i="53"/>
  <c r="J149" i="53" a="1"/>
  <c r="J149" i="53" s="1"/>
  <c r="G149" i="53"/>
  <c r="J148" i="53" a="1"/>
  <c r="J148" i="53" s="1"/>
  <c r="G148" i="53"/>
  <c r="J147" i="53" a="1"/>
  <c r="J147" i="53" s="1"/>
  <c r="G147" i="53"/>
  <c r="J146" i="53" a="1"/>
  <c r="J146" i="53" s="1"/>
  <c r="G146" i="53"/>
  <c r="J145" i="53" a="1"/>
  <c r="J145" i="53" s="1"/>
  <c r="G145" i="53"/>
  <c r="J144" i="53" a="1"/>
  <c r="J144" i="53" s="1"/>
  <c r="G144" i="53"/>
  <c r="J143" i="53" a="1"/>
  <c r="J143" i="53" s="1"/>
  <c r="G143" i="53"/>
  <c r="J142" i="53" a="1"/>
  <c r="J142" i="53" s="1"/>
  <c r="G142" i="53"/>
  <c r="J141" i="53" a="1"/>
  <c r="J141" i="53" s="1"/>
  <c r="G141" i="53"/>
  <c r="J140" i="53" a="1"/>
  <c r="J140" i="53" s="1"/>
  <c r="G140" i="53"/>
  <c r="J139" i="53" a="1"/>
  <c r="J139" i="53" s="1"/>
  <c r="G139" i="53"/>
  <c r="J138" i="53" a="1"/>
  <c r="J138" i="53" s="1"/>
  <c r="G138" i="53"/>
  <c r="J137" i="53" a="1"/>
  <c r="J137" i="53" s="1"/>
  <c r="G137" i="53"/>
  <c r="J136" i="53" a="1"/>
  <c r="J136" i="53" s="1"/>
  <c r="G136" i="53"/>
  <c r="J135" i="53" a="1"/>
  <c r="J135" i="53" s="1"/>
  <c r="G135" i="53"/>
  <c r="J134" i="53" a="1"/>
  <c r="J134" i="53" s="1"/>
  <c r="G134" i="53"/>
  <c r="J133" i="53" a="1"/>
  <c r="J133" i="53" s="1"/>
  <c r="G133" i="53"/>
  <c r="J132" i="53" a="1"/>
  <c r="J132" i="53" s="1"/>
  <c r="G132" i="53"/>
  <c r="J131" i="53" a="1"/>
  <c r="J131" i="53" s="1"/>
  <c r="G131" i="53"/>
  <c r="J130" i="53" a="1"/>
  <c r="J130" i="53" s="1"/>
  <c r="G130" i="53"/>
  <c r="J129" i="53" a="1"/>
  <c r="J129" i="53" s="1"/>
  <c r="G129" i="53"/>
  <c r="J128" i="53" a="1"/>
  <c r="J128" i="53" s="1"/>
  <c r="G128" i="53"/>
  <c r="J127" i="53" a="1"/>
  <c r="J127" i="53" s="1"/>
  <c r="G127" i="53"/>
  <c r="J126" i="53" a="1"/>
  <c r="J126" i="53" s="1"/>
  <c r="G126" i="53"/>
  <c r="J125" i="53" a="1"/>
  <c r="J125" i="53" s="1"/>
  <c r="G125" i="53"/>
  <c r="J124" i="53" a="1"/>
  <c r="J124" i="53" s="1"/>
  <c r="G124" i="53"/>
  <c r="J123" i="53" a="1"/>
  <c r="J123" i="53" s="1"/>
  <c r="G123" i="53"/>
  <c r="J122" i="53" a="1"/>
  <c r="J122" i="53" s="1"/>
  <c r="G122" i="53"/>
  <c r="J121" i="53" a="1"/>
  <c r="J121" i="53" s="1"/>
  <c r="G121" i="53"/>
  <c r="J120" i="53" a="1"/>
  <c r="J120" i="53" s="1"/>
  <c r="G120" i="53"/>
  <c r="J119" i="53" a="1"/>
  <c r="J119" i="53" s="1"/>
  <c r="G119" i="53"/>
  <c r="J118" i="53" a="1"/>
  <c r="J118" i="53" s="1"/>
  <c r="G118" i="53"/>
  <c r="J117" i="53" a="1"/>
  <c r="J117" i="53" s="1"/>
  <c r="G117" i="53"/>
  <c r="J116" i="53" a="1"/>
  <c r="J116" i="53" s="1"/>
  <c r="G116" i="53"/>
  <c r="J115" i="53" a="1"/>
  <c r="J115" i="53" s="1"/>
  <c r="G115" i="53"/>
  <c r="J114" i="53" a="1"/>
  <c r="J114" i="53" s="1"/>
  <c r="G114" i="53"/>
  <c r="J113" i="53" a="1"/>
  <c r="J113" i="53" s="1"/>
  <c r="G113" i="53"/>
  <c r="J112" i="53" a="1"/>
  <c r="J112" i="53" s="1"/>
  <c r="G112" i="53"/>
  <c r="J111" i="53" a="1"/>
  <c r="J111" i="53" s="1"/>
  <c r="G111" i="53"/>
  <c r="J110" i="53" a="1"/>
  <c r="J110" i="53" s="1"/>
  <c r="G110" i="53"/>
  <c r="J109" i="53" a="1"/>
  <c r="J109" i="53" s="1"/>
  <c r="G109" i="53"/>
  <c r="J108" i="53" a="1"/>
  <c r="J108" i="53" s="1"/>
  <c r="G108" i="53"/>
  <c r="J107" i="53" a="1"/>
  <c r="J107" i="53" s="1"/>
  <c r="G107" i="53"/>
  <c r="J106" i="53" a="1"/>
  <c r="J106" i="53" s="1"/>
  <c r="G106" i="53"/>
  <c r="J105" i="53" a="1"/>
  <c r="J105" i="53" s="1"/>
  <c r="G105" i="53"/>
  <c r="J104" i="53" a="1"/>
  <c r="J104" i="53" s="1"/>
  <c r="G104" i="53"/>
  <c r="J103" i="53" a="1"/>
  <c r="J103" i="53" s="1"/>
  <c r="G103" i="53"/>
  <c r="J102" i="53" a="1"/>
  <c r="J102" i="53" s="1"/>
  <c r="G102" i="53"/>
  <c r="J101" i="53" a="1"/>
  <c r="J101" i="53" s="1"/>
  <c r="G101" i="53"/>
  <c r="J100" i="53" a="1"/>
  <c r="J100" i="53" s="1"/>
  <c r="G100" i="53"/>
  <c r="J99" i="53" a="1"/>
  <c r="J99" i="53" s="1"/>
  <c r="G99" i="53"/>
  <c r="J98" i="53" a="1"/>
  <c r="J98" i="53" s="1"/>
  <c r="G98" i="53"/>
  <c r="J97" i="53" a="1"/>
  <c r="J97" i="53" s="1"/>
  <c r="G97" i="53"/>
  <c r="J96" i="53" a="1"/>
  <c r="J96" i="53" s="1"/>
  <c r="G96" i="53"/>
  <c r="J95" i="53" a="1"/>
  <c r="J95" i="53" s="1"/>
  <c r="G95" i="53"/>
  <c r="J94" i="53" a="1"/>
  <c r="J94" i="53" s="1"/>
  <c r="G94" i="53"/>
  <c r="J93" i="53" a="1"/>
  <c r="J93" i="53" s="1"/>
  <c r="G93" i="53"/>
  <c r="J92" i="53" a="1"/>
  <c r="J92" i="53" s="1"/>
  <c r="G92" i="53"/>
  <c r="J91" i="53" a="1"/>
  <c r="J91" i="53" s="1"/>
  <c r="G91" i="53"/>
  <c r="J90" i="53" a="1"/>
  <c r="J90" i="53" s="1"/>
  <c r="G90" i="53"/>
  <c r="J89" i="53" a="1"/>
  <c r="J89" i="53" s="1"/>
  <c r="G89" i="53"/>
  <c r="J88" i="53" a="1"/>
  <c r="J88" i="53" s="1"/>
  <c r="G88" i="53"/>
  <c r="J87" i="53" a="1"/>
  <c r="J87" i="53" s="1"/>
  <c r="G87" i="53"/>
  <c r="J86" i="53" a="1"/>
  <c r="J86" i="53" s="1"/>
  <c r="G86" i="53"/>
  <c r="J85" i="53" a="1"/>
  <c r="J85" i="53" s="1"/>
  <c r="G85" i="53"/>
  <c r="J84" i="53" a="1"/>
  <c r="J84" i="53" s="1"/>
  <c r="G84" i="53"/>
  <c r="J83" i="53" a="1"/>
  <c r="J83" i="53" s="1"/>
  <c r="G83" i="53"/>
  <c r="J82" i="53" a="1"/>
  <c r="J82" i="53" s="1"/>
  <c r="G82" i="53"/>
  <c r="J81" i="53" a="1"/>
  <c r="J81" i="53" s="1"/>
  <c r="G81" i="53"/>
  <c r="J80" i="53" a="1"/>
  <c r="J80" i="53" s="1"/>
  <c r="G80" i="53"/>
  <c r="J79" i="53" a="1"/>
  <c r="J79" i="53" s="1"/>
  <c r="G79" i="53"/>
  <c r="J78" i="53" a="1"/>
  <c r="J78" i="53" s="1"/>
  <c r="G78" i="53"/>
  <c r="J77" i="53" a="1"/>
  <c r="J77" i="53" s="1"/>
  <c r="G77" i="53"/>
  <c r="J76" i="53" a="1"/>
  <c r="J76" i="53" s="1"/>
  <c r="G76" i="53"/>
  <c r="J75" i="53" a="1"/>
  <c r="J75" i="53" s="1"/>
  <c r="G75" i="53"/>
  <c r="J74" i="53" a="1"/>
  <c r="J74" i="53" s="1"/>
  <c r="G74" i="53"/>
  <c r="J73" i="53" a="1"/>
  <c r="J73" i="53" s="1"/>
  <c r="G73" i="53"/>
  <c r="J72" i="53" a="1"/>
  <c r="J72" i="53" s="1"/>
  <c r="G72" i="53"/>
  <c r="J71" i="53" a="1"/>
  <c r="J71" i="53" s="1"/>
  <c r="G71" i="53"/>
  <c r="J70" i="53" a="1"/>
  <c r="J70" i="53" s="1"/>
  <c r="G70" i="53"/>
  <c r="J69" i="53" a="1"/>
  <c r="J69" i="53" s="1"/>
  <c r="G69" i="53"/>
  <c r="J68" i="53" a="1"/>
  <c r="J68" i="53" s="1"/>
  <c r="G68" i="53"/>
  <c r="J67" i="53" a="1"/>
  <c r="J67" i="53" s="1"/>
  <c r="G67" i="53"/>
  <c r="J66" i="53" a="1"/>
  <c r="J66" i="53" s="1"/>
  <c r="G66" i="53"/>
  <c r="J65" i="53" a="1"/>
  <c r="J65" i="53" s="1"/>
  <c r="G65" i="53"/>
  <c r="J64" i="53" a="1"/>
  <c r="J64" i="53" s="1"/>
  <c r="G64" i="53"/>
  <c r="J63" i="53" a="1"/>
  <c r="J63" i="53" s="1"/>
  <c r="G63" i="53"/>
  <c r="J62" i="53" a="1"/>
  <c r="J62" i="53" s="1"/>
  <c r="G62" i="53"/>
  <c r="J61" i="53" a="1"/>
  <c r="J61" i="53" s="1"/>
  <c r="G61" i="53"/>
  <c r="J60" i="53" a="1"/>
  <c r="J60" i="53" s="1"/>
  <c r="G60" i="53"/>
  <c r="J59" i="53" a="1"/>
  <c r="J59" i="53" s="1"/>
  <c r="G59" i="53"/>
  <c r="J58" i="53" a="1"/>
  <c r="J58" i="53" s="1"/>
  <c r="G58" i="53"/>
  <c r="J57" i="53" a="1"/>
  <c r="J57" i="53" s="1"/>
  <c r="G57" i="53"/>
  <c r="J56" i="53" a="1"/>
  <c r="J56" i="53" s="1"/>
  <c r="G56" i="53"/>
  <c r="J55" i="53" a="1"/>
  <c r="J55" i="53" s="1"/>
  <c r="G55" i="53"/>
  <c r="J54" i="53" a="1"/>
  <c r="J54" i="53" s="1"/>
  <c r="G54" i="53"/>
  <c r="J53" i="53" a="1"/>
  <c r="J53" i="53" s="1"/>
  <c r="G53" i="53"/>
  <c r="J52" i="53" a="1"/>
  <c r="J52" i="53" s="1"/>
  <c r="G52" i="53"/>
  <c r="J51" i="53" a="1"/>
  <c r="J51" i="53" s="1"/>
  <c r="G51" i="53"/>
  <c r="J50" i="53" a="1"/>
  <c r="J50" i="53" s="1"/>
  <c r="G50" i="53"/>
  <c r="J49" i="53" a="1"/>
  <c r="J49" i="53" s="1"/>
  <c r="G49" i="53"/>
  <c r="J48" i="53" a="1"/>
  <c r="J48" i="53" s="1"/>
  <c r="G48" i="53"/>
  <c r="J47" i="53" a="1"/>
  <c r="J47" i="53" s="1"/>
  <c r="G47" i="53"/>
  <c r="J46" i="53" a="1"/>
  <c r="J46" i="53" s="1"/>
  <c r="G46" i="53"/>
  <c r="J45" i="53" a="1"/>
  <c r="J45" i="53" s="1"/>
  <c r="G45" i="53"/>
  <c r="J44" i="53" a="1"/>
  <c r="J44" i="53" s="1"/>
  <c r="G44" i="53"/>
  <c r="J43" i="53" a="1"/>
  <c r="J43" i="53" s="1"/>
  <c r="G43" i="53"/>
  <c r="J42" i="53" a="1"/>
  <c r="J42" i="53" s="1"/>
  <c r="G42" i="53"/>
  <c r="J41" i="53" a="1"/>
  <c r="J41" i="53" s="1"/>
  <c r="G41" i="53"/>
  <c r="J40" i="53" a="1"/>
  <c r="J40" i="53" s="1"/>
  <c r="G40" i="53"/>
  <c r="J39" i="53" a="1"/>
  <c r="J39" i="53" s="1"/>
  <c r="G39" i="53"/>
  <c r="J38" i="53" a="1"/>
  <c r="J38" i="53" s="1"/>
  <c r="G38" i="53"/>
  <c r="J37" i="53" a="1"/>
  <c r="J37" i="53" s="1"/>
  <c r="G37" i="53"/>
  <c r="J36" i="53" a="1"/>
  <c r="J36" i="53" s="1"/>
  <c r="G36" i="53"/>
  <c r="J35" i="53" a="1"/>
  <c r="J35" i="53" s="1"/>
  <c r="G35" i="53"/>
  <c r="J34" i="53" a="1"/>
  <c r="J34" i="53" s="1"/>
  <c r="G34" i="53"/>
  <c r="J33" i="53" a="1"/>
  <c r="J33" i="53" s="1"/>
  <c r="G33" i="53"/>
  <c r="J32" i="53" a="1"/>
  <c r="J32" i="53" s="1"/>
  <c r="G32" i="53"/>
  <c r="J31" i="53" a="1"/>
  <c r="J31" i="53" s="1"/>
  <c r="G31" i="53"/>
  <c r="J30" i="53" a="1"/>
  <c r="J30" i="53" s="1"/>
  <c r="G30" i="53"/>
  <c r="J29" i="53" a="1"/>
  <c r="J29" i="53" s="1"/>
  <c r="G29" i="53"/>
  <c r="J28" i="53" a="1"/>
  <c r="J28" i="53" s="1"/>
  <c r="G28" i="53"/>
  <c r="J27" i="53" a="1"/>
  <c r="J27" i="53" s="1"/>
  <c r="G27" i="53"/>
  <c r="J26" i="53" a="1"/>
  <c r="J26" i="53" s="1"/>
  <c r="G26" i="53"/>
  <c r="J25" i="53" a="1"/>
  <c r="J25" i="53" s="1"/>
  <c r="G25" i="53"/>
  <c r="J24" i="53" a="1"/>
  <c r="J24" i="53" s="1"/>
  <c r="G24" i="53"/>
  <c r="J23" i="53" a="1"/>
  <c r="J23" i="53" s="1"/>
  <c r="G23" i="53"/>
  <c r="J22" i="53" a="1"/>
  <c r="J22" i="53" s="1"/>
  <c r="G22" i="53"/>
  <c r="J21" i="53" a="1"/>
  <c r="J21" i="53" s="1"/>
  <c r="G21" i="53"/>
  <c r="J20" i="53" a="1"/>
  <c r="J20" i="53" s="1"/>
  <c r="G20" i="53"/>
  <c r="J19" i="53" a="1"/>
  <c r="J19" i="53" s="1"/>
  <c r="G19" i="53"/>
  <c r="J18" i="53" a="1"/>
  <c r="J18" i="53" s="1"/>
  <c r="G18" i="53"/>
  <c r="J17" i="53" a="1"/>
  <c r="J17" i="53" s="1"/>
  <c r="G17" i="53"/>
  <c r="J16" i="53" a="1"/>
  <c r="J16" i="53" s="1"/>
  <c r="G16" i="53"/>
  <c r="J15" i="53" a="1"/>
  <c r="J15" i="53" s="1"/>
  <c r="G15" i="53"/>
  <c r="J14" i="53" a="1"/>
  <c r="J14" i="53" s="1"/>
  <c r="G14" i="53"/>
  <c r="J13" i="53" a="1"/>
  <c r="J13" i="53" s="1"/>
  <c r="G13" i="53"/>
  <c r="J12" i="53" a="1"/>
  <c r="J12" i="53" s="1"/>
  <c r="G12" i="53"/>
  <c r="J11" i="53" a="1"/>
  <c r="J11" i="53" s="1"/>
  <c r="G11" i="53"/>
  <c r="J10" i="53" a="1"/>
  <c r="J10" i="53" s="1"/>
  <c r="G10" i="53"/>
  <c r="J9" i="53" a="1"/>
  <c r="J9" i="53" s="1"/>
  <c r="G9" i="53"/>
  <c r="J8" i="53" a="1"/>
  <c r="J8" i="53" s="1"/>
  <c r="G8" i="53"/>
  <c r="J7" i="53" a="1"/>
  <c r="J7" i="53" s="1"/>
  <c r="G7" i="53"/>
  <c r="J6" i="53" a="1"/>
  <c r="J6" i="53" s="1"/>
  <c r="G6" i="53"/>
  <c r="J5" i="53" a="1"/>
  <c r="J5" i="53" s="1"/>
  <c r="G5" i="53"/>
  <c r="J4" i="53" a="1"/>
  <c r="J4" i="53" s="1"/>
  <c r="G4" i="53"/>
  <c r="J3" i="53" a="1"/>
  <c r="J3" i="53" s="1"/>
  <c r="G3" i="53"/>
  <c r="J2" i="53" a="1"/>
  <c r="J2" i="53" s="1"/>
  <c r="G2" i="53"/>
  <c r="E9" i="50" a="1"/>
  <c r="E9" i="50" s="1"/>
  <c r="D9" i="50" a="1"/>
  <c r="D9" i="50" s="1"/>
  <c r="J3" i="42" a="1"/>
  <c r="J3" i="42"/>
  <c r="J4" i="42" a="1"/>
  <c r="J4" i="42"/>
  <c r="J5" i="42" a="1"/>
  <c r="J5" i="42"/>
  <c r="J6" i="42" a="1"/>
  <c r="J6" i="42"/>
  <c r="J7" i="42" a="1"/>
  <c r="J7" i="42"/>
  <c r="J8" i="42" a="1"/>
  <c r="J8" i="42"/>
  <c r="J9" i="42" a="1"/>
  <c r="J9" i="42"/>
  <c r="J10" i="42" a="1"/>
  <c r="J10" i="42"/>
  <c r="J11" i="42" a="1"/>
  <c r="J11" i="42"/>
  <c r="J12" i="42" a="1"/>
  <c r="J12" i="42"/>
  <c r="J13" i="42" a="1"/>
  <c r="J13" i="42"/>
  <c r="J14" i="42" a="1"/>
  <c r="J14" i="42"/>
  <c r="J15" i="42" a="1"/>
  <c r="J15" i="42"/>
  <c r="J16" i="42" a="1"/>
  <c r="J16" i="42"/>
  <c r="J17" i="42" a="1"/>
  <c r="J17" i="42"/>
  <c r="J18" i="42" a="1"/>
  <c r="J18" i="42"/>
  <c r="J19" i="42" a="1"/>
  <c r="J19" i="42"/>
  <c r="J20" i="42" a="1"/>
  <c r="J20" i="42"/>
  <c r="J21" i="42" a="1"/>
  <c r="J21" i="42"/>
  <c r="J22" i="42" a="1"/>
  <c r="J22" i="42"/>
  <c r="J23" i="42" a="1"/>
  <c r="J23" i="42"/>
  <c r="J24" i="42" a="1"/>
  <c r="J24" i="42"/>
  <c r="J25" i="42" a="1"/>
  <c r="J25" i="42"/>
  <c r="J26" i="42" a="1"/>
  <c r="J26" i="42"/>
  <c r="J27" i="42" a="1"/>
  <c r="J27" i="42"/>
  <c r="J28" i="42" a="1"/>
  <c r="J28" i="42"/>
  <c r="J29" i="42" a="1"/>
  <c r="J29" i="42"/>
  <c r="J30" i="42" a="1"/>
  <c r="J30" i="42"/>
  <c r="J31" i="42" a="1"/>
  <c r="J31" i="42"/>
  <c r="J32" i="42" a="1"/>
  <c r="J32" i="42"/>
  <c r="J33" i="42" a="1"/>
  <c r="J33" i="42"/>
  <c r="J34" i="42" a="1"/>
  <c r="J34" i="42"/>
  <c r="J35" i="42" a="1"/>
  <c r="J35" i="42"/>
  <c r="J36" i="42" a="1"/>
  <c r="J36" i="42"/>
  <c r="J37" i="42" a="1"/>
  <c r="J37" i="42"/>
  <c r="J38" i="42" a="1"/>
  <c r="J38" i="42"/>
  <c r="J39" i="42" a="1"/>
  <c r="J39" i="42"/>
  <c r="J40" i="42" a="1"/>
  <c r="J40" i="42"/>
  <c r="J41" i="42" a="1"/>
  <c r="J41" i="42"/>
  <c r="J42" i="42" a="1"/>
  <c r="J42" i="42"/>
  <c r="J43" i="42" a="1"/>
  <c r="J43" i="42"/>
  <c r="J44" i="42" a="1"/>
  <c r="J44" i="42"/>
  <c r="J45" i="42" a="1"/>
  <c r="J45" i="42"/>
  <c r="J46" i="42" a="1"/>
  <c r="J46" i="42"/>
  <c r="J47" i="42" a="1"/>
  <c r="J47" i="42"/>
  <c r="J48" i="42" a="1"/>
  <c r="J48" i="42"/>
  <c r="J49" i="42" a="1"/>
  <c r="J49" i="42"/>
  <c r="J50" i="42" a="1"/>
  <c r="J50" i="42"/>
  <c r="J51" i="42" a="1"/>
  <c r="J51" i="42"/>
  <c r="J52" i="42" a="1"/>
  <c r="J52" i="42"/>
  <c r="J53" i="42" a="1"/>
  <c r="J53" i="42"/>
  <c r="J54" i="42" a="1"/>
  <c r="J54" i="42"/>
  <c r="J55" i="42" a="1"/>
  <c r="J55" i="42"/>
  <c r="J56" i="42" a="1"/>
  <c r="J56" i="42"/>
  <c r="J57" i="42" a="1"/>
  <c r="J57" i="42"/>
  <c r="J58" i="42" a="1"/>
  <c r="J58" i="42"/>
  <c r="J59" i="42" a="1"/>
  <c r="J59" i="42"/>
  <c r="J60" i="42" a="1"/>
  <c r="J60" i="42"/>
  <c r="J61" i="42" a="1"/>
  <c r="J61" i="42"/>
  <c r="J62" i="42" a="1"/>
  <c r="J62" i="42"/>
  <c r="J63" i="42" a="1"/>
  <c r="J63" i="42"/>
  <c r="J64" i="42" a="1"/>
  <c r="J64" i="42"/>
  <c r="J65" i="42" a="1"/>
  <c r="J65" i="42"/>
  <c r="J66" i="42" a="1"/>
  <c r="J66" i="42"/>
  <c r="J67" i="42" a="1"/>
  <c r="J67" i="42"/>
  <c r="J68" i="42" a="1"/>
  <c r="J68" i="42"/>
  <c r="J69" i="42" a="1"/>
  <c r="J69" i="42"/>
  <c r="J70" i="42" a="1"/>
  <c r="J70" i="42"/>
  <c r="J71" i="42" a="1"/>
  <c r="J71" i="42"/>
  <c r="J72" i="42" a="1"/>
  <c r="J72" i="42"/>
  <c r="J73" i="42" a="1"/>
  <c r="J73" i="42"/>
  <c r="J74" i="42" a="1"/>
  <c r="J74" i="42"/>
  <c r="J75" i="42" a="1"/>
  <c r="J75" i="42"/>
  <c r="J76" i="42" a="1"/>
  <c r="J76" i="42"/>
  <c r="J77" i="42" a="1"/>
  <c r="J77" i="42"/>
  <c r="J78" i="42" a="1"/>
  <c r="J78" i="42"/>
  <c r="J79" i="42" a="1"/>
  <c r="J79" i="42"/>
  <c r="J80" i="42" a="1"/>
  <c r="J80" i="42"/>
  <c r="J81" i="42" a="1"/>
  <c r="J81" i="42"/>
  <c r="J82" i="42" a="1"/>
  <c r="J82" i="42"/>
  <c r="J83" i="42" a="1"/>
  <c r="J83" i="42"/>
  <c r="J84" i="42" a="1"/>
  <c r="J84" i="42"/>
  <c r="J85" i="42" a="1"/>
  <c r="J85" i="42"/>
  <c r="J86" i="42" a="1"/>
  <c r="J86" i="42"/>
  <c r="J87" i="42" a="1"/>
  <c r="J87" i="42"/>
  <c r="J88" i="42" a="1"/>
  <c r="J88" i="42"/>
  <c r="J89" i="42" a="1"/>
  <c r="J89" i="42"/>
  <c r="J90" i="42" a="1"/>
  <c r="J90" i="42"/>
  <c r="J91" i="42" a="1"/>
  <c r="J91" i="42"/>
  <c r="J92" i="42" a="1"/>
  <c r="J92" i="42"/>
  <c r="J93" i="42" a="1"/>
  <c r="J93" i="42"/>
  <c r="J94" i="42" a="1"/>
  <c r="J94" i="42"/>
  <c r="J95" i="42" a="1"/>
  <c r="J95" i="42"/>
  <c r="J96" i="42" a="1"/>
  <c r="J96" i="42"/>
  <c r="J97" i="42" a="1"/>
  <c r="J97" i="42"/>
  <c r="J98" i="42" a="1"/>
  <c r="J98" i="42"/>
  <c r="J99" i="42" a="1"/>
  <c r="J99" i="42"/>
  <c r="J100" i="42" a="1"/>
  <c r="J100" i="42"/>
  <c r="J101" i="42" a="1"/>
  <c r="J101" i="42"/>
  <c r="J102" i="42" a="1"/>
  <c r="J102" i="42"/>
  <c r="J103" i="42" a="1"/>
  <c r="J103" i="42"/>
  <c r="J104" i="42" a="1"/>
  <c r="J104" i="42"/>
  <c r="J105" i="42" a="1"/>
  <c r="J105" i="42"/>
  <c r="J106" i="42" a="1"/>
  <c r="J106" i="42"/>
  <c r="J107" i="42" a="1"/>
  <c r="J107" i="42"/>
  <c r="J108" i="42" a="1"/>
  <c r="J108" i="42"/>
  <c r="J109" i="42" a="1"/>
  <c r="J109" i="42"/>
  <c r="J110" i="42" a="1"/>
  <c r="J110" i="42"/>
  <c r="J111" i="42" a="1"/>
  <c r="J111" i="42"/>
  <c r="J112" i="42" a="1"/>
  <c r="J112" i="42"/>
  <c r="J113" i="42" a="1"/>
  <c r="J113" i="42"/>
  <c r="J114" i="42" a="1"/>
  <c r="J114" i="42"/>
  <c r="J115" i="42" a="1"/>
  <c r="J115" i="42"/>
  <c r="J116" i="42" a="1"/>
  <c r="J116" i="42"/>
  <c r="J117" i="42" a="1"/>
  <c r="J117" i="42"/>
  <c r="J118" i="42" a="1"/>
  <c r="J118" i="42"/>
  <c r="J119" i="42" a="1"/>
  <c r="J119" i="42"/>
  <c r="J120" i="42" a="1"/>
  <c r="J120" i="42"/>
  <c r="J121" i="42" a="1"/>
  <c r="J121" i="42"/>
  <c r="J122" i="42" a="1"/>
  <c r="J122" i="42"/>
  <c r="J123" i="42" a="1"/>
  <c r="J123" i="42"/>
  <c r="J124" i="42" a="1"/>
  <c r="J124" i="42"/>
  <c r="J125" i="42" a="1"/>
  <c r="J125" i="42"/>
  <c r="J126" i="42" a="1"/>
  <c r="J126" i="42"/>
  <c r="J127" i="42" a="1"/>
  <c r="J127" i="42"/>
  <c r="J128" i="42" a="1"/>
  <c r="J128" i="42"/>
  <c r="J129" i="42" a="1"/>
  <c r="J129" i="42"/>
  <c r="J130" i="42" a="1"/>
  <c r="J130" i="42"/>
  <c r="J131" i="42" a="1"/>
  <c r="J131" i="42"/>
  <c r="J132" i="42" a="1"/>
  <c r="J132" i="42"/>
  <c r="J133" i="42" a="1"/>
  <c r="J133" i="42"/>
  <c r="J134" i="42" a="1"/>
  <c r="J134" i="42"/>
  <c r="J135" i="42" a="1"/>
  <c r="J135" i="42"/>
  <c r="J136" i="42" a="1"/>
  <c r="J136" i="42"/>
  <c r="J137" i="42" a="1"/>
  <c r="J137" i="42"/>
  <c r="J138" i="42" a="1"/>
  <c r="J138" i="42"/>
  <c r="J139" i="42" a="1"/>
  <c r="J139" i="42"/>
  <c r="J140" i="42" a="1"/>
  <c r="J140" i="42"/>
  <c r="J141" i="42" a="1"/>
  <c r="J141" i="42"/>
  <c r="J142" i="42" a="1"/>
  <c r="J142" i="42"/>
  <c r="J143" i="42" a="1"/>
  <c r="J143" i="42"/>
  <c r="J144" i="42" a="1"/>
  <c r="J144" i="42"/>
  <c r="J145" i="42" a="1"/>
  <c r="J145" i="42"/>
  <c r="J146" i="42" a="1"/>
  <c r="J146" i="42"/>
  <c r="J147" i="42" a="1"/>
  <c r="J147" i="42"/>
  <c r="J148" i="42" a="1"/>
  <c r="J148" i="42"/>
  <c r="J149" i="42" a="1"/>
  <c r="J149" i="42"/>
  <c r="J150" i="42" a="1"/>
  <c r="J150" i="42"/>
  <c r="J151" i="42" a="1"/>
  <c r="J151" i="42"/>
  <c r="J152" i="42" a="1"/>
  <c r="J152" i="42"/>
  <c r="J153" i="42" a="1"/>
  <c r="J153" i="42"/>
  <c r="J154" i="42" a="1"/>
  <c r="J154" i="42"/>
  <c r="J155" i="42" a="1"/>
  <c r="J155" i="42"/>
  <c r="J156" i="42" a="1"/>
  <c r="J156" i="42"/>
  <c r="J157" i="42" a="1"/>
  <c r="J157" i="42"/>
  <c r="J158" i="42" a="1"/>
  <c r="J158" i="42"/>
  <c r="J159" i="42" a="1"/>
  <c r="J159" i="42"/>
  <c r="J160" i="42" a="1"/>
  <c r="J160" i="42"/>
  <c r="J161" i="42" a="1"/>
  <c r="J161" i="42"/>
  <c r="J162" i="42" a="1"/>
  <c r="J162" i="42"/>
  <c r="J163" i="42" a="1"/>
  <c r="J163" i="42"/>
  <c r="J164" i="42" a="1"/>
  <c r="J164" i="42"/>
  <c r="J165" i="42" a="1"/>
  <c r="J165" i="42"/>
  <c r="J166" i="42" a="1"/>
  <c r="J166" i="42"/>
  <c r="J167" i="42" a="1"/>
  <c r="J167" i="42"/>
  <c r="J168" i="42" a="1"/>
  <c r="J168" i="42"/>
  <c r="J169" i="42" a="1"/>
  <c r="J169" i="42"/>
  <c r="J170" i="42" a="1"/>
  <c r="J170" i="42"/>
  <c r="J171" i="42" a="1"/>
  <c r="J171" i="42"/>
  <c r="J172" i="42" a="1"/>
  <c r="J172" i="42"/>
  <c r="J173" i="42" a="1"/>
  <c r="J173" i="42"/>
  <c r="J174" i="42" a="1"/>
  <c r="J174" i="42"/>
  <c r="J175" i="42" a="1"/>
  <c r="J175" i="42"/>
  <c r="J176" i="42" a="1"/>
  <c r="J176" i="42"/>
  <c r="J177" i="42" a="1"/>
  <c r="J177" i="42"/>
  <c r="J178" i="42" a="1"/>
  <c r="J178" i="42"/>
  <c r="J179" i="42" a="1"/>
  <c r="J179" i="42"/>
  <c r="J180" i="42" a="1"/>
  <c r="J180" i="42"/>
  <c r="J181" i="42" a="1"/>
  <c r="J181" i="42"/>
  <c r="J182" i="42" a="1"/>
  <c r="J182" i="42"/>
  <c r="J183" i="42" a="1"/>
  <c r="J183" i="42"/>
  <c r="J184" i="42" a="1"/>
  <c r="J184" i="42"/>
  <c r="J185" i="42" a="1"/>
  <c r="J185" i="42"/>
  <c r="J186" i="42" a="1"/>
  <c r="J186" i="42"/>
  <c r="J187" i="42" a="1"/>
  <c r="J187" i="42"/>
  <c r="J188" i="42" a="1"/>
  <c r="J188" i="42"/>
  <c r="J189" i="42" a="1"/>
  <c r="J189" i="42"/>
  <c r="J190" i="42" a="1"/>
  <c r="J190" i="42"/>
  <c r="J191" i="42" a="1"/>
  <c r="J191" i="42"/>
  <c r="J192" i="42" a="1"/>
  <c r="J192" i="42"/>
  <c r="J193" i="42" a="1"/>
  <c r="J193" i="42"/>
  <c r="J194" i="42" a="1"/>
  <c r="J194" i="42"/>
  <c r="J195" i="42" a="1"/>
  <c r="J195" i="42"/>
  <c r="J196" i="42" a="1"/>
  <c r="J196" i="42"/>
  <c r="J197" i="42" a="1"/>
  <c r="J197" i="42"/>
  <c r="J198" i="42" a="1"/>
  <c r="J198" i="42"/>
  <c r="J199" i="42" a="1"/>
  <c r="J199" i="42"/>
  <c r="J200" i="42" a="1"/>
  <c r="J200" i="42"/>
  <c r="J201" i="42" a="1"/>
  <c r="J201" i="42"/>
  <c r="J2" i="42" a="1"/>
  <c r="J2" i="42"/>
  <c r="G2" i="42"/>
  <c r="G6" i="42"/>
  <c r="G10" i="42"/>
  <c r="G11" i="42"/>
  <c r="G14" i="42"/>
  <c r="G18" i="42"/>
  <c r="G19" i="42"/>
  <c r="G26" i="42"/>
  <c r="G27" i="42"/>
  <c r="G38" i="42"/>
  <c r="G42" i="42"/>
  <c r="G46" i="42"/>
  <c r="G47" i="42"/>
  <c r="G50" i="42"/>
  <c r="G54" i="42"/>
  <c r="G55" i="42"/>
  <c r="G58" i="42"/>
  <c r="G66" i="42"/>
  <c r="G67" i="42"/>
  <c r="G68" i="42"/>
  <c r="G70" i="42"/>
  <c r="G71" i="42"/>
  <c r="G74" i="42"/>
  <c r="G82" i="42"/>
  <c r="G83" i="42"/>
  <c r="G84" i="42"/>
  <c r="G98" i="42"/>
  <c r="G102" i="42"/>
  <c r="G103" i="42"/>
  <c r="G106" i="42"/>
  <c r="G107" i="42"/>
  <c r="G110" i="42"/>
  <c r="G114" i="42"/>
  <c r="G115" i="42"/>
  <c r="G118" i="42"/>
  <c r="G122" i="42"/>
  <c r="G130" i="42"/>
  <c r="G138" i="42"/>
  <c r="G150" i="42"/>
  <c r="G151" i="42"/>
  <c r="G154" i="42"/>
  <c r="G155" i="42"/>
  <c r="G162" i="42"/>
  <c r="G166" i="42"/>
  <c r="G174" i="42"/>
  <c r="G178" i="42"/>
  <c r="G186" i="42"/>
  <c r="G187" i="42"/>
  <c r="G188" i="42"/>
  <c r="G194" i="42"/>
  <c r="G198" i="42"/>
  <c r="G12" i="42"/>
  <c r="G20" i="42"/>
  <c r="G22" i="42"/>
  <c r="G23" i="42"/>
  <c r="G24" i="42"/>
  <c r="G30" i="42"/>
  <c r="G31" i="42"/>
  <c r="G34" i="42"/>
  <c r="G35" i="42"/>
  <c r="G39" i="42"/>
  <c r="G51" i="42"/>
  <c r="G56" i="42"/>
  <c r="G59" i="42"/>
  <c r="G62" i="42"/>
  <c r="G75" i="42"/>
  <c r="G86" i="42"/>
  <c r="G87" i="42"/>
  <c r="G90" i="42"/>
  <c r="G94" i="42"/>
  <c r="G99" i="42"/>
  <c r="G100" i="42"/>
  <c r="G104" i="42"/>
  <c r="G108" i="42"/>
  <c r="G111" i="42"/>
  <c r="G116" i="42"/>
  <c r="G119" i="42"/>
  <c r="G120" i="42"/>
  <c r="G123" i="42"/>
  <c r="G124" i="42"/>
  <c r="G126" i="42"/>
  <c r="G131" i="42"/>
  <c r="G139" i="42"/>
  <c r="G146" i="42"/>
  <c r="G147" i="42"/>
  <c r="G148" i="42"/>
  <c r="G152" i="42"/>
  <c r="G158" i="42"/>
  <c r="G163" i="42"/>
  <c r="G167" i="42"/>
  <c r="G168" i="42"/>
  <c r="G169" i="42"/>
  <c r="G170" i="42"/>
  <c r="G171" i="42"/>
  <c r="G172" i="42"/>
  <c r="G175" i="42"/>
  <c r="G179" i="42"/>
  <c r="G182" i="42"/>
  <c r="G183" i="42"/>
  <c r="G184" i="42"/>
  <c r="G185" i="42"/>
  <c r="G190" i="42"/>
  <c r="G195" i="42"/>
  <c r="G196" i="42"/>
  <c r="G199" i="42"/>
  <c r="G200" i="42"/>
  <c r="G3" i="42"/>
  <c r="G7" i="42"/>
  <c r="G8" i="42"/>
  <c r="G13" i="42"/>
  <c r="G15" i="42"/>
  <c r="G16" i="42"/>
  <c r="G21" i="42"/>
  <c r="G25" i="42"/>
  <c r="G28" i="42"/>
  <c r="G32" i="42"/>
  <c r="G36" i="42"/>
  <c r="G40" i="42"/>
  <c r="G43" i="42"/>
  <c r="G44" i="42"/>
  <c r="G52" i="42"/>
  <c r="G57" i="42"/>
  <c r="G63" i="42"/>
  <c r="G69" i="42"/>
  <c r="G72" i="42"/>
  <c r="G73" i="42"/>
  <c r="G78" i="42"/>
  <c r="G79" i="42"/>
  <c r="G80" i="42"/>
  <c r="G91" i="42"/>
  <c r="G92" i="42"/>
  <c r="G95" i="42"/>
  <c r="G96" i="42"/>
  <c r="G101" i="42"/>
  <c r="G112" i="42"/>
  <c r="G117" i="42"/>
  <c r="G125" i="42"/>
  <c r="G127" i="42"/>
  <c r="G128" i="42"/>
  <c r="G132" i="42"/>
  <c r="G134" i="42"/>
  <c r="G135" i="42"/>
  <c r="G136" i="42"/>
  <c r="G140" i="42"/>
  <c r="G141" i="42"/>
  <c r="G142" i="42"/>
  <c r="G143" i="42"/>
  <c r="G149" i="42"/>
  <c r="G153" i="42"/>
  <c r="G159" i="42"/>
  <c r="G160" i="42"/>
  <c r="G164" i="42"/>
  <c r="G176" i="42"/>
  <c r="G180" i="42"/>
  <c r="G189" i="42"/>
  <c r="G191" i="42"/>
  <c r="G192" i="42"/>
  <c r="G193" i="42"/>
  <c r="G201" i="42"/>
  <c r="G4" i="42"/>
  <c r="G5" i="42"/>
  <c r="G9" i="42"/>
  <c r="G17" i="42"/>
  <c r="G29" i="42"/>
  <c r="G33" i="42"/>
  <c r="G37" i="42"/>
  <c r="G41" i="42"/>
  <c r="G45" i="42"/>
  <c r="G48" i="42"/>
  <c r="G49" i="42"/>
  <c r="G53" i="42"/>
  <c r="G60" i="42"/>
  <c r="G61" i="42"/>
  <c r="G64" i="42"/>
  <c r="G65" i="42"/>
  <c r="G76" i="42"/>
  <c r="G77" i="42"/>
  <c r="G81" i="42"/>
  <c r="G85" i="42"/>
  <c r="G88" i="42"/>
  <c r="G89" i="42"/>
  <c r="G93" i="42"/>
  <c r="G97" i="42"/>
  <c r="G105" i="42"/>
  <c r="G109" i="42"/>
  <c r="G113" i="42"/>
  <c r="G121" i="42"/>
  <c r="G129" i="42"/>
  <c r="G133" i="42"/>
  <c r="G137" i="42"/>
  <c r="G144" i="42"/>
  <c r="G145" i="42"/>
  <c r="G156" i="42"/>
  <c r="G157" i="42"/>
  <c r="G161" i="42"/>
  <c r="G165" i="42"/>
  <c r="G173" i="42"/>
  <c r="G177" i="42"/>
  <c r="G181" i="42"/>
  <c r="G197" i="4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2" i="2"/>
  <c r="H108" i="2"/>
  <c r="H161" i="2"/>
  <c r="H162" i="2"/>
  <c r="H3" i="2"/>
  <c r="H163" i="2"/>
  <c r="H109" i="2"/>
  <c r="H110" i="2"/>
  <c r="H4" i="2"/>
  <c r="H111" i="2"/>
  <c r="H53" i="2"/>
  <c r="H5" i="2"/>
  <c r="H112" i="2"/>
  <c r="H6" i="2"/>
  <c r="H164" i="2"/>
  <c r="H113" i="2"/>
  <c r="H54" i="2"/>
  <c r="H114" i="2"/>
  <c r="H7" i="2"/>
  <c r="H8" i="2"/>
  <c r="H115" i="2"/>
  <c r="H55" i="2"/>
  <c r="H56" i="2"/>
  <c r="H57" i="2"/>
  <c r="H9" i="2"/>
  <c r="H116" i="2"/>
  <c r="H165" i="2"/>
  <c r="H10" i="2"/>
  <c r="H58" i="2"/>
  <c r="H117" i="2"/>
  <c r="H59" i="2"/>
  <c r="H166" i="2"/>
  <c r="H60" i="2"/>
  <c r="H61" i="2"/>
  <c r="H167" i="2"/>
  <c r="H118" i="2"/>
  <c r="H11" i="2"/>
  <c r="H119" i="2"/>
  <c r="H168" i="2"/>
  <c r="H62" i="2"/>
  <c r="H120" i="2"/>
  <c r="H12" i="2"/>
  <c r="H169" i="2"/>
  <c r="H121" i="2"/>
  <c r="H13" i="2"/>
  <c r="H170" i="2"/>
  <c r="H14" i="2"/>
  <c r="H171" i="2"/>
  <c r="H63" i="2"/>
  <c r="H122" i="2"/>
  <c r="H15" i="2"/>
  <c r="H172" i="2"/>
  <c r="H16" i="2"/>
  <c r="H17" i="2"/>
  <c r="H123" i="2"/>
  <c r="H64" i="2"/>
  <c r="H18" i="2"/>
  <c r="H173" i="2"/>
  <c r="H174" i="2"/>
  <c r="H65" i="2"/>
  <c r="H175" i="2"/>
  <c r="H66" i="2"/>
  <c r="H176" i="2"/>
  <c r="H124" i="2"/>
  <c r="H19" i="2"/>
  <c r="H125" i="2"/>
  <c r="H20" i="2"/>
  <c r="H21" i="2"/>
  <c r="H22" i="2"/>
  <c r="H126" i="2"/>
  <c r="H23" i="2"/>
  <c r="H127" i="2"/>
  <c r="H67" i="2"/>
  <c r="H177" i="2"/>
  <c r="H178" i="2"/>
  <c r="H24" i="2"/>
  <c r="H128" i="2"/>
  <c r="H179" i="2"/>
  <c r="H129" i="2"/>
  <c r="H130" i="2"/>
  <c r="H25" i="2"/>
  <c r="H180" i="2"/>
  <c r="H26" i="2"/>
  <c r="H27" i="2"/>
  <c r="H181" i="2"/>
  <c r="H182" i="2"/>
  <c r="H68" i="2"/>
  <c r="H69" i="2"/>
  <c r="H131" i="2"/>
  <c r="H183" i="2"/>
  <c r="H70" i="2"/>
  <c r="H132" i="2"/>
  <c r="H133" i="2"/>
  <c r="H134" i="2"/>
  <c r="H71" i="2"/>
  <c r="H184" i="2"/>
  <c r="H28" i="2"/>
  <c r="H135" i="2"/>
  <c r="H72" i="2"/>
  <c r="H73" i="2"/>
  <c r="H29" i="2"/>
  <c r="H30" i="2"/>
  <c r="H74" i="2"/>
  <c r="H185" i="2"/>
  <c r="H31" i="2"/>
  <c r="H75" i="2"/>
  <c r="H32" i="2"/>
  <c r="H186" i="2"/>
  <c r="H136" i="2"/>
  <c r="H33" i="2"/>
  <c r="H187" i="2"/>
  <c r="H76" i="2"/>
  <c r="H34" i="2"/>
  <c r="H35" i="2"/>
  <c r="H77" i="2"/>
  <c r="H137" i="2"/>
  <c r="H78" i="2"/>
  <c r="H36" i="2"/>
  <c r="H79" i="2"/>
  <c r="H188" i="2"/>
  <c r="H80" i="2"/>
  <c r="H37" i="2"/>
  <c r="H81" i="2"/>
  <c r="H138" i="2"/>
  <c r="H82" i="2"/>
  <c r="H139" i="2"/>
  <c r="H189" i="2"/>
  <c r="H140" i="2"/>
  <c r="H83" i="2"/>
  <c r="H38" i="2"/>
  <c r="H141" i="2"/>
  <c r="H190" i="2"/>
  <c r="H142" i="2"/>
  <c r="H143" i="2"/>
  <c r="H144" i="2"/>
  <c r="H191" i="2"/>
  <c r="H84" i="2"/>
  <c r="H145" i="2"/>
  <c r="H146" i="2"/>
  <c r="H39" i="2"/>
  <c r="H192" i="2"/>
  <c r="H147" i="2"/>
  <c r="H193" i="2"/>
  <c r="H148" i="2"/>
  <c r="H85" i="2"/>
  <c r="H86" i="2"/>
  <c r="H149" i="2"/>
  <c r="H87" i="2"/>
  <c r="H150" i="2"/>
  <c r="H88" i="2"/>
  <c r="H40" i="2"/>
  <c r="H41" i="2"/>
  <c r="H42" i="2"/>
  <c r="H194" i="2"/>
  <c r="H195" i="2"/>
  <c r="H43" i="2"/>
  <c r="H196" i="2"/>
  <c r="H89" i="2"/>
  <c r="H151" i="2"/>
  <c r="H152" i="2"/>
  <c r="H153" i="2"/>
  <c r="H44" i="2"/>
  <c r="H197" i="2"/>
  <c r="H90" i="2"/>
  <c r="H91" i="2"/>
  <c r="H45" i="2"/>
  <c r="H92" i="2"/>
  <c r="H93" i="2"/>
  <c r="H94" i="2"/>
  <c r="H95" i="2"/>
  <c r="H198" i="2"/>
  <c r="H96" i="2"/>
  <c r="H154" i="2"/>
  <c r="H46" i="2"/>
  <c r="H199" i="2"/>
  <c r="H97" i="2"/>
  <c r="H200" i="2"/>
  <c r="H98" i="2"/>
  <c r="H155" i="2"/>
  <c r="H47" i="2"/>
  <c r="H99" i="2"/>
  <c r="H100" i="2"/>
  <c r="H101" i="2"/>
  <c r="H102" i="2"/>
  <c r="H48" i="2"/>
  <c r="H49" i="2"/>
  <c r="H156" i="2"/>
  <c r="H50" i="2"/>
  <c r="H103" i="2"/>
  <c r="H157" i="2"/>
  <c r="H158" i="2"/>
  <c r="H159" i="2"/>
  <c r="H104" i="2"/>
  <c r="H201" i="2"/>
  <c r="H105" i="2"/>
  <c r="H51" i="2"/>
  <c r="H52" i="2"/>
  <c r="H106" i="2"/>
  <c r="H107" i="2"/>
  <c r="H160" i="2"/>
  <c r="L98" i="1"/>
  <c r="L171" i="1"/>
  <c r="L132" i="1"/>
  <c r="L300" i="1"/>
  <c r="L22" i="1"/>
  <c r="L31" i="1"/>
  <c r="L95" i="1"/>
  <c r="L184" i="1"/>
  <c r="L256" i="1"/>
  <c r="L158" i="1"/>
  <c r="L198" i="1"/>
  <c r="L254" i="1"/>
  <c r="L6" i="1"/>
  <c r="L281" i="1"/>
  <c r="L237" i="1"/>
  <c r="L265" i="1"/>
  <c r="L205" i="1"/>
  <c r="L208" i="1"/>
  <c r="L131" i="1"/>
  <c r="L245" i="1"/>
  <c r="L26" i="1"/>
  <c r="L258" i="1"/>
  <c r="L59" i="1"/>
  <c r="L105" i="1"/>
  <c r="L181" i="1"/>
  <c r="L166" i="1"/>
  <c r="L124" i="1"/>
  <c r="L241" i="1"/>
  <c r="L176" i="1"/>
  <c r="L253" i="1"/>
  <c r="L257" i="1"/>
  <c r="L239" i="1"/>
  <c r="L139" i="1"/>
  <c r="L177" i="1"/>
  <c r="L165" i="1"/>
  <c r="L108" i="1"/>
  <c r="L218" i="1"/>
  <c r="L272" i="1"/>
  <c r="L89" i="1"/>
  <c r="L75" i="1"/>
  <c r="L297" i="1"/>
  <c r="L44" i="1"/>
  <c r="L284" i="1"/>
  <c r="L62" i="1"/>
  <c r="L217" i="1"/>
  <c r="L39" i="1"/>
  <c r="L54" i="1"/>
  <c r="L236" i="1"/>
  <c r="L244" i="1"/>
  <c r="L73" i="1"/>
  <c r="L30" i="1"/>
  <c r="L141" i="1"/>
  <c r="L100" i="1"/>
  <c r="L225" i="1"/>
  <c r="L179" i="1"/>
  <c r="L168" i="1"/>
  <c r="L173" i="1"/>
  <c r="L266" i="1"/>
  <c r="L194" i="1"/>
  <c r="L91" i="1"/>
  <c r="L34" i="1"/>
  <c r="L70" i="1"/>
  <c r="L117" i="1"/>
  <c r="L178" i="1"/>
  <c r="L263" i="1"/>
  <c r="L113" i="1"/>
  <c r="L85" i="1"/>
  <c r="L50" i="1"/>
  <c r="L247" i="1"/>
  <c r="L273" i="1"/>
  <c r="L128" i="1"/>
  <c r="L93" i="1"/>
  <c r="L67" i="1"/>
  <c r="L43" i="1"/>
  <c r="L71" i="1"/>
  <c r="L28" i="1"/>
  <c r="L76" i="1"/>
  <c r="L298" i="1"/>
  <c r="L280" i="1"/>
  <c r="L23" i="1"/>
  <c r="L235" i="1"/>
  <c r="L2" i="1"/>
  <c r="L19" i="1"/>
  <c r="L99" i="1"/>
  <c r="L231" i="1"/>
  <c r="L172" i="1"/>
  <c r="L243" i="1"/>
  <c r="L88" i="1"/>
  <c r="L210" i="1"/>
  <c r="L270" i="1"/>
  <c r="L61" i="1"/>
  <c r="L129" i="1"/>
  <c r="L47" i="1"/>
  <c r="L252" i="1"/>
  <c r="L120" i="1"/>
  <c r="L242" i="1"/>
  <c r="L53" i="1"/>
  <c r="L122" i="1"/>
  <c r="L223" i="1"/>
  <c r="L96" i="1"/>
  <c r="L196" i="1"/>
  <c r="L246" i="1"/>
  <c r="L159" i="1"/>
  <c r="L80" i="1"/>
  <c r="L36" i="1"/>
  <c r="L12" i="1"/>
  <c r="L116" i="1"/>
  <c r="L78" i="1"/>
  <c r="L111" i="1"/>
  <c r="L289" i="1"/>
  <c r="L222" i="1"/>
  <c r="L201" i="1"/>
  <c r="L250" i="1"/>
  <c r="L162" i="1"/>
  <c r="L213" i="1"/>
  <c r="L200" i="1"/>
  <c r="L186" i="1"/>
  <c r="L160" i="1"/>
  <c r="L37" i="1"/>
  <c r="L248" i="1"/>
  <c r="L4" i="1"/>
  <c r="L155" i="1"/>
  <c r="L7" i="1"/>
  <c r="L195" i="1"/>
  <c r="L60" i="1"/>
  <c r="L51" i="1"/>
  <c r="L5" i="1"/>
  <c r="L125" i="1"/>
  <c r="L52" i="1"/>
  <c r="L264" i="1"/>
  <c r="L107" i="1"/>
  <c r="L74" i="1"/>
  <c r="L240" i="1"/>
  <c r="L271" i="1"/>
  <c r="L103" i="1"/>
  <c r="L21" i="1"/>
  <c r="L175" i="1"/>
  <c r="L101" i="1"/>
  <c r="L58" i="1"/>
  <c r="L18" i="1"/>
  <c r="L283" i="1"/>
  <c r="L274" i="1"/>
  <c r="L121" i="1"/>
  <c r="L109" i="1"/>
  <c r="L267" i="1"/>
  <c r="L133" i="1"/>
  <c r="L92" i="1"/>
  <c r="L57" i="1"/>
  <c r="L229" i="1"/>
  <c r="L24" i="1"/>
  <c r="L17" i="1"/>
  <c r="L55" i="1"/>
  <c r="L138" i="1"/>
  <c r="L227" i="1"/>
  <c r="L82" i="1"/>
  <c r="L232" i="1"/>
  <c r="L110" i="1"/>
  <c r="L65" i="1"/>
  <c r="L126" i="1"/>
  <c r="L64" i="1"/>
  <c r="L123" i="1"/>
  <c r="L219" i="1"/>
  <c r="L48" i="1"/>
  <c r="L16" i="1"/>
  <c r="L157" i="1"/>
  <c r="L154" i="1"/>
  <c r="L301" i="1"/>
  <c r="L90" i="1"/>
  <c r="L234" i="1"/>
  <c r="L38" i="1"/>
  <c r="L262" i="1"/>
  <c r="L190" i="1"/>
  <c r="L293" i="1"/>
  <c r="L13" i="1"/>
  <c r="L188" i="1"/>
  <c r="L187" i="1"/>
  <c r="L211" i="1"/>
  <c r="L287" i="1"/>
  <c r="L170" i="1"/>
  <c r="L145" i="1"/>
  <c r="L288" i="1"/>
  <c r="L279" i="1"/>
  <c r="L140" i="1"/>
  <c r="L87" i="1"/>
  <c r="L11" i="1"/>
  <c r="L33" i="1"/>
  <c r="L40" i="1"/>
  <c r="L299" i="1"/>
  <c r="L72" i="1"/>
  <c r="L41" i="1"/>
  <c r="L191" i="1"/>
  <c r="L212" i="1"/>
  <c r="L294" i="1"/>
  <c r="L102" i="1"/>
  <c r="L127" i="1"/>
  <c r="L20" i="1"/>
  <c r="L251" i="1"/>
  <c r="L148" i="1"/>
  <c r="L142" i="1"/>
  <c r="L259" i="1"/>
  <c r="L3" i="1"/>
  <c r="L66" i="1"/>
  <c r="L86" i="1"/>
  <c r="L118" i="1"/>
  <c r="L104" i="1"/>
  <c r="L277" i="1"/>
  <c r="L275" i="1"/>
  <c r="L163" i="1"/>
  <c r="L207" i="1"/>
  <c r="L228" i="1"/>
  <c r="L202" i="1"/>
  <c r="L189" i="1"/>
  <c r="L182" i="1"/>
  <c r="L146" i="1"/>
  <c r="L185" i="1"/>
  <c r="L29" i="1"/>
  <c r="L112" i="1"/>
  <c r="L226" i="1"/>
  <c r="L261" i="1"/>
  <c r="L25" i="1"/>
  <c r="L68" i="1"/>
  <c r="L224" i="1"/>
  <c r="L15" i="1"/>
  <c r="L84" i="1"/>
  <c r="L130" i="1"/>
  <c r="L9" i="1"/>
  <c r="L192" i="1"/>
  <c r="L114" i="1"/>
  <c r="L209" i="1"/>
  <c r="L56" i="1"/>
  <c r="L10" i="1"/>
  <c r="L83" i="1"/>
  <c r="L203" i="1"/>
  <c r="L115" i="1"/>
  <c r="L135" i="1"/>
  <c r="L296" i="1"/>
  <c r="L153" i="1"/>
  <c r="L167" i="1"/>
  <c r="L204" i="1"/>
  <c r="L150" i="1"/>
  <c r="L221" i="1"/>
  <c r="L81" i="1"/>
  <c r="L151" i="1"/>
  <c r="L27" i="1"/>
  <c r="L295" i="1"/>
  <c r="L45" i="1"/>
  <c r="L292" i="1"/>
  <c r="L79" i="1"/>
  <c r="L156" i="1"/>
  <c r="L119" i="1"/>
  <c r="L42" i="1"/>
  <c r="L206" i="1"/>
  <c r="L161" i="1"/>
  <c r="L14" i="1"/>
  <c r="L183" i="1"/>
  <c r="L278" i="1"/>
  <c r="L214" i="1"/>
  <c r="L137" i="1"/>
  <c r="L180" i="1"/>
  <c r="L46" i="1"/>
  <c r="L260" i="1"/>
  <c r="L143" i="1"/>
  <c r="L164" i="1"/>
  <c r="L77" i="1"/>
  <c r="L94" i="1"/>
  <c r="L169" i="1"/>
  <c r="L193" i="1"/>
  <c r="L144" i="1"/>
  <c r="L255" i="1"/>
  <c r="L233" i="1"/>
  <c r="L106" i="1"/>
  <c r="L147" i="1"/>
  <c r="L291" i="1"/>
  <c r="L276" i="1"/>
  <c r="L282" i="1"/>
  <c r="L63" i="1"/>
  <c r="L199" i="1"/>
  <c r="L197" i="1"/>
  <c r="L220" i="1"/>
  <c r="L286" i="1"/>
  <c r="L285" i="1"/>
  <c r="L136" i="1"/>
  <c r="L268" i="1"/>
  <c r="L134" i="1"/>
  <c r="L69" i="1"/>
  <c r="L35" i="1"/>
  <c r="L8" i="1"/>
  <c r="L238" i="1"/>
  <c r="L32" i="1"/>
  <c r="L152" i="1"/>
  <c r="L215" i="1"/>
  <c r="L290" i="1"/>
  <c r="L249" i="1"/>
  <c r="L97" i="1"/>
  <c r="L230" i="1"/>
  <c r="L149" i="1"/>
  <c r="L174" i="1"/>
  <c r="L269" i="1"/>
  <c r="L216" i="1"/>
  <c r="L49" i="1"/>
  <c r="C62" i="46"/>
  <c r="C59" i="46"/>
  <c r="C58" i="46"/>
  <c r="C75" i="46"/>
  <c r="C73" i="46"/>
  <c r="C56" i="46"/>
  <c r="C52" i="46"/>
  <c r="C69" i="46"/>
  <c r="C64" i="46"/>
  <c r="C70" i="46"/>
  <c r="C76" i="46"/>
  <c r="C61" i="46"/>
  <c r="C78" i="46"/>
  <c r="C71" i="46"/>
  <c r="C80" i="46"/>
  <c r="C74" i="46"/>
  <c r="C60" i="46"/>
  <c r="C53" i="46"/>
  <c r="C55" i="46"/>
  <c r="C65" i="46"/>
  <c r="C67" i="46"/>
  <c r="C77" i="46"/>
  <c r="C79" i="46"/>
  <c r="C68" i="46"/>
  <c r="C72" i="46"/>
  <c r="C54" i="46"/>
  <c r="C66" i="46"/>
  <c r="C57" i="46"/>
  <c r="C63" i="46"/>
  <c r="D63" i="46"/>
  <c r="E79" i="46"/>
  <c r="D60" i="46"/>
  <c r="E76" i="46"/>
  <c r="E73" i="46"/>
  <c r="E77" i="46"/>
  <c r="E75" i="46"/>
  <c r="D77" i="46"/>
  <c r="D75" i="46"/>
  <c r="D67" i="46"/>
  <c r="E64" i="46"/>
  <c r="E67" i="46"/>
  <c r="D58" i="46"/>
  <c r="D65" i="46"/>
  <c r="E59" i="46"/>
  <c r="E65" i="46"/>
  <c r="D59" i="46"/>
  <c r="D55" i="46"/>
  <c r="E62" i="46"/>
  <c r="E55" i="46"/>
  <c r="D62" i="46"/>
  <c r="D61" i="46"/>
  <c r="D68" i="46"/>
  <c r="E63" i="46"/>
  <c r="D79" i="46"/>
  <c r="E60" i="46"/>
  <c r="D76" i="46"/>
  <c r="D73" i="46"/>
  <c r="E57" i="46"/>
  <c r="E74" i="46"/>
  <c r="E70" i="46"/>
  <c r="D57" i="46"/>
  <c r="D74" i="46"/>
  <c r="D70" i="46"/>
  <c r="D66" i="46"/>
  <c r="E80" i="46"/>
  <c r="E58" i="46"/>
  <c r="E66" i="46"/>
  <c r="D80" i="46"/>
  <c r="D64" i="46"/>
  <c r="D54" i="46"/>
  <c r="E71" i="46"/>
  <c r="E69" i="46"/>
  <c r="E54" i="46"/>
  <c r="D71" i="46"/>
  <c r="D69" i="46"/>
  <c r="D72" i="46"/>
  <c r="E78" i="46"/>
  <c r="E52" i="46"/>
  <c r="E72" i="46"/>
  <c r="D78" i="46"/>
  <c r="D52" i="46"/>
  <c r="E68" i="46"/>
  <c r="D53" i="46"/>
  <c r="E56" i="46"/>
  <c r="E53" i="46"/>
  <c r="E61" i="46"/>
  <c r="D56" i="4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E1938A-63A8-4BA5-97C7-95F9CEEC1C6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C531252-19B7-424C-AD25-5FA4403ACB0C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B4C2C9E3-2143-4355-9BAE-567F7D414D17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D0C957D2-2F4B-4B2A-AAA6-24C8370AC129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5" xr16:uid="{A5B53883-73A3-4635-8496-D94108ECDE56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<sst xmlns="http://schemas.openxmlformats.org/spreadsheetml/2006/main" count="6900" uniqueCount="494">
  <si>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</si>
  <si>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</si>
  <si>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</si>
  <si>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</si>
  <si>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</si>
  <si>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</si>
  <si>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</si>
  <si>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</si>
  <si>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</si>
  <si>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</si>
  <si>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</si>
  <si>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</si>
  <si>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</si>
  <si>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</si>
  <si>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</si>
  <si>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</si>
  <si>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</si>
  <si>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</si>
  <si>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</si>
  <si>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</si>
  <si>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</si>
  <si>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Tweet</t>
  </si>
  <si>
    <t>Sustainability Awareness Drive</t>
  </si>
  <si>
    <t>A4</t>
  </si>
  <si>
    <t>Video</t>
  </si>
  <si>
    <t>iPhone 16 Launch</t>
  </si>
  <si>
    <t>A5</t>
  </si>
  <si>
    <t>A6</t>
  </si>
  <si>
    <t>#ShotOniPhone</t>
  </si>
  <si>
    <t>A7</t>
  </si>
  <si>
    <t>Carousel</t>
  </si>
  <si>
    <t>A8</t>
  </si>
  <si>
    <t>A9</t>
  </si>
  <si>
    <t>A10</t>
  </si>
  <si>
    <t>Twitter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</si>
  <si>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</si>
  <si>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</si>
  <si>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</si>
  <si>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</si>
  <si>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</si>
  <si>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</si>
  <si>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</si>
  <si>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</si>
  <si>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</si>
  <si>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</si>
  <si>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</si>
  <si>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</si>
  <si>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</si>
  <si>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</si>
  <si>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</si>
  <si>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</si>
  <si>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</si>
  <si>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</si>
  <si>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</si>
  <si>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</si>
  <si>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</si>
  <si>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</si>
  <si>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</si>
  <si>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</si>
  <si>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</si>
  <si>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</si>
  <si>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</si>
  <si>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</si>
  <si>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</si>
  <si>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</si>
  <si>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</si>
  <si>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</si>
  <si>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</si>
  <si>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</si>
  <si>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</si>
  <si>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</si>
  <si>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</si>
  <si>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</si>
  <si>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</si>
  <si>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</si>
  <si>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</si>
  <si>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</si>
  <si>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</si>
  <si>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</si>
  <si>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</si>
  <si>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</si>
  <si>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</si>
  <si>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</si>
  <si>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</si>
  <si>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</si>
  <si>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</si>
  <si>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</si>
  <si>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</si>
  <si>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</si>
  <si>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</si>
  <si>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</si>
  <si>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</si>
  <si>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</si>
  <si>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</si>
  <si>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</si>
  <si>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</si>
  <si>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</si>
  <si>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</si>
  <si>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</si>
  <si>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</si>
  <si>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</si>
  <si>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</si>
  <si>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</si>
  <si>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</si>
  <si>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</si>
  <si>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</si>
  <si>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</si>
  <si>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</si>
  <si>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</si>
  <si>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</si>
  <si>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</si>
  <si>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</si>
  <si>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</si>
  <si>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</si>
  <si>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</si>
  <si>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</si>
  <si>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</si>
  <si>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</si>
  <si>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</si>
  <si>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</si>
  <si>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</si>
  <si>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</si>
  <si>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</si>
  <si>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</si>
  <si>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</si>
  <si>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</si>
  <si>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</si>
  <si>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</si>
  <si>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</si>
  <si>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</si>
  <si>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</si>
  <si>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</si>
  <si>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</si>
  <si>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</si>
  <si>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</si>
  <si>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</si>
  <si>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</si>
  <si>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</si>
  <si>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</si>
  <si>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</si>
  <si>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</si>
  <si>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</si>
  <si>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</si>
  <si>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</si>
  <si>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</si>
  <si>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</si>
  <si>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</si>
  <si>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</si>
  <si>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</si>
  <si>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</si>
  <si>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</si>
  <si>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</si>
  <si>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</si>
  <si>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</si>
  <si>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</si>
  <si>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</si>
  <si>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</si>
  <si>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</si>
  <si>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</si>
  <si>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</si>
  <si>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</si>
  <si>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</si>
  <si>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</si>
  <si>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</si>
  <si>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</si>
  <si>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</si>
  <si>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</si>
  <si>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</si>
  <si>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</si>
  <si>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</si>
  <si>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</si>
  <si>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</si>
  <si>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</si>
  <si>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</si>
  <si>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</si>
  <si>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</si>
  <si>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</si>
  <si>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</si>
  <si>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</si>
  <si>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</si>
  <si>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</si>
  <si>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</si>
  <si>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</si>
  <si>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</si>
  <si>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</si>
  <si>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</si>
  <si>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</si>
  <si>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</si>
  <si>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</si>
  <si>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</si>
  <si>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</si>
  <si>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</si>
  <si>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</si>
  <si>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</si>
  <si>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</si>
  <si>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</si>
  <si>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</si>
  <si>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</si>
  <si>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</si>
  <si>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</si>
  <si>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</si>
  <si>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</si>
  <si>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</si>
  <si>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</si>
  <si>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</si>
  <si>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</si>
  <si>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</si>
  <si>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</si>
  <si>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</si>
  <si>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</si>
  <si>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</si>
  <si>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</si>
  <si>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</si>
  <si>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</si>
  <si>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</si>
  <si>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</si>
  <si>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</si>
  <si>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</si>
  <si>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</si>
  <si>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</si>
  <si>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</si>
  <si>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</si>
  <si>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</si>
  <si>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</si>
  <si>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</si>
  <si>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</si>
  <si>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</si>
  <si>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</si>
  <si>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</si>
  <si>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</si>
  <si>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</si>
  <si>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</si>
  <si>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</si>
  <si>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</si>
  <si>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</si>
  <si>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</si>
  <si>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</si>
  <si>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</si>
  <si>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</si>
  <si>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</si>
  <si>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</si>
  <si>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</si>
  <si>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</si>
  <si>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</si>
  <si>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</si>
  <si>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</si>
  <si>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</si>
  <si>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</si>
  <si>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</si>
  <si>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</si>
  <si>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</si>
  <si>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</si>
  <si>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</si>
  <si>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</si>
  <si>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</si>
  <si>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</si>
  <si>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</si>
  <si>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</si>
  <si>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</si>
  <si>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</si>
  <si>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</si>
  <si>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</si>
  <si>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</si>
  <si>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</si>
  <si>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</si>
  <si>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</si>
  <si>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</si>
  <si>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</si>
  <si>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</si>
  <si>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</si>
  <si>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</si>
  <si>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</si>
  <si>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</si>
  <si>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</si>
  <si>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</si>
  <si>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</si>
  <si>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</si>
  <si>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</si>
  <si>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</si>
  <si>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</si>
  <si>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</si>
  <si>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</si>
  <si>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</si>
  <si>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</si>
  <si>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</si>
  <si>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</si>
  <si>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</si>
  <si>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</si>
  <si>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</si>
  <si>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</si>
  <si>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</si>
  <si>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</si>
  <si>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</si>
  <si>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</si>
  <si>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</si>
  <si>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</si>
  <si>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</si>
  <si>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</si>
  <si>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</si>
  <si>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</si>
  <si>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</si>
  <si>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</si>
  <si>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</si>
  <si>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</si>
  <si>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</si>
  <si>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</si>
  <si>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</si>
  <si>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</si>
  <si>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</si>
  <si>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</si>
  <si>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</si>
  <si>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</si>
  <si>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</si>
  <si>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</si>
  <si>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</si>
  <si>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</si>
  <si>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</si>
  <si>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</si>
  <si>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</si>
  <si>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</si>
  <si>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</si>
  <si>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</si>
  <si>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</si>
  <si>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</si>
  <si>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</si>
  <si>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</si>
  <si>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</si>
  <si>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</si>
  <si>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</si>
  <si>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</si>
  <si>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</si>
  <si>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</si>
  <si>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</si>
  <si>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</si>
  <si>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</si>
  <si>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</si>
  <si>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</si>
  <si>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</si>
  <si>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</si>
  <si>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</si>
  <si>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</si>
  <si>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</si>
  <si>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</si>
  <si>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#AppleWatchUltra2, #HealthTech</t>
  </si>
  <si>
    <t>#MacBookAirM3, #AppleInnovation</t>
  </si>
  <si>
    <t>#AppleDesign, #Innovation</t>
  </si>
  <si>
    <t>#AppleEvent, #iPadPro</t>
  </si>
  <si>
    <t>#AppleMusic, #AppleLifestyle</t>
  </si>
  <si>
    <t>#AppleWatch, #Health</t>
  </si>
  <si>
    <t>#iPhone16Launch, #AppleEvent</t>
  </si>
  <si>
    <t>#AppleEvent, #iPhone16</t>
  </si>
  <si>
    <t>#iPhonePhotography, #ShotOniPhone</t>
  </si>
  <si>
    <t>#Sustainability, #AppleEarth</t>
  </si>
  <si>
    <t>EngagementRate</t>
  </si>
  <si>
    <t>Using the Posts Dataset:</t>
  </si>
  <si>
    <t>● Calculate average engagement rate per platform:</t>
  </si>
  <si>
    <t>Engagement Rate = (Likes + Shares + Comments) / Impressions</t>
  </si>
  <si>
    <t>● Identify Top 10 Apple posts with highest engagement.</t>
  </si>
  <si>
    <t>● Create a pivot table showing:</t>
  </si>
  <si>
    <t>○ Total Likes, Shares, Comments by Content Type &amp; Platform</t>
  </si>
  <si>
    <t>○ Average Clicks per post by Hashtag</t>
  </si>
  <si>
    <t>● Highlight top-performing hashtags such as #ShotOniPhone, #AppleEvent, #iPhone16Launch, #MacBookAir.</t>
  </si>
  <si>
    <t>Row Labels</t>
  </si>
  <si>
    <t>(blank)</t>
  </si>
  <si>
    <t>Grand Total</t>
  </si>
  <si>
    <t>Average of EngagementRate</t>
  </si>
  <si>
    <t>Column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</si>
  <si>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</si>
  <si>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</si>
  <si>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</si>
  <si>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</si>
  <si>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</si>
  <si>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</si>
  <si>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Sum of Clicks</t>
  </si>
  <si>
    <t>Average of Clicks</t>
  </si>
  <si>
    <t>Average Clicks per post by Hashtag</t>
  </si>
  <si>
    <t>Highlight top-performing hashtags such as #ShotOniPhone, #AppleEvent, #iPhone16Launch, #MacBookAir.</t>
  </si>
  <si>
    <t>Follower_Growth_Rate</t>
  </si>
  <si>
    <t>Sum of Follower_Growth_Rate</t>
  </si>
  <si>
    <t>Compare Follower Growth Rates Across Platforms</t>
  </si>
  <si>
    <t>Identify the platform with highest engagement (e.g., Twitter for announcements vs. YouTube for product demos).</t>
  </si>
  <si>
    <t>Visualize Engagement vs. Ad Spend per platform.</t>
  </si>
  <si>
    <t>Average of Follower_Growth_Rate</t>
  </si>
  <si>
    <t>Count of Hashtags</t>
  </si>
  <si>
    <t>Compare average performance of posts containing each hashtag.</t>
  </si>
  <si>
    <t>Identify the most frequently used Apple hashtags</t>
  </si>
  <si>
    <t>Compare content performance:</t>
  </si>
  <si>
    <t xml:space="preserve"> Videos (launch events, ads, product demos)</t>
  </si>
  <si>
    <t xml:space="preserve"> Images (product close-ups, lifestyle shots)</t>
  </si>
  <si>
    <t xml:space="preserve"> Carousels (feature highlights, comparisons)</t>
  </si>
  <si>
    <t>Details for Sum of Likes - Platform: LinkedIn, ContentType: Tweet</t>
  </si>
  <si>
    <t>Carousel for Twitter</t>
  </si>
  <si>
    <t>Image for LinkedIn</t>
  </si>
  <si>
    <t>Tweet for LinkedIn</t>
  </si>
  <si>
    <t>Video for YouTube</t>
  </si>
  <si>
    <t>My Recommendation:</t>
  </si>
  <si>
    <t>Sum of Impressions</t>
  </si>
  <si>
    <t>Average of Likes</t>
  </si>
  <si>
    <t>Average of Impressions</t>
  </si>
  <si>
    <t>Total &amp; Average Impressions,Likes,Clicks per Campaign</t>
  </si>
  <si>
    <t>F_Growth_rate</t>
  </si>
  <si>
    <t>Sum of New_Followers</t>
  </si>
  <si>
    <t>Identify the Peak Week of Follower Gain</t>
  </si>
  <si>
    <t>NewFollower-Unfollower</t>
  </si>
  <si>
    <t>Sum of NewFollower-Unfollower</t>
  </si>
  <si>
    <t>Engagement_Rate_100</t>
  </si>
  <si>
    <t>&lt;03-06-2024</t>
  </si>
  <si>
    <t>Forecast(Sum of NewFollower-Unfollower)</t>
  </si>
  <si>
    <t>Lower Confidence Bound(Sum of NewFollower-Unfollower)</t>
  </si>
  <si>
    <t>Upper Confidence Bound(Sum of NewFollower-Unfollower)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</si>
  <si>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</si>
  <si>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</si>
  <si>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</si>
  <si>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</si>
  <si>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</si>
  <si>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</si>
  <si>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</si>
  <si>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</si>
  <si>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</si>
  <si>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</si>
  <si>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</si>
  <si>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</si>
  <si>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Month</t>
  </si>
  <si>
    <t>Average_Ad_Spend</t>
  </si>
  <si>
    <t>Average_Follower_Growth_Rate</t>
  </si>
  <si>
    <t>Correlate ad spend vs. follower growth using scatter plots.</t>
  </si>
  <si>
    <t xml:space="preserve">Task 1: Data Preprocessing &amp; Cleaning (12 Marks) </t>
  </si>
  <si>
    <t xml:space="preserve">● Remove duplicate Tesla posts. </t>
  </si>
  <si>
    <t xml:space="preserve">● Standardize date &amp; platform names. </t>
  </si>
  <si>
    <t xml:space="preserve">● Format numeric columns (Likes, Reach, Impressions, Ad Spend). </t>
  </si>
  <si>
    <t xml:space="preserve">● Split hashtags (e.g., #ShotOniPhone, #iPhone16, #AppleEvent) into separate tags for </t>
  </si>
  <si>
    <t>analysis.</t>
  </si>
  <si>
    <t>Also, I have formatted datas. Date format is done. Likes,shares ,etc in number format with comma(,). No duplicate is found. Spitted the hashtags with Find and replace method</t>
  </si>
  <si>
    <t>Pivot table is used, Engagement rate is calculated with the given formula and converted into % percentage format</t>
  </si>
  <si>
    <t>Twitter has higher engagement rate among all platforms</t>
  </si>
  <si>
    <t>Sorting is used based on the Engagement rate. Copied the postID for the top 10 platform</t>
  </si>
  <si>
    <t>The top 10 post IDs are A82, A201, A121, A127, A13, A123, A287, A226, A231, and A185.</t>
  </si>
  <si>
    <t>Pivot table, Conditional Formatting method is used</t>
  </si>
  <si>
    <t>LinkedIn has highest number of likes, shares, comments</t>
  </si>
  <si>
    <t>Pivot table is used. Highlighted the top 5 hashtags based on the average_clicks.</t>
  </si>
  <si>
    <t xml:space="preserve">Power query is used in the post dataset which is cleaned. Copied </t>
  </si>
  <si>
    <t>Power query is used in the post dataset which is cleaned</t>
  </si>
  <si>
    <t>Also, I have formatted datas. Date format is done. Likes,shares ,etc in number format with comma(,).</t>
  </si>
  <si>
    <t>No duplicate is found. Splitted the hashtags with Find and replace method.</t>
  </si>
  <si>
    <t>Pivot table, Conditional Formatting, pivot chart is used.</t>
  </si>
  <si>
    <t>Twitter has the highest engagement rate across all campaigns mostly.</t>
  </si>
  <si>
    <t>Average of Engagement_Rate</t>
  </si>
  <si>
    <t>Average of Ad_Spend</t>
  </si>
  <si>
    <r>
      <t xml:space="preserve">This suggests that </t>
    </r>
    <r>
      <rPr>
        <b/>
        <sz val="12"/>
        <color theme="1"/>
        <rFont val="Calibri"/>
        <family val="2"/>
        <scheme val="minor"/>
      </rPr>
      <t>YouTube and Twitter deliver better engagement efficiency</t>
    </r>
    <r>
      <rPr>
        <sz val="12"/>
        <color theme="1"/>
        <rFont val="Calibri"/>
        <family val="2"/>
        <scheme val="minor"/>
      </rPr>
      <t xml:space="preserve"> compared to other platforms.</t>
    </r>
  </si>
  <si>
    <t>Pivot table, Conditional Formatting, Scatter plot chart is used.</t>
  </si>
  <si>
    <r>
      <t xml:space="preserve">The </t>
    </r>
    <r>
      <rPr>
        <b/>
        <sz val="14"/>
        <color theme="1"/>
        <rFont val="Calibri"/>
        <family val="2"/>
        <scheme val="minor"/>
      </rPr>
      <t>scatter plot</t>
    </r>
    <r>
      <rPr>
        <sz val="14"/>
        <color theme="1"/>
        <rFont val="Calibri"/>
        <family val="2"/>
        <scheme val="minor"/>
      </rPr>
      <t xml:space="preserve"> is what actually </t>
    </r>
    <r>
      <rPr>
        <b/>
        <sz val="14"/>
        <color theme="1"/>
        <rFont val="Calibri"/>
        <family val="2"/>
        <scheme val="minor"/>
      </rPr>
      <t>visualizes</t>
    </r>
    <r>
      <rPr>
        <sz val="14"/>
        <color theme="1"/>
        <rFont val="Calibri"/>
        <family val="2"/>
        <scheme val="minor"/>
      </rPr>
      <t xml:space="preserve"> the relationship between Engagement Rate and Ad Spend.</t>
    </r>
  </si>
  <si>
    <r>
      <t xml:space="preserve">This suggests that </t>
    </r>
    <r>
      <rPr>
        <b/>
        <sz val="14"/>
        <color theme="1"/>
        <rFont val="Calibri"/>
        <family val="2"/>
        <scheme val="minor"/>
      </rPr>
      <t>YouTube and Twitter deliver better engagement efficiency</t>
    </r>
    <r>
      <rPr>
        <sz val="14"/>
        <color theme="1"/>
        <rFont val="Calibri"/>
        <family val="2"/>
        <scheme val="minor"/>
      </rPr>
      <t xml:space="preserve"> compared to other platforms.</t>
    </r>
  </si>
  <si>
    <r>
      <rPr>
        <b/>
        <sz val="12"/>
        <color theme="1"/>
        <rFont val="Calibri"/>
        <family val="2"/>
        <scheme val="minor"/>
      </rPr>
      <t>YouTube</t>
    </r>
    <r>
      <rPr>
        <sz val="12"/>
        <color theme="1"/>
        <rFont val="Calibri"/>
        <family val="2"/>
        <scheme val="minor"/>
      </rPr>
      <t xml:space="preserve"> has the highest follower growth rate at </t>
    </r>
    <r>
      <rPr>
        <b/>
        <sz val="12"/>
        <color theme="1"/>
        <rFont val="Calibri"/>
        <family val="2"/>
        <scheme val="minor"/>
      </rPr>
      <t>1.42%</t>
    </r>
    <r>
      <rPr>
        <sz val="12"/>
        <color theme="1"/>
        <rFont val="Calibri"/>
        <family val="2"/>
        <scheme val="minor"/>
      </rPr>
      <t xml:space="preserve">, followed by </t>
    </r>
    <r>
      <rPr>
        <b/>
        <sz val="12"/>
        <color theme="1"/>
        <rFont val="Calibri"/>
        <family val="2"/>
        <scheme val="minor"/>
      </rPr>
      <t>Twitter (1.38%)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Instagram (1.20%)</t>
    </r>
    <r>
      <rPr>
        <sz val="12"/>
        <color theme="1"/>
        <rFont val="Calibri"/>
        <family val="2"/>
        <scheme val="minor"/>
      </rPr>
      <t xml:space="preserve">, and </t>
    </r>
    <r>
      <rPr>
        <b/>
        <sz val="12"/>
        <color theme="1"/>
        <rFont val="Calibri"/>
        <family val="2"/>
        <scheme val="minor"/>
      </rPr>
      <t>LinkedIn (0.94%)</t>
    </r>
    <r>
      <rPr>
        <sz val="12"/>
        <color theme="1"/>
        <rFont val="Calibri"/>
        <family val="2"/>
        <scheme val="minor"/>
      </rPr>
      <t>.</t>
    </r>
  </si>
  <si>
    <t>Advise Apple’s team: Should they focus on YouTube + Instagram (videos + visuals) or continue a multi-platform strategy?</t>
  </si>
  <si>
    <t>Pivot table, Conditional Formatting is used</t>
  </si>
  <si>
    <r>
      <rPr>
        <b/>
        <sz val="12"/>
        <color theme="1"/>
        <rFont val="Calibri"/>
        <family val="2"/>
        <scheme val="minor"/>
      </rPr>
      <t>#AppleWatch, #Health</t>
    </r>
    <r>
      <rPr>
        <sz val="12"/>
        <color theme="1"/>
        <rFont val="Calibri"/>
        <family val="2"/>
        <scheme val="minor"/>
      </rPr>
      <t xml:space="preserve"> hashtag is the most frequently used one with count 37</t>
    </r>
  </si>
  <si>
    <t>Recommend which content type performs best on each platform(e.g., videos for YouTube, product images for Instagram).</t>
  </si>
  <si>
    <t>Videos achieved the highest average engagement rate (13.93%), followed by carousels (12.25%) and images (11.55%).</t>
  </si>
  <si>
    <t xml:space="preserve"> While tweets performed the lowest at 11.36%, indicating that video content drives the most audience interaction.</t>
  </si>
  <si>
    <t>Pivot table is used</t>
  </si>
  <si>
    <t>Highlighted top 1% with conditional formatting cell-Sum with yellow and Average with Red</t>
  </si>
  <si>
    <r>
      <rPr>
        <b/>
        <sz val="12"/>
        <color theme="1"/>
        <rFont val="Calibri"/>
        <family val="2"/>
        <scheme val="minor"/>
      </rPr>
      <t>#ShotOniPhone</t>
    </r>
    <r>
      <rPr>
        <sz val="12"/>
        <color theme="1"/>
        <rFont val="Calibri"/>
        <family val="2"/>
        <scheme val="minor"/>
      </rPr>
      <t xml:space="preserve"> has the highest engagement with 15.33%</t>
    </r>
  </si>
  <si>
    <r>
      <t xml:space="preserve">The week starting </t>
    </r>
    <r>
      <rPr>
        <b/>
        <sz val="12"/>
        <color theme="1"/>
        <rFont val="Calibri"/>
        <family val="2"/>
        <scheme val="minor"/>
      </rPr>
      <t>July 22, 2024</t>
    </r>
    <r>
      <rPr>
        <sz val="12"/>
        <color theme="1"/>
        <rFont val="Calibri"/>
        <family val="2"/>
        <scheme val="minor"/>
      </rPr>
      <t>, recorded the highest total follower gain across all platforms.</t>
    </r>
  </si>
  <si>
    <t>Use moving averages to smooth growth trends.</t>
  </si>
  <si>
    <t>Forecast Sheet and Pivot table method is used.</t>
  </si>
  <si>
    <t>Pivot table, Conditional Formatting is used with TOP 1%. Line chart with marker is used.</t>
  </si>
  <si>
    <t xml:space="preserve">● Remove duplicate Apple posts. </t>
  </si>
  <si>
    <t>Engagement_Before</t>
  </si>
  <si>
    <t>Engagement_During</t>
  </si>
  <si>
    <t>Which campaign drove the strongest follower growth?</t>
  </si>
  <si>
    <t>Measure engagement uplift during vs. before campaigns (e.g., iPhone 16 launch spike).</t>
  </si>
  <si>
    <t>Engagement uplift analysis shows that while most campaigns saw a slight drop in engagement during their active periods.</t>
  </si>
  <si>
    <t>AVERAGEIFS,Table copy paste is used.</t>
  </si>
  <si>
    <r>
      <t xml:space="preserve">The </t>
    </r>
    <r>
      <rPr>
        <b/>
        <sz val="12"/>
        <color theme="1"/>
        <rFont val="Calibri"/>
        <family val="2"/>
        <scheme val="minor"/>
      </rPr>
      <t>Apple Event September 2025</t>
    </r>
    <r>
      <rPr>
        <sz val="12"/>
        <color theme="1"/>
        <rFont val="Calibri"/>
        <family val="2"/>
        <scheme val="minor"/>
      </rPr>
      <t xml:space="preserve"> achieved a uplift, increasing from 10.02% before to </t>
    </r>
    <r>
      <rPr>
        <b/>
        <sz val="12"/>
        <color theme="1"/>
        <rFont val="Calibri"/>
        <family val="2"/>
        <scheme val="minor"/>
      </rPr>
      <t xml:space="preserve">12.63% </t>
    </r>
    <r>
      <rPr>
        <sz val="12"/>
        <color theme="1"/>
        <rFont val="Calibri"/>
        <family val="2"/>
        <scheme val="minor"/>
      </rPr>
      <t>during the campaign.</t>
    </r>
  </si>
  <si>
    <t>Insights:</t>
  </si>
  <si>
    <t>○ Which campaign had the highest ROI (engagement vs. spend)?</t>
  </si>
  <si>
    <t>○ Which campaign drove the strongest follower growth?</t>
  </si>
  <si>
    <t>The iPhone 16 Launch also drove the strongest follower growth at 2.64%</t>
  </si>
  <si>
    <t>Pivot table and bar chart is used.</t>
  </si>
  <si>
    <t>Pivot table, Conditional Formatting is used.</t>
  </si>
  <si>
    <t>The iPhone 16 Launch campaign delivered the best ROI, achieving the highest engagement rate (26.32%) relative to its ad spend.</t>
  </si>
  <si>
    <r>
      <rPr>
        <b/>
        <sz val="12"/>
        <color theme="1"/>
        <rFont val="Calibri"/>
        <family val="2"/>
        <scheme val="minor"/>
      </rPr>
      <t>#iPhone16Launch, #AppleEvent</t>
    </r>
    <r>
      <rPr>
        <sz val="12"/>
        <color theme="1"/>
        <rFont val="Calibri"/>
        <family val="2"/>
        <scheme val="minor"/>
      </rPr>
      <t xml:space="preserve"> has highest average clicks</t>
    </r>
  </si>
  <si>
    <r>
      <t xml:space="preserve">Based on the average number of clicks, </t>
    </r>
    <r>
      <rPr>
        <b/>
        <sz val="12"/>
        <color theme="1"/>
        <rFont val="Calibri"/>
        <family val="2"/>
        <scheme val="minor"/>
      </rPr>
      <t xml:space="preserve">the top 5 performing hashtag combinations are </t>
    </r>
  </si>
  <si>
    <t xml:space="preserve">Task 1: Data Preprocessing &amp; Cleaning </t>
  </si>
  <si>
    <t>Visualize Weekly Follower Growth per Platform(Line chart)</t>
  </si>
  <si>
    <t>Pivot table, Conditional Formatting is used. Combo chart is mentioned.</t>
  </si>
  <si>
    <r>
      <t xml:space="preserve">Yes, Apple should </t>
    </r>
    <r>
      <rPr>
        <b/>
        <sz val="11"/>
        <color theme="1"/>
        <rFont val="Arial"/>
        <family val="2"/>
      </rPr>
      <t>focus more on Instagram and YouTube</t>
    </r>
    <r>
      <rPr>
        <sz val="11"/>
        <color theme="1"/>
        <rFont val="Arial"/>
        <family val="2"/>
      </rPr>
      <t>, as both show strong engagement and good ROI.</t>
    </r>
  </si>
  <si>
    <r>
      <t xml:space="preserve">However, they should </t>
    </r>
    <r>
      <rPr>
        <b/>
        <sz val="11"/>
        <color theme="1"/>
        <rFont val="Arial"/>
        <family val="2"/>
      </rPr>
      <t>not ignore LinkedIn and Twitter</t>
    </r>
    <r>
      <rPr>
        <sz val="11"/>
        <color theme="1"/>
        <rFont val="Arial"/>
        <family val="2"/>
      </rPr>
      <t>, since these platforms still maintain high engagement levels across campaigns.</t>
    </r>
  </si>
  <si>
    <r>
      <t xml:space="preserve">A </t>
    </r>
    <r>
      <rPr>
        <b/>
        <sz val="11"/>
        <color theme="1"/>
        <rFont val="Arial"/>
        <family val="2"/>
      </rPr>
      <t>balanced multi-platform approach</t>
    </r>
    <r>
      <rPr>
        <sz val="11"/>
        <color theme="1"/>
        <rFont val="Arial"/>
        <family val="2"/>
      </rPr>
      <t xml:space="preserve"> will help maximize reach while leveraging YouTube and Instagram’s visual and video strengths.</t>
    </r>
  </si>
  <si>
    <t>Scatter plot chart is used to correlate ad spend and follower growth rate.</t>
  </si>
  <si>
    <r>
      <t>Increase in June</t>
    </r>
    <r>
      <rPr>
        <sz val="11"/>
        <color theme="1"/>
        <rFont val="Arial"/>
        <family val="2"/>
      </rPr>
      <t xml:space="preserve"> indicating that higher ad spend during that month significantly boosted follower growth.</t>
    </r>
  </si>
  <si>
    <t>Power query is used in the engagement dataset which is cleaned</t>
  </si>
  <si>
    <t>Also, I have formatted datas. Date format is done. New follower,Unfollows,etc are in number format with comma(,).</t>
  </si>
  <si>
    <t>Date format is done. Ad spend,Impressions etc are in number format with comma(,).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</si>
</sst>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14009]dddd\,\ d\ mmmm\,\ yyyy;@"/>
    <numFmt numFmtId="165" formatCode="_ * #,##0_ ;_ * \-#,##0_ ;_ * &quot;-&quot;??_ ;_ @_ "/>
    <numFmt numFmtId="166" formatCode="[$-F800]dddd\,\ mmmm\ dd\,\ yyyy"/>
    <numFmt numFmtId="167" formatCode="#,##0_ ;\-#,##0\ "/>
    <numFmt numFmtId="168" formatCode="0.0%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0">
    <xf numFmtId="0" fontId="0" fillId="0" borderId="0" xfId="0"/>
    <xf numFmtId="164" fontId="0" fillId="0" borderId="0" xfId="0" applyNumberFormat="1"/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4" fillId="0" borderId="5" xfId="0" applyFont="1" applyBorder="1"/>
    <xf numFmtId="0" fontId="4" fillId="0" borderId="1" xfId="0" applyFont="1" applyBorder="1"/>
    <xf numFmtId="164" fontId="5" fillId="0" borderId="1" xfId="0" applyNumberFormat="1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5" fillId="0" borderId="8" xfId="0" applyNumberFormat="1" applyFont="1" applyBorder="1"/>
    <xf numFmtId="0" fontId="4" fillId="0" borderId="9" xfId="0" applyFont="1" applyBorder="1"/>
    <xf numFmtId="0" fontId="0" fillId="0" borderId="1" xfId="0" applyBorder="1"/>
    <xf numFmtId="3" fontId="3" fillId="0" borderId="3" xfId="0" applyNumberFormat="1" applyFont="1" applyBorder="1" applyAlignment="1">
      <alignment horizontal="center" vertical="top"/>
    </xf>
    <xf numFmtId="3" fontId="4" fillId="0" borderId="1" xfId="0" applyNumberFormat="1" applyFont="1" applyBorder="1"/>
    <xf numFmtId="3" fontId="4" fillId="0" borderId="8" xfId="0" applyNumberFormat="1" applyFont="1" applyBorder="1"/>
    <xf numFmtId="3" fontId="0" fillId="0" borderId="0" xfId="0" applyNumberFormat="1"/>
    <xf numFmtId="165" fontId="3" fillId="0" borderId="3" xfId="1" applyNumberFormat="1" applyFont="1" applyBorder="1" applyAlignment="1">
      <alignment horizontal="center" vertical="top"/>
    </xf>
    <xf numFmtId="165" fontId="4" fillId="0" borderId="1" xfId="1" applyNumberFormat="1" applyFont="1" applyBorder="1"/>
    <xf numFmtId="165" fontId="4" fillId="0" borderId="8" xfId="1" applyNumberFormat="1" applyFont="1" applyBorder="1"/>
    <xf numFmtId="165" fontId="0" fillId="0" borderId="0" xfId="1" applyNumberFormat="1" applyFont="1"/>
    <xf numFmtId="165" fontId="3" fillId="0" borderId="3" xfId="1" applyNumberFormat="1" applyFont="1" applyBorder="1" applyAlignment="1">
      <alignment horizontal="center" vertical="top" wrapText="1"/>
    </xf>
    <xf numFmtId="165" fontId="5" fillId="0" borderId="1" xfId="1" applyNumberFormat="1" applyFont="1" applyBorder="1" applyAlignment="1">
      <alignment horizontal="right" wrapText="1"/>
    </xf>
    <xf numFmtId="165" fontId="5" fillId="0" borderId="8" xfId="1" applyNumberFormat="1" applyFont="1" applyBorder="1" applyAlignment="1">
      <alignment horizontal="right" wrapText="1"/>
    </xf>
    <xf numFmtId="165" fontId="3" fillId="0" borderId="4" xfId="1" applyNumberFormat="1" applyFont="1" applyBorder="1" applyAlignment="1">
      <alignment horizontal="center" vertical="top"/>
    </xf>
    <xf numFmtId="165" fontId="4" fillId="0" borderId="6" xfId="1" applyNumberFormat="1" applyFont="1" applyBorder="1"/>
    <xf numFmtId="165" fontId="4" fillId="0" borderId="9" xfId="1" applyNumberFormat="1" applyFont="1" applyBorder="1"/>
    <xf numFmtId="10" fontId="9" fillId="0" borderId="4" xfId="2" applyNumberFormat="1" applyFont="1" applyBorder="1" applyAlignment="1">
      <alignment horizontal="center" vertical="top"/>
    </xf>
    <xf numFmtId="10" fontId="2" fillId="0" borderId="6" xfId="2" applyNumberFormat="1" applyFont="1" applyBorder="1"/>
    <xf numFmtId="10" fontId="4" fillId="0" borderId="6" xfId="2" applyNumberFormat="1" applyFont="1" applyBorder="1"/>
    <xf numFmtId="10" fontId="4" fillId="0" borderId="9" xfId="2" applyNumberFormat="1" applyFont="1" applyBorder="1"/>
    <xf numFmtId="10" fontId="0" fillId="0" borderId="0" xfId="2" applyNumberFormat="1" applyFont="1"/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7" fillId="0" borderId="0" xfId="0" applyFont="1"/>
    <xf numFmtId="0" fontId="0" fillId="0" borderId="0" xfId="0" applyAlignment="1">
      <alignment horizontal="left" indent="1"/>
    </xf>
    <xf numFmtId="0" fontId="2" fillId="0" borderId="0" xfId="0" applyFont="1"/>
    <xf numFmtId="10" fontId="0" fillId="0" borderId="1" xfId="2" applyNumberFormat="1" applyFont="1" applyBorder="1"/>
    <xf numFmtId="10" fontId="0" fillId="0" borderId="8" xfId="2" applyNumberFormat="1" applyFon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left"/>
    </xf>
    <xf numFmtId="10" fontId="0" fillId="0" borderId="8" xfId="2" applyNumberFormat="1" applyFont="1" applyBorder="1" applyAlignment="1">
      <alignment horizontal="left"/>
    </xf>
    <xf numFmtId="14" fontId="0" fillId="0" borderId="0" xfId="0" applyNumberFormat="1"/>
    <xf numFmtId="1" fontId="0" fillId="0" borderId="1" xfId="0" applyNumberFormat="1" applyBorder="1"/>
    <xf numFmtId="2" fontId="0" fillId="0" borderId="0" xfId="0" applyNumberFormat="1"/>
    <xf numFmtId="1" fontId="0" fillId="0" borderId="0" xfId="0" applyNumberFormat="1"/>
    <xf numFmtId="0" fontId="0" fillId="2" borderId="0" xfId="0" applyFill="1" applyAlignment="1">
      <alignment horizontal="left"/>
    </xf>
    <xf numFmtId="2" fontId="0" fillId="2" borderId="0" xfId="0" applyNumberFormat="1" applyFill="1"/>
    <xf numFmtId="0" fontId="0" fillId="2" borderId="1" xfId="0" applyFill="1" applyBorder="1" applyAlignment="1">
      <alignment horizontal="left"/>
    </xf>
    <xf numFmtId="3" fontId="0" fillId="0" borderId="1" xfId="0" applyNumberFormat="1" applyBorder="1"/>
    <xf numFmtId="10" fontId="9" fillId="0" borderId="4" xfId="0" applyNumberFormat="1" applyFont="1" applyBorder="1" applyAlignment="1">
      <alignment horizontal="center" vertical="top"/>
    </xf>
    <xf numFmtId="10" fontId="4" fillId="0" borderId="6" xfId="0" applyNumberFormat="1" applyFont="1" applyBorder="1"/>
    <xf numFmtId="10" fontId="4" fillId="0" borderId="9" xfId="0" applyNumberFormat="1" applyFont="1" applyBorder="1"/>
    <xf numFmtId="10" fontId="0" fillId="2" borderId="1" xfId="0" applyNumberFormat="1" applyFill="1" applyBorder="1"/>
    <xf numFmtId="10" fontId="0" fillId="0" borderId="1" xfId="0" applyNumberFormat="1" applyBorder="1"/>
    <xf numFmtId="165" fontId="2" fillId="0" borderId="10" xfId="1" applyNumberFormat="1" applyFont="1" applyBorder="1"/>
    <xf numFmtId="0" fontId="7" fillId="0" borderId="1" xfId="0" applyFont="1" applyBorder="1"/>
    <xf numFmtId="0" fontId="0" fillId="2" borderId="1" xfId="0" applyFill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0" fillId="0" borderId="1" xfId="0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3" fontId="0" fillId="3" borderId="1" xfId="0" applyNumberFormat="1" applyFill="1" applyBorder="1"/>
    <xf numFmtId="0" fontId="7" fillId="3" borderId="0" xfId="0" applyFont="1" applyFill="1"/>
    <xf numFmtId="0" fontId="2" fillId="3" borderId="0" xfId="0" applyFont="1" applyFill="1"/>
    <xf numFmtId="165" fontId="0" fillId="0" borderId="1" xfId="0" applyNumberFormat="1" applyBorder="1"/>
    <xf numFmtId="166" fontId="0" fillId="0" borderId="0" xfId="0" applyNumberFormat="1"/>
    <xf numFmtId="10" fontId="2" fillId="0" borderId="6" xfId="0" applyNumberFormat="1" applyFont="1" applyBorder="1"/>
    <xf numFmtId="166" fontId="3" fillId="0" borderId="2" xfId="0" applyNumberFormat="1" applyFont="1" applyBorder="1" applyAlignment="1">
      <alignment horizontal="left" vertical="top"/>
    </xf>
    <xf numFmtId="166" fontId="5" fillId="0" borderId="5" xfId="0" applyNumberFormat="1" applyFont="1" applyBorder="1" applyAlignment="1">
      <alignment horizontal="left"/>
    </xf>
    <xf numFmtId="166" fontId="5" fillId="0" borderId="7" xfId="0" applyNumberFormat="1" applyFont="1" applyBorder="1" applyAlignment="1">
      <alignment horizontal="left"/>
    </xf>
    <xf numFmtId="166" fontId="8" fillId="0" borderId="5" xfId="0" applyNumberFormat="1" applyFont="1" applyBorder="1" applyAlignment="1">
      <alignment horizontal="left"/>
    </xf>
    <xf numFmtId="166" fontId="0" fillId="0" borderId="0" xfId="0" applyNumberFormat="1" applyAlignment="1">
      <alignment horizontal="left"/>
    </xf>
    <xf numFmtId="0" fontId="3" fillId="0" borderId="3" xfId="2" applyNumberFormat="1" applyFont="1" applyBorder="1" applyAlignment="1">
      <alignment horizontal="center" vertical="top"/>
    </xf>
    <xf numFmtId="0" fontId="4" fillId="0" borderId="1" xfId="2" applyNumberFormat="1" applyFont="1" applyBorder="1"/>
    <xf numFmtId="0" fontId="4" fillId="0" borderId="8" xfId="2" applyNumberFormat="1" applyFont="1" applyBorder="1"/>
    <xf numFmtId="0" fontId="2" fillId="0" borderId="1" xfId="2" applyNumberFormat="1" applyFont="1" applyBorder="1"/>
    <xf numFmtId="0" fontId="0" fillId="0" borderId="0" xfId="2" applyNumberFormat="1" applyFont="1"/>
    <xf numFmtId="0" fontId="2" fillId="0" borderId="5" xfId="0" applyFont="1" applyBorder="1"/>
    <xf numFmtId="0" fontId="8" fillId="0" borderId="1" xfId="0" applyFont="1" applyBorder="1"/>
    <xf numFmtId="0" fontId="2" fillId="0" borderId="6" xfId="0" applyFont="1" applyBorder="1"/>
    <xf numFmtId="166" fontId="9" fillId="0" borderId="3" xfId="0" applyNumberFormat="1" applyFont="1" applyBorder="1" applyAlignment="1">
      <alignment horizontal="center" vertical="top"/>
    </xf>
    <xf numFmtId="166" fontId="5" fillId="0" borderId="1" xfId="0" applyNumberFormat="1" applyFont="1" applyBorder="1"/>
    <xf numFmtId="166" fontId="5" fillId="0" borderId="8" xfId="0" applyNumberFormat="1" applyFont="1" applyBorder="1"/>
    <xf numFmtId="166" fontId="3" fillId="0" borderId="3" xfId="0" applyNumberFormat="1" applyFont="1" applyBorder="1" applyAlignment="1">
      <alignment horizontal="center" vertical="top"/>
    </xf>
    <xf numFmtId="166" fontId="8" fillId="0" borderId="1" xfId="0" applyNumberFormat="1" applyFont="1" applyBorder="1"/>
    <xf numFmtId="0" fontId="9" fillId="0" borderId="4" xfId="2" applyNumberFormat="1" applyFont="1" applyBorder="1" applyAlignment="1">
      <alignment horizontal="center" vertical="top"/>
    </xf>
    <xf numFmtId="3" fontId="4" fillId="0" borderId="6" xfId="2" applyNumberFormat="1" applyFont="1" applyBorder="1"/>
    <xf numFmtId="3" fontId="4" fillId="0" borderId="9" xfId="2" applyNumberFormat="1" applyFont="1" applyBorder="1"/>
    <xf numFmtId="3" fontId="2" fillId="0" borderId="6" xfId="2" applyNumberFormat="1" applyFont="1" applyBorder="1"/>
    <xf numFmtId="14" fontId="0" fillId="0" borderId="1" xfId="0" applyNumberFormat="1" applyBorder="1" applyAlignment="1">
      <alignment horizontal="left"/>
    </xf>
    <xf numFmtId="14" fontId="0" fillId="0" borderId="0" xfId="0" applyNumberFormat="1" applyAlignment="1">
      <alignment horizontal="left" indent="1"/>
    </xf>
    <xf numFmtId="0" fontId="2" fillId="5" borderId="12" xfId="0" applyFont="1" applyFill="1" applyBorder="1"/>
    <xf numFmtId="10" fontId="2" fillId="0" borderId="0" xfId="2" applyNumberFormat="1" applyFont="1"/>
    <xf numFmtId="10" fontId="7" fillId="0" borderId="1" xfId="2" applyNumberFormat="1" applyFont="1" applyBorder="1"/>
    <xf numFmtId="0" fontId="6" fillId="4" borderId="14" xfId="0" applyFont="1" applyFill="1" applyBorder="1"/>
    <xf numFmtId="0" fontId="6" fillId="4" borderId="15" xfId="0" applyFont="1" applyFill="1" applyBorder="1"/>
    <xf numFmtId="0" fontId="6" fillId="4" borderId="15" xfId="2" applyNumberFormat="1" applyFont="1" applyFill="1" applyBorder="1"/>
    <xf numFmtId="10" fontId="6" fillId="4" borderId="15" xfId="2" applyNumberFormat="1" applyFont="1" applyFill="1" applyBorder="1"/>
    <xf numFmtId="0" fontId="2" fillId="5" borderId="15" xfId="0" applyFont="1" applyFill="1" applyBorder="1"/>
    <xf numFmtId="0" fontId="2" fillId="5" borderId="15" xfId="2" applyNumberFormat="1" applyFont="1" applyFill="1" applyBorder="1"/>
    <xf numFmtId="10" fontId="2" fillId="5" borderId="15" xfId="2" applyNumberFormat="1" applyFont="1" applyFill="1" applyBorder="1"/>
    <xf numFmtId="0" fontId="2" fillId="0" borderId="15" xfId="0" applyFont="1" applyBorder="1"/>
    <xf numFmtId="0" fontId="2" fillId="0" borderId="15" xfId="2" applyNumberFormat="1" applyFont="1" applyBorder="1"/>
    <xf numFmtId="10" fontId="2" fillId="0" borderId="15" xfId="2" applyNumberFormat="1" applyFont="1" applyBorder="1"/>
    <xf numFmtId="0" fontId="2" fillId="5" borderId="14" xfId="0" applyFont="1" applyFill="1" applyBorder="1"/>
    <xf numFmtId="14" fontId="2" fillId="5" borderId="15" xfId="0" applyNumberFormat="1" applyFont="1" applyFill="1" applyBorder="1"/>
    <xf numFmtId="0" fontId="2" fillId="0" borderId="14" xfId="0" applyFont="1" applyBorder="1"/>
    <xf numFmtId="14" fontId="2" fillId="0" borderId="15" xfId="0" applyNumberFormat="1" applyFont="1" applyBorder="1"/>
    <xf numFmtId="0" fontId="2" fillId="5" borderId="11" xfId="0" applyFont="1" applyFill="1" applyBorder="1"/>
    <xf numFmtId="14" fontId="2" fillId="5" borderId="12" xfId="0" applyNumberFormat="1" applyFont="1" applyFill="1" applyBorder="1"/>
    <xf numFmtId="0" fontId="2" fillId="0" borderId="15" xfId="2" applyNumberFormat="1" applyFont="1" applyFill="1" applyBorder="1"/>
    <xf numFmtId="10" fontId="2" fillId="0" borderId="15" xfId="2" applyNumberFormat="1" applyFont="1" applyFill="1" applyBorder="1"/>
    <xf numFmtId="0" fontId="2" fillId="0" borderId="12" xfId="0" applyFont="1" applyBorder="1"/>
    <xf numFmtId="0" fontId="2" fillId="0" borderId="12" xfId="2" applyNumberFormat="1" applyFont="1" applyFill="1" applyBorder="1"/>
    <xf numFmtId="10" fontId="2" fillId="0" borderId="12" xfId="2" applyNumberFormat="1" applyFont="1" applyFill="1" applyBorder="1"/>
    <xf numFmtId="0" fontId="0" fillId="0" borderId="0" xfId="2" applyNumberFormat="1" applyFont="1" applyFill="1"/>
    <xf numFmtId="10" fontId="0" fillId="0" borderId="0" xfId="2" applyNumberFormat="1" applyFont="1" applyFill="1"/>
    <xf numFmtId="166" fontId="6" fillId="4" borderId="14" xfId="0" applyNumberFormat="1" applyFont="1" applyFill="1" applyBorder="1"/>
    <xf numFmtId="166" fontId="2" fillId="5" borderId="14" xfId="0" applyNumberFormat="1" applyFont="1" applyFill="1" applyBorder="1"/>
    <xf numFmtId="166" fontId="2" fillId="0" borderId="14" xfId="0" applyNumberFormat="1" applyFont="1" applyBorder="1"/>
    <xf numFmtId="166" fontId="2" fillId="0" borderId="11" xfId="0" applyNumberFormat="1" applyFont="1" applyBorder="1"/>
    <xf numFmtId="0" fontId="12" fillId="0" borderId="0" xfId="0" applyFont="1" applyAlignment="1">
      <alignment vertical="center"/>
    </xf>
    <xf numFmtId="0" fontId="7" fillId="6" borderId="0" xfId="0" applyFont="1" applyFill="1" applyAlignment="1">
      <alignment vertical="center"/>
    </xf>
    <xf numFmtId="0" fontId="7" fillId="6" borderId="0" xfId="0" applyFont="1" applyFill="1"/>
    <xf numFmtId="0" fontId="0" fillId="6" borderId="0" xfId="0" applyFill="1"/>
    <xf numFmtId="0" fontId="10" fillId="6" borderId="0" xfId="0" applyFont="1" applyFill="1" applyAlignment="1">
      <alignment vertical="center"/>
    </xf>
    <xf numFmtId="0" fontId="1" fillId="0" borderId="0" xfId="0" applyFont="1"/>
    <xf numFmtId="0" fontId="13" fillId="0" borderId="0" xfId="0" applyFont="1"/>
    <xf numFmtId="0" fontId="13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10" fontId="0" fillId="3" borderId="0" xfId="0" applyNumberFormat="1" applyFill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14" fillId="3" borderId="0" xfId="0" applyFont="1" applyFill="1"/>
    <xf numFmtId="0" fontId="15" fillId="3" borderId="17" xfId="0" applyFont="1" applyFill="1" applyBorder="1" applyAlignment="1">
      <alignment vertical="center" wrapText="1"/>
    </xf>
    <xf numFmtId="0" fontId="12" fillId="3" borderId="0" xfId="0" applyFont="1" applyFill="1" applyAlignment="1">
      <alignment vertical="center"/>
    </xf>
    <xf numFmtId="0" fontId="13" fillId="3" borderId="0" xfId="0" applyFont="1" applyFill="1" applyAlignment="1">
      <alignment horizontal="left"/>
    </xf>
    <xf numFmtId="0" fontId="0" fillId="7" borderId="1" xfId="0" applyFill="1" applyBorder="1" applyAlignment="1">
      <alignment horizontal="left"/>
    </xf>
    <xf numFmtId="3" fontId="0" fillId="7" borderId="1" xfId="0" applyNumberFormat="1" applyFill="1" applyBorder="1"/>
    <xf numFmtId="10" fontId="0" fillId="3" borderId="1" xfId="0" applyNumberFormat="1" applyFill="1" applyBorder="1"/>
    <xf numFmtId="0" fontId="10" fillId="6" borderId="0" xfId="0" applyFont="1" applyFill="1"/>
    <xf numFmtId="0" fontId="13" fillId="6" borderId="0" xfId="0" applyFont="1" applyFill="1"/>
    <xf numFmtId="0" fontId="11" fillId="6" borderId="0" xfId="0" applyFont="1" applyFill="1"/>
    <xf numFmtId="0" fontId="14" fillId="6" borderId="0" xfId="0" applyFont="1" applyFill="1"/>
    <xf numFmtId="0" fontId="18" fillId="3" borderId="0" xfId="0" applyFont="1" applyFill="1"/>
    <xf numFmtId="0" fontId="15" fillId="3" borderId="0" xfId="0" applyFont="1" applyFill="1"/>
    <xf numFmtId="3" fontId="6" fillId="4" borderId="16" xfId="0" applyNumberFormat="1" applyFont="1" applyFill="1" applyBorder="1"/>
    <xf numFmtId="3" fontId="2" fillId="5" borderId="16" xfId="0" applyNumberFormat="1" applyFont="1" applyFill="1" applyBorder="1"/>
    <xf numFmtId="3" fontId="2" fillId="0" borderId="16" xfId="0" applyNumberFormat="1" applyFont="1" applyBorder="1"/>
    <xf numFmtId="3" fontId="2" fillId="0" borderId="13" xfId="0" applyNumberFormat="1" applyFont="1" applyBorder="1"/>
    <xf numFmtId="3" fontId="6" fillId="4" borderId="15" xfId="0" applyNumberFormat="1" applyFont="1" applyFill="1" applyBorder="1"/>
    <xf numFmtId="3" fontId="2" fillId="5" borderId="15" xfId="0" applyNumberFormat="1" applyFont="1" applyFill="1" applyBorder="1"/>
    <xf numFmtId="3" fontId="2" fillId="0" borderId="15" xfId="0" applyNumberFormat="1" applyFont="1" applyBorder="1"/>
    <xf numFmtId="3" fontId="2" fillId="0" borderId="12" xfId="0" applyNumberFormat="1" applyFont="1" applyBorder="1"/>
    <xf numFmtId="167" fontId="6" fillId="4" borderId="15" xfId="1" applyNumberFormat="1" applyFont="1" applyFill="1" applyBorder="1"/>
    <xf numFmtId="167" fontId="2" fillId="5" borderId="15" xfId="1" applyNumberFormat="1" applyFont="1" applyFill="1" applyBorder="1"/>
    <xf numFmtId="167" fontId="2" fillId="0" borderId="15" xfId="1" applyNumberFormat="1" applyFont="1" applyBorder="1"/>
    <xf numFmtId="167" fontId="2" fillId="0" borderId="12" xfId="1" applyNumberFormat="1" applyFont="1" applyBorder="1"/>
    <xf numFmtId="167" fontId="0" fillId="0" borderId="0" xfId="1" applyNumberFormat="1" applyFont="1"/>
    <xf numFmtId="3" fontId="2" fillId="5" borderId="12" xfId="0" applyNumberFormat="1" applyFont="1" applyFill="1" applyBorder="1"/>
    <xf numFmtId="168" fontId="6" fillId="4" borderId="16" xfId="0" applyNumberFormat="1" applyFont="1" applyFill="1" applyBorder="1"/>
    <xf numFmtId="168" fontId="2" fillId="5" borderId="16" xfId="0" applyNumberFormat="1" applyFont="1" applyFill="1" applyBorder="1"/>
    <xf numFmtId="168" fontId="2" fillId="0" borderId="16" xfId="0" applyNumberFormat="1" applyFont="1" applyBorder="1"/>
    <xf numFmtId="168" fontId="2" fillId="5" borderId="13" xfId="0" applyNumberFormat="1" applyFont="1" applyFill="1" applyBorder="1"/>
    <xf numFmtId="0" fontId="6" fillId="4" borderId="0" xfId="0" applyFont="1" applyFill="1"/>
    <xf numFmtId="0" fontId="19" fillId="3" borderId="0" xfId="0" applyFont="1" applyFill="1"/>
    <xf numFmtId="0" fontId="20" fillId="3" borderId="0" xfId="0" applyFont="1" applyFill="1"/>
    <xf numFmtId="0" fontId="21" fillId="3" borderId="0" xfId="0" applyFont="1" applyFill="1"/>
    <xf numFmtId="0" fontId="22" fillId="3" borderId="0" xfId="0" applyFont="1" applyFill="1"/>
    <xf numFmtId="3" fontId="0" fillId="2" borderId="1" xfId="0" applyNumberFormat="1" applyFill="1" applyBorder="1"/>
    <xf numFmtId="0" fontId="17" fillId="6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22" fillId="3" borderId="0" xfId="0" applyFont="1" applyFill="1" applyAlignment="1">
      <alignment horizontal="left"/>
    </xf>
    <xf numFmtId="0" fontId="23" fillId="3" borderId="0" xfId="0" applyFont="1" applyFill="1"/>
    <xf numFmtId="0" fontId="20" fillId="3" borderId="0" xfId="0" applyFont="1" applyFill="1" applyAlignment="1">
      <alignment horizontal="left"/>
    </xf>
    <xf numFmtId="166" fontId="2" fillId="5" borderId="15" xfId="0" applyNumberFormat="1" applyFont="1" applyFill="1" applyBorder="1"/>
    <xf numFmtId="166" fontId="2" fillId="0" borderId="15" xfId="0" applyNumberFormat="1" applyFont="1" applyBorder="1"/>
    <xf numFmtId="166" fontId="2" fillId="5" borderId="12" xfId="0" applyNumberFormat="1" applyFont="1" applyFill="1" applyBorder="1"/>
    <xf numFmtId="0" fontId="14" fillId="0" borderId="0" xfId="0" applyFont="1"/>
    <xf numFmtId="0" fontId="0" fillId="0" borderId="1" xfId="0" applyNumberFormat="1" applyBorder="1"/>
    <xf numFmtId="14" fontId="0" fillId="0" borderId="1" xfId="0" applyNumberForma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27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[$-F800]dddd\,\ mmmm\ dd\,\ yyyy"/>
      <alignment horizontal="left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 * #,##0_ ;_ * \-#,##0_ ;_ * &quot;-&quot;??_ ;_ @_ 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14009]dddd\,\ d\ mmmm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numFmt numFmtId="2" formatCode="0.00"/>
    </dxf>
    <dxf>
      <numFmt numFmtId="0" formatCode="General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166" formatCode="[$-F800]dddd\,\ mmmm\ dd\,\ yyyy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9" formatCode="dd/mm/yyyy"/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6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3999755851924192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numFmt numFmtId="19" formatCode="dd/mm/yyyy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39997558519241921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1" formatCode="0"/>
    </dxf>
    <dxf>
      <fill>
        <patternFill patternType="solid">
          <bgColor theme="6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166" formatCode="[$-F800]dddd\,\ mmmm\ dd\,\ 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 * #,##0_ ;_ * \-#,##0_ ;_ * &quot;-&quot;??_ ;_ @_ 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-14009]dddd\,\ d\ mmmm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3.xml"/><Relationship Id="rId38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[Apple Marketing Data_Project.xlsx]Task-3!PivotTable15</c:name>
    <c:fmtId val="1"/>
  </c:pivotSource>
  <c:chart>
    <c:title>
      <c:layout>
        <c:manualLayout>
          <c:xMode val="edge"/>
          <c:yMode val="edge"/>
          <c:x val="0.42861111111111116"/>
          <c:y val="0.12860892388451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'Task-3'!$B$28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'Task-3'!$A$29:$A$33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LinkedIn</c:v>
                </c:pt>
              </c:strCache>
            </c:strRef>
          </c:cat>
          <c:val>
            <c:numRef>
              <c:f>'Task-3'!$B$29:$B$33</c:f>
              <c:numCache>
                <c:formatCode>0.00%</c:formatCode>
                <c:ptCount val="4"/>
                <c:pt idx="0">
                  <c:v>1.4194033565547487E-2</c:v>
                </c:pt>
                <c:pt idx="1">
                  <c:v>1.3764361711969262E-2</c:v>
                </c:pt>
                <c:pt idx="2">
                  <c:v>1.2030686217981618E-2</c:v>
                </c:pt>
                <c:pt idx="3">
                  <c:v>9.4286447506565681E-3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B-482F-8ED2-A2474EAB5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9523295"/>
        <c:axId val="939525215"/>
      </c:barChart>
      <c:catAx>
        <c:axId val="93952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25215"/>
        <c:crosses val="autoZero"/>
        <c:auto val="1"/>
        <c:lblAlgn val="ctr"/>
        <c:lblOffset val="100"/>
        <c:noMultiLvlLbl val="0"/>
      </c:catAx>
      <c:valAx>
        <c:axId val="93952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2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Data_Project.xlsx]Task-3!PivotTable13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'Task-3'!$B$4:$B$5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'Task-3'!$A$6:$A$10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'Task-3'!$B$6:$B$10</c:f>
              <c:numCache>
                <c:formatCode>0.00%</c:formatCode>
                <c:ptCount val="5"/>
                <c:pt idx="0">
                  <c:v>0.14856462389631162</c:v>
                </c:pt>
                <c:pt idx="1">
                  <c:v>0.14307309794424533</c:v>
                </c:pt>
                <c:pt idx="2">
                  <c:v>0.13526760440979541</c:v>
                </c:pt>
                <c:pt idx="3">
                  <c:v>0.14429364934468708</c:v>
                </c:pt>
                <c:pt idx="4">
                  <c:v>0.1271869444053508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3-4FDE-9F1F-ABBAFE6CBEE5}"/>
            </c:ext>
          </c:extLst>
        </c:ser>
        <c:ser>
          <c:idx val="1"/>
          <c:order val="1"/>
          <c:tx>
            <c:strRef>
              <c:f>'Task-3'!$C$4:$C$5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'Task-3'!$A$6:$A$10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'Task-3'!$C$6:$C$10</c:f>
              <c:numCache>
                <c:formatCode>0.00%</c:formatCode>
                <c:ptCount val="5"/>
                <c:pt idx="0">
                  <c:v>0.11210848008990081</c:v>
                </c:pt>
                <c:pt idx="1">
                  <c:v>0.14411910434722347</c:v>
                </c:pt>
                <c:pt idx="2">
                  <c:v>0.12843164970490339</c:v>
                </c:pt>
                <c:pt idx="3">
                  <c:v>0.12478605127228286</c:v>
                </c:pt>
                <c:pt idx="4">
                  <c:v>0.10208449749241447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3-4FDE-9F1F-ABBAFE6CBEE5}"/>
            </c:ext>
          </c:extLst>
        </c:ser>
        <c:ser>
          <c:idx val="2"/>
          <c:order val="2"/>
          <c:tx>
            <c:strRef>
              <c:f>'Task-3'!$D$4:$D$5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'Task-3'!$A$6:$A$10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'Task-3'!$D$6:$D$10</c:f>
              <c:numCache>
                <c:formatCode>0.00%</c:formatCode>
                <c:ptCount val="5"/>
                <c:pt idx="0">
                  <c:v>0.13193785434850405</c:v>
                </c:pt>
                <c:pt idx="1">
                  <c:v>0.13679934102902533</c:v>
                </c:pt>
                <c:pt idx="2">
                  <c:v>9.6402731063360003E-2</c:v>
                </c:pt>
                <c:pt idx="3">
                  <c:v>9.5602169814834673E-2</c:v>
                </c:pt>
                <c:pt idx="4">
                  <c:v>0.11414924007707965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73-4FDE-9F1F-ABBAFE6CBEE5}"/>
            </c:ext>
          </c:extLst>
        </c:ser>
        <c:ser>
          <c:idx val="3"/>
          <c:order val="3"/>
          <c:tx>
            <c:strRef>
              <c:f>'Task-3'!$E$4:$E$5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'Task-3'!$A$6:$A$10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'Task-3'!$E$6:$E$10</c:f>
              <c:numCache>
                <c:formatCode>0.00%</c:formatCode>
                <c:ptCount val="5"/>
                <c:pt idx="0">
                  <c:v>0.10380076283527789</c:v>
                </c:pt>
                <c:pt idx="1">
                  <c:v>0.11973747697801142</c:v>
                </c:pt>
                <c:pt idx="2">
                  <c:v>0.11995588178006256</c:v>
                </c:pt>
                <c:pt idx="3">
                  <c:v>0.11559352954993428</c:v>
                </c:pt>
                <c:pt idx="4">
                  <c:v>0.10497763485843797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73-4FDE-9F1F-ABBAFE6CB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533855"/>
        <c:axId val="939534335"/>
      </c:barChart>
      <c:catAx>
        <c:axId val="93953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34335"/>
        <c:crosses val="autoZero"/>
        <c:auto val="1"/>
        <c:lblAlgn val="ctr"/>
        <c:lblOffset val="100"/>
        <c:noMultiLvlLbl val="0"/>
      </c:catAx>
      <c:valAx>
        <c:axId val="93953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3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Engagement vs. Ad Spend per Platform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Twitter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'Task-3-Continue'!$C$108:$C$160</c:f>
              <c:numCache>
                <c:formatCode>_ * #,##0_ ;_ * \-#,##0_ ;_ * "-"??_ ;_ @_ </c:formatCode>
                <c:ptCount val="53"/>
                <c:pt idx="0">
                  <c:v>29873</c:v>
                </c:pt>
                <c:pt idx="1">
                  <c:v>44546</c:v>
                </c:pt>
                <c:pt idx="2">
                  <c:v>34286</c:v>
                </c:pt>
                <c:pt idx="3">
                  <c:v>22087</c:v>
                </c:pt>
                <c:pt idx="4">
                  <c:v>44947</c:v>
                </c:pt>
                <c:pt idx="5">
                  <c:v>52003</c:v>
                </c:pt>
                <c:pt idx="6">
                  <c:v>57639</c:v>
                </c:pt>
                <c:pt idx="7">
                  <c:v>33705</c:v>
                </c:pt>
                <c:pt idx="8">
                  <c:v>12023</c:v>
                </c:pt>
                <c:pt idx="9">
                  <c:v>43848</c:v>
                </c:pt>
                <c:pt idx="10">
                  <c:v>46060</c:v>
                </c:pt>
                <c:pt idx="11">
                  <c:v>13586</c:v>
                </c:pt>
                <c:pt idx="12">
                  <c:v>33225</c:v>
                </c:pt>
                <c:pt idx="13">
                  <c:v>37523</c:v>
                </c:pt>
                <c:pt idx="14">
                  <c:v>59745</c:v>
                </c:pt>
                <c:pt idx="15">
                  <c:v>13390</c:v>
                </c:pt>
                <c:pt idx="16">
                  <c:v>53934</c:v>
                </c:pt>
                <c:pt idx="17">
                  <c:v>20258</c:v>
                </c:pt>
                <c:pt idx="18">
                  <c:v>38854</c:v>
                </c:pt>
                <c:pt idx="19">
                  <c:v>20720</c:v>
                </c:pt>
                <c:pt idx="20">
                  <c:v>35051</c:v>
                </c:pt>
                <c:pt idx="21">
                  <c:v>19518</c:v>
                </c:pt>
                <c:pt idx="22">
                  <c:v>56026</c:v>
                </c:pt>
                <c:pt idx="23">
                  <c:v>40447</c:v>
                </c:pt>
                <c:pt idx="24">
                  <c:v>40254</c:v>
                </c:pt>
                <c:pt idx="25">
                  <c:v>28509</c:v>
                </c:pt>
                <c:pt idx="26">
                  <c:v>58998</c:v>
                </c:pt>
                <c:pt idx="27">
                  <c:v>51796</c:v>
                </c:pt>
                <c:pt idx="28">
                  <c:v>34570</c:v>
                </c:pt>
                <c:pt idx="29">
                  <c:v>26370</c:v>
                </c:pt>
                <c:pt idx="30">
                  <c:v>53363</c:v>
                </c:pt>
                <c:pt idx="31">
                  <c:v>36201</c:v>
                </c:pt>
                <c:pt idx="32">
                  <c:v>39309</c:v>
                </c:pt>
                <c:pt idx="33">
                  <c:v>39312</c:v>
                </c:pt>
                <c:pt idx="34">
                  <c:v>13384</c:v>
                </c:pt>
                <c:pt idx="35">
                  <c:v>53619</c:v>
                </c:pt>
                <c:pt idx="36">
                  <c:v>52821</c:v>
                </c:pt>
                <c:pt idx="37">
                  <c:v>56907</c:v>
                </c:pt>
                <c:pt idx="38">
                  <c:v>17531</c:v>
                </c:pt>
                <c:pt idx="39">
                  <c:v>17710</c:v>
                </c:pt>
                <c:pt idx="40">
                  <c:v>23975</c:v>
                </c:pt>
                <c:pt idx="41">
                  <c:v>25261</c:v>
                </c:pt>
                <c:pt idx="42">
                  <c:v>19067</c:v>
                </c:pt>
                <c:pt idx="43">
                  <c:v>27015</c:v>
                </c:pt>
                <c:pt idx="44">
                  <c:v>42591</c:v>
                </c:pt>
                <c:pt idx="45">
                  <c:v>38047</c:v>
                </c:pt>
                <c:pt idx="46">
                  <c:v>28681</c:v>
                </c:pt>
                <c:pt idx="47">
                  <c:v>40682</c:v>
                </c:pt>
                <c:pt idx="48">
                  <c:v>21918</c:v>
                </c:pt>
                <c:pt idx="49">
                  <c:v>21929</c:v>
                </c:pt>
                <c:pt idx="50">
                  <c:v>12539</c:v>
                </c:pt>
                <c:pt idx="51">
                  <c:v>46727</c:v>
                </c:pt>
                <c:pt idx="52">
                  <c:v>41703</c:v>
                </c:pt>
              </c:numCache>
            </c:numRef>
          </c:xVal>
          <c:yVal>
            <c:numRef>
              <c:f>'Task-3-Continue'!$B$108:$B$160</c:f>
              <c:numCache>
                <c:formatCode>General</c:formatCode>
                <c:ptCount val="53"/>
                <c:pt idx="0">
                  <c:v>69.475492091467416</c:v>
                </c:pt>
                <c:pt idx="1">
                  <c:v>19.551862698358651</c:v>
                </c:pt>
                <c:pt idx="2">
                  <c:v>49.159817655475329</c:v>
                </c:pt>
                <c:pt idx="3">
                  <c:v>54.158984064961238</c:v>
                </c:pt>
                <c:pt idx="4">
                  <c:v>57.524479307546663</c:v>
                </c:pt>
                <c:pt idx="5">
                  <c:v>60.827661631301943</c:v>
                </c:pt>
                <c:pt idx="6">
                  <c:v>7.6914636320825887</c:v>
                </c:pt>
                <c:pt idx="7">
                  <c:v>47.634187798207087</c:v>
                </c:pt>
                <c:pt idx="8">
                  <c:v>20.47246886054408</c:v>
                </c:pt>
                <c:pt idx="9">
                  <c:v>41.82171496581897</c:v>
                </c:pt>
                <c:pt idx="10">
                  <c:v>14.117673944839121</c:v>
                </c:pt>
                <c:pt idx="11">
                  <c:v>21.669318305251519</c:v>
                </c:pt>
                <c:pt idx="12">
                  <c:v>14.71218489327067</c:v>
                </c:pt>
                <c:pt idx="13">
                  <c:v>26.003918292085629</c:v>
                </c:pt>
                <c:pt idx="14">
                  <c:v>37.86101298137271</c:v>
                </c:pt>
                <c:pt idx="15">
                  <c:v>24.457411123534769</c:v>
                </c:pt>
                <c:pt idx="16">
                  <c:v>3.5037017293827661</c:v>
                </c:pt>
                <c:pt idx="17">
                  <c:v>29.45844233727631</c:v>
                </c:pt>
                <c:pt idx="18">
                  <c:v>23.761877132122681</c:v>
                </c:pt>
                <c:pt idx="19">
                  <c:v>8.5343795690395261</c:v>
                </c:pt>
                <c:pt idx="20">
                  <c:v>2.1877429775253669</c:v>
                </c:pt>
                <c:pt idx="21">
                  <c:v>27.040693108281051</c:v>
                </c:pt>
                <c:pt idx="22">
                  <c:v>6.8073045370110723</c:v>
                </c:pt>
                <c:pt idx="23">
                  <c:v>18.05853488496809</c:v>
                </c:pt>
                <c:pt idx="24">
                  <c:v>15.150015424690389</c:v>
                </c:pt>
                <c:pt idx="25">
                  <c:v>21.77776899411715</c:v>
                </c:pt>
                <c:pt idx="26">
                  <c:v>8.7252768666168681</c:v>
                </c:pt>
                <c:pt idx="27">
                  <c:v>3.5705994553828009</c:v>
                </c:pt>
                <c:pt idx="28">
                  <c:v>13.449169969047761</c:v>
                </c:pt>
                <c:pt idx="29">
                  <c:v>13.428486445958599</c:v>
                </c:pt>
                <c:pt idx="30">
                  <c:v>5.0212654702089274</c:v>
                </c:pt>
                <c:pt idx="31">
                  <c:v>12.407287318121019</c:v>
                </c:pt>
                <c:pt idx="32">
                  <c:v>8.1379717408784362</c:v>
                </c:pt>
                <c:pt idx="33">
                  <c:v>14.664542877660701</c:v>
                </c:pt>
                <c:pt idx="34">
                  <c:v>7.1083748727213809</c:v>
                </c:pt>
                <c:pt idx="35">
                  <c:v>7.6464588474579518</c:v>
                </c:pt>
                <c:pt idx="36">
                  <c:v>12.96217457722318</c:v>
                </c:pt>
                <c:pt idx="37">
                  <c:v>7.0117859410726204</c:v>
                </c:pt>
                <c:pt idx="38">
                  <c:v>15.7972230504839</c:v>
                </c:pt>
                <c:pt idx="39">
                  <c:v>3.7175793161543158</c:v>
                </c:pt>
                <c:pt idx="40">
                  <c:v>7.6673478620345374</c:v>
                </c:pt>
                <c:pt idx="41">
                  <c:v>1.3997016829812241</c:v>
                </c:pt>
                <c:pt idx="42">
                  <c:v>9.2688963078737441</c:v>
                </c:pt>
                <c:pt idx="43">
                  <c:v>2.9062061457685191</c:v>
                </c:pt>
                <c:pt idx="44">
                  <c:v>2.5803804535313102</c:v>
                </c:pt>
                <c:pt idx="45">
                  <c:v>1.525036393488727</c:v>
                </c:pt>
                <c:pt idx="46">
                  <c:v>5.057443868445171</c:v>
                </c:pt>
                <c:pt idx="47">
                  <c:v>5.2243073531483697</c:v>
                </c:pt>
                <c:pt idx="48">
                  <c:v>8.1114645768679008</c:v>
                </c:pt>
                <c:pt idx="49">
                  <c:v>5.6959041015180816</c:v>
                </c:pt>
                <c:pt idx="50">
                  <c:v>11.940413075069831</c:v>
                </c:pt>
                <c:pt idx="51">
                  <c:v>6.3457020771224837</c:v>
                </c:pt>
                <c:pt idx="52">
                  <c:v>1.676081719625286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DE-4406-9343-16B63A42F68A}"/>
            </c:ext>
          </c:extLst>
        </c:ser>
        <c:ser>
          <c:idx val="1"/>
          <c:order val="1"/>
          <c:tx>
            <c:v>Instagram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'Task-3-Continue'!$C$2:$C$52</c:f>
              <c:numCache>
                <c:formatCode>_ * #,##0_ ;_ * \-#,##0_ ;_ * "-"??_ ;_ @_ </c:formatCode>
                <c:ptCount val="51"/>
                <c:pt idx="0">
                  <c:v>23944</c:v>
                </c:pt>
                <c:pt idx="1">
                  <c:v>25379</c:v>
                </c:pt>
                <c:pt idx="2">
                  <c:v>15110</c:v>
                </c:pt>
                <c:pt idx="3">
                  <c:v>27081</c:v>
                </c:pt>
                <c:pt idx="4">
                  <c:v>19596</c:v>
                </c:pt>
                <c:pt idx="5">
                  <c:v>11013</c:v>
                </c:pt>
                <c:pt idx="6">
                  <c:v>59378</c:v>
                </c:pt>
                <c:pt idx="7">
                  <c:v>23109</c:v>
                </c:pt>
                <c:pt idx="8">
                  <c:v>36661</c:v>
                </c:pt>
                <c:pt idx="9">
                  <c:v>39197</c:v>
                </c:pt>
                <c:pt idx="10">
                  <c:v>39750</c:v>
                </c:pt>
                <c:pt idx="11">
                  <c:v>46727</c:v>
                </c:pt>
                <c:pt idx="12">
                  <c:v>53543</c:v>
                </c:pt>
                <c:pt idx="13">
                  <c:v>24226</c:v>
                </c:pt>
                <c:pt idx="14">
                  <c:v>53922</c:v>
                </c:pt>
                <c:pt idx="15">
                  <c:v>54848</c:v>
                </c:pt>
                <c:pt idx="16">
                  <c:v>22693</c:v>
                </c:pt>
                <c:pt idx="17">
                  <c:v>58831</c:v>
                </c:pt>
                <c:pt idx="18">
                  <c:v>26044</c:v>
                </c:pt>
                <c:pt idx="19">
                  <c:v>39411</c:v>
                </c:pt>
                <c:pt idx="20">
                  <c:v>15469</c:v>
                </c:pt>
                <c:pt idx="21">
                  <c:v>16256</c:v>
                </c:pt>
                <c:pt idx="22">
                  <c:v>29194</c:v>
                </c:pt>
                <c:pt idx="23">
                  <c:v>26184</c:v>
                </c:pt>
                <c:pt idx="24">
                  <c:v>31621</c:v>
                </c:pt>
                <c:pt idx="25">
                  <c:v>20028</c:v>
                </c:pt>
                <c:pt idx="26">
                  <c:v>13471</c:v>
                </c:pt>
                <c:pt idx="27">
                  <c:v>44865</c:v>
                </c:pt>
                <c:pt idx="28">
                  <c:v>56850</c:v>
                </c:pt>
                <c:pt idx="29">
                  <c:v>52845</c:v>
                </c:pt>
                <c:pt idx="30">
                  <c:v>42373</c:v>
                </c:pt>
                <c:pt idx="31">
                  <c:v>28284</c:v>
                </c:pt>
                <c:pt idx="32">
                  <c:v>27833</c:v>
                </c:pt>
                <c:pt idx="33">
                  <c:v>35122</c:v>
                </c:pt>
                <c:pt idx="34">
                  <c:v>17999</c:v>
                </c:pt>
                <c:pt idx="35">
                  <c:v>58201</c:v>
                </c:pt>
                <c:pt idx="36">
                  <c:v>15105</c:v>
                </c:pt>
                <c:pt idx="37">
                  <c:v>47051</c:v>
                </c:pt>
                <c:pt idx="38">
                  <c:v>37037</c:v>
                </c:pt>
                <c:pt idx="39">
                  <c:v>19557</c:v>
                </c:pt>
                <c:pt idx="40">
                  <c:v>19435</c:v>
                </c:pt>
                <c:pt idx="41">
                  <c:v>44742</c:v>
                </c:pt>
                <c:pt idx="42">
                  <c:v>44782</c:v>
                </c:pt>
                <c:pt idx="43">
                  <c:v>59733</c:v>
                </c:pt>
                <c:pt idx="44">
                  <c:v>48328</c:v>
                </c:pt>
                <c:pt idx="45">
                  <c:v>42262</c:v>
                </c:pt>
                <c:pt idx="46">
                  <c:v>58330</c:v>
                </c:pt>
                <c:pt idx="47">
                  <c:v>11171</c:v>
                </c:pt>
                <c:pt idx="48">
                  <c:v>51903</c:v>
                </c:pt>
                <c:pt idx="49">
                  <c:v>30644</c:v>
                </c:pt>
                <c:pt idx="50">
                  <c:v>28745</c:v>
                </c:pt>
              </c:numCache>
            </c:numRef>
          </c:xVal>
          <c:yVal>
            <c:numRef>
              <c:f>'Task-3-Continue'!$B$2:$B$52</c:f>
              <c:numCache>
                <c:formatCode>General</c:formatCode>
                <c:ptCount val="51"/>
                <c:pt idx="0">
                  <c:v>56.637790647253247</c:v>
                </c:pt>
                <c:pt idx="1">
                  <c:v>35.577824398518047</c:v>
                </c:pt>
                <c:pt idx="2">
                  <c:v>12.2263294381709</c:v>
                </c:pt>
                <c:pt idx="3">
                  <c:v>60.425889350496043</c:v>
                </c:pt>
                <c:pt idx="4">
                  <c:v>14.827522597306769</c:v>
                </c:pt>
                <c:pt idx="5">
                  <c:v>12.8372197814577</c:v>
                </c:pt>
                <c:pt idx="6">
                  <c:v>17.41278694508371</c:v>
                </c:pt>
                <c:pt idx="7">
                  <c:v>13.6355899921383</c:v>
                </c:pt>
                <c:pt idx="8">
                  <c:v>12.15762550327738</c:v>
                </c:pt>
                <c:pt idx="9">
                  <c:v>27.765518533715429</c:v>
                </c:pt>
                <c:pt idx="10">
                  <c:v>44.450416151231643</c:v>
                </c:pt>
                <c:pt idx="11">
                  <c:v>13.47730290104799</c:v>
                </c:pt>
                <c:pt idx="12">
                  <c:v>5.7694619613329108</c:v>
                </c:pt>
                <c:pt idx="13">
                  <c:v>3.6633501706626168</c:v>
                </c:pt>
                <c:pt idx="14">
                  <c:v>30.118586640851881</c:v>
                </c:pt>
                <c:pt idx="15">
                  <c:v>33.909842729106657</c:v>
                </c:pt>
                <c:pt idx="16">
                  <c:v>33.257448118038738</c:v>
                </c:pt>
                <c:pt idx="17">
                  <c:v>31.554451487636339</c:v>
                </c:pt>
                <c:pt idx="18">
                  <c:v>15.72131694865968</c:v>
                </c:pt>
                <c:pt idx="19">
                  <c:v>19.214592793018038</c:v>
                </c:pt>
                <c:pt idx="20">
                  <c:v>25.077864756828781</c:v>
                </c:pt>
                <c:pt idx="21">
                  <c:v>13.208603641390511</c:v>
                </c:pt>
                <c:pt idx="22">
                  <c:v>13.08758391243577</c:v>
                </c:pt>
                <c:pt idx="23">
                  <c:v>3.4213758985797149</c:v>
                </c:pt>
                <c:pt idx="24">
                  <c:v>26.921416897669499</c:v>
                </c:pt>
                <c:pt idx="25">
                  <c:v>3.5131404829323132</c:v>
                </c:pt>
                <c:pt idx="26">
                  <c:v>1.6774727155188811</c:v>
                </c:pt>
                <c:pt idx="27">
                  <c:v>15.458517947974901</c:v>
                </c:pt>
                <c:pt idx="28">
                  <c:v>15.96622018839439</c:v>
                </c:pt>
                <c:pt idx="29">
                  <c:v>4.1495730660972248</c:v>
                </c:pt>
                <c:pt idx="30">
                  <c:v>6.3556780346167558</c:v>
                </c:pt>
                <c:pt idx="31">
                  <c:v>12.35057894004413</c:v>
                </c:pt>
                <c:pt idx="32">
                  <c:v>11.56416728213479</c:v>
                </c:pt>
                <c:pt idx="33">
                  <c:v>5.9603306848881932</c:v>
                </c:pt>
                <c:pt idx="34">
                  <c:v>1.381177897889402</c:v>
                </c:pt>
                <c:pt idx="35">
                  <c:v>15.06231294947961</c:v>
                </c:pt>
                <c:pt idx="36">
                  <c:v>13.941172331466399</c:v>
                </c:pt>
                <c:pt idx="37">
                  <c:v>11.124410036033691</c:v>
                </c:pt>
                <c:pt idx="38">
                  <c:v>14.789893749580139</c:v>
                </c:pt>
                <c:pt idx="39">
                  <c:v>2.3800168578696428</c:v>
                </c:pt>
                <c:pt idx="40">
                  <c:v>3.4123325814333292</c:v>
                </c:pt>
                <c:pt idx="41">
                  <c:v>7.4744446725989153</c:v>
                </c:pt>
                <c:pt idx="42">
                  <c:v>3.8694093263203548</c:v>
                </c:pt>
                <c:pt idx="43">
                  <c:v>12.45517502708741</c:v>
                </c:pt>
                <c:pt idx="44">
                  <c:v>5.5892257158735816</c:v>
                </c:pt>
                <c:pt idx="45">
                  <c:v>12.709772588488899</c:v>
                </c:pt>
                <c:pt idx="46">
                  <c:v>12.414411899944</c:v>
                </c:pt>
                <c:pt idx="47">
                  <c:v>2.2102165031989389</c:v>
                </c:pt>
                <c:pt idx="48">
                  <c:v>10.23489267325616</c:v>
                </c:pt>
                <c:pt idx="49">
                  <c:v>3.8777032065622672</c:v>
                </c:pt>
                <c:pt idx="50">
                  <c:v>7.2439221876024931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DE-4406-9343-16B63A42F68A}"/>
            </c:ext>
          </c:extLst>
        </c:ser>
        <c:ser>
          <c:idx val="2"/>
          <c:order val="2"/>
          <c:tx>
            <c:v>LinkedIn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'Task-3-Continue'!$C$53:$C$107</c:f>
              <c:numCache>
                <c:formatCode>_ * #,##0_ ;_ * \-#,##0_ ;_ * "-"??_ ;_ @_ </c:formatCode>
                <c:ptCount val="55"/>
                <c:pt idx="0">
                  <c:v>33762</c:v>
                </c:pt>
                <c:pt idx="1">
                  <c:v>28313</c:v>
                </c:pt>
                <c:pt idx="2">
                  <c:v>11828</c:v>
                </c:pt>
                <c:pt idx="3">
                  <c:v>17909</c:v>
                </c:pt>
                <c:pt idx="4">
                  <c:v>48356</c:v>
                </c:pt>
                <c:pt idx="5">
                  <c:v>48659</c:v>
                </c:pt>
                <c:pt idx="6">
                  <c:v>47804</c:v>
                </c:pt>
                <c:pt idx="7">
                  <c:v>37766</c:v>
                </c:pt>
                <c:pt idx="8">
                  <c:v>53590</c:v>
                </c:pt>
                <c:pt idx="9">
                  <c:v>58868</c:v>
                </c:pt>
                <c:pt idx="10">
                  <c:v>26029</c:v>
                </c:pt>
                <c:pt idx="11">
                  <c:v>15997</c:v>
                </c:pt>
                <c:pt idx="12">
                  <c:v>10541</c:v>
                </c:pt>
                <c:pt idx="13">
                  <c:v>47861</c:v>
                </c:pt>
                <c:pt idx="14">
                  <c:v>43937</c:v>
                </c:pt>
                <c:pt idx="15">
                  <c:v>44051</c:v>
                </c:pt>
                <c:pt idx="16">
                  <c:v>59811</c:v>
                </c:pt>
                <c:pt idx="17">
                  <c:v>44501</c:v>
                </c:pt>
                <c:pt idx="18">
                  <c:v>24472</c:v>
                </c:pt>
                <c:pt idx="19">
                  <c:v>40268</c:v>
                </c:pt>
                <c:pt idx="20">
                  <c:v>18329</c:v>
                </c:pt>
                <c:pt idx="21">
                  <c:v>56698</c:v>
                </c:pt>
                <c:pt idx="22">
                  <c:v>16397</c:v>
                </c:pt>
                <c:pt idx="23">
                  <c:v>33284</c:v>
                </c:pt>
                <c:pt idx="24">
                  <c:v>15017</c:v>
                </c:pt>
                <c:pt idx="25">
                  <c:v>39252</c:v>
                </c:pt>
                <c:pt idx="26">
                  <c:v>32436</c:v>
                </c:pt>
                <c:pt idx="27">
                  <c:v>12096</c:v>
                </c:pt>
                <c:pt idx="28">
                  <c:v>35279</c:v>
                </c:pt>
                <c:pt idx="29">
                  <c:v>58709</c:v>
                </c:pt>
                <c:pt idx="30">
                  <c:v>25078</c:v>
                </c:pt>
                <c:pt idx="31">
                  <c:v>27069</c:v>
                </c:pt>
                <c:pt idx="32">
                  <c:v>55603</c:v>
                </c:pt>
                <c:pt idx="33">
                  <c:v>33252</c:v>
                </c:pt>
                <c:pt idx="34">
                  <c:v>11431</c:v>
                </c:pt>
                <c:pt idx="35">
                  <c:v>47481</c:v>
                </c:pt>
                <c:pt idx="36">
                  <c:v>18461</c:v>
                </c:pt>
                <c:pt idx="37">
                  <c:v>17896</c:v>
                </c:pt>
                <c:pt idx="38">
                  <c:v>42972</c:v>
                </c:pt>
                <c:pt idx="39">
                  <c:v>51800</c:v>
                </c:pt>
                <c:pt idx="40">
                  <c:v>40508</c:v>
                </c:pt>
                <c:pt idx="41">
                  <c:v>15347</c:v>
                </c:pt>
                <c:pt idx="42">
                  <c:v>40314</c:v>
                </c:pt>
                <c:pt idx="43">
                  <c:v>50785</c:v>
                </c:pt>
                <c:pt idx="44">
                  <c:v>57299</c:v>
                </c:pt>
                <c:pt idx="45">
                  <c:v>46768</c:v>
                </c:pt>
                <c:pt idx="46">
                  <c:v>41358</c:v>
                </c:pt>
                <c:pt idx="47">
                  <c:v>24289</c:v>
                </c:pt>
                <c:pt idx="48">
                  <c:v>59823</c:v>
                </c:pt>
                <c:pt idx="49">
                  <c:v>17927</c:v>
                </c:pt>
                <c:pt idx="50">
                  <c:v>49110</c:v>
                </c:pt>
                <c:pt idx="51">
                  <c:v>55951</c:v>
                </c:pt>
                <c:pt idx="52">
                  <c:v>15432</c:v>
                </c:pt>
                <c:pt idx="53">
                  <c:v>38228</c:v>
                </c:pt>
                <c:pt idx="54">
                  <c:v>44521</c:v>
                </c:pt>
              </c:numCache>
            </c:numRef>
          </c:xVal>
          <c:yVal>
            <c:numRef>
              <c:f>'Task-3-Continue'!$B$53:$B$107</c:f>
              <c:numCache>
                <c:formatCode>General</c:formatCode>
                <c:ptCount val="55"/>
                <c:pt idx="0">
                  <c:v>9.2506362964613711</c:v>
                </c:pt>
                <c:pt idx="1">
                  <c:v>17.894035955483691</c:v>
                </c:pt>
                <c:pt idx="2">
                  <c:v>39.284614068115687</c:v>
                </c:pt>
                <c:pt idx="3">
                  <c:v>9.8205504342462788</c:v>
                </c:pt>
                <c:pt idx="4">
                  <c:v>41.606628834608109</c:v>
                </c:pt>
                <c:pt idx="5">
                  <c:v>37.302925586213682</c:v>
                </c:pt>
                <c:pt idx="6">
                  <c:v>52.792102811910027</c:v>
                </c:pt>
                <c:pt idx="7">
                  <c:v>28.158158777282971</c:v>
                </c:pt>
                <c:pt idx="8">
                  <c:v>23.920557913887201</c:v>
                </c:pt>
                <c:pt idx="9">
                  <c:v>5.2152906954969351</c:v>
                </c:pt>
                <c:pt idx="10">
                  <c:v>38.012181840183942</c:v>
                </c:pt>
                <c:pt idx="11">
                  <c:v>10.494255737609739</c:v>
                </c:pt>
                <c:pt idx="12">
                  <c:v>17.750287883797562</c:v>
                </c:pt>
                <c:pt idx="13">
                  <c:v>4.7335970426459033</c:v>
                </c:pt>
                <c:pt idx="14">
                  <c:v>12.734216154573531</c:v>
                </c:pt>
                <c:pt idx="15">
                  <c:v>17.560907617280929</c:v>
                </c:pt>
                <c:pt idx="16">
                  <c:v>7.2934726185185053</c:v>
                </c:pt>
                <c:pt idx="17">
                  <c:v>23.435841125050029</c:v>
                </c:pt>
                <c:pt idx="18">
                  <c:v>9.07118069540617</c:v>
                </c:pt>
                <c:pt idx="19">
                  <c:v>12.426427091999111</c:v>
                </c:pt>
                <c:pt idx="20">
                  <c:v>20.240280610668151</c:v>
                </c:pt>
                <c:pt idx="21">
                  <c:v>5.301785453341723</c:v>
                </c:pt>
                <c:pt idx="22">
                  <c:v>17.44750613869045</c:v>
                </c:pt>
                <c:pt idx="23">
                  <c:v>20.774215903216671</c:v>
                </c:pt>
                <c:pt idx="24">
                  <c:v>19.25863351426683</c:v>
                </c:pt>
                <c:pt idx="25">
                  <c:v>19.449384891535139</c:v>
                </c:pt>
                <c:pt idx="26">
                  <c:v>18.0667803230575</c:v>
                </c:pt>
                <c:pt idx="27">
                  <c:v>11.391727789638329</c:v>
                </c:pt>
                <c:pt idx="28">
                  <c:v>6.3086149427901264</c:v>
                </c:pt>
                <c:pt idx="29">
                  <c:v>4.0220344099003924</c:v>
                </c:pt>
                <c:pt idx="30">
                  <c:v>15.211945357818079</c:v>
                </c:pt>
                <c:pt idx="31">
                  <c:v>4.6300017457998282</c:v>
                </c:pt>
                <c:pt idx="32">
                  <c:v>14.24879726306582</c:v>
                </c:pt>
                <c:pt idx="33">
                  <c:v>15.903372530266649</c:v>
                </c:pt>
                <c:pt idx="34">
                  <c:v>10.593534734448189</c:v>
                </c:pt>
                <c:pt idx="35">
                  <c:v>2.7289026948963189</c:v>
                </c:pt>
                <c:pt idx="36">
                  <c:v>6.5651927367759271</c:v>
                </c:pt>
                <c:pt idx="37">
                  <c:v>2.4004972007397871</c:v>
                </c:pt>
                <c:pt idx="38">
                  <c:v>10.43086517280971</c:v>
                </c:pt>
                <c:pt idx="39">
                  <c:v>8.7022876773406619</c:v>
                </c:pt>
                <c:pt idx="40">
                  <c:v>6.0590578244060822</c:v>
                </c:pt>
                <c:pt idx="41">
                  <c:v>6.4086467971263694</c:v>
                </c:pt>
                <c:pt idx="42">
                  <c:v>14.03040201562029</c:v>
                </c:pt>
                <c:pt idx="43">
                  <c:v>4.2080986012648651</c:v>
                </c:pt>
                <c:pt idx="44">
                  <c:v>13.86474263299608</c:v>
                </c:pt>
                <c:pt idx="45">
                  <c:v>6.8954477628560609</c:v>
                </c:pt>
                <c:pt idx="46">
                  <c:v>9.589697749395782</c:v>
                </c:pt>
                <c:pt idx="47">
                  <c:v>9.3041390360253633</c:v>
                </c:pt>
                <c:pt idx="48">
                  <c:v>12.21550055903389</c:v>
                </c:pt>
                <c:pt idx="49">
                  <c:v>1.64146056637986</c:v>
                </c:pt>
                <c:pt idx="50">
                  <c:v>8.7776256772995165</c:v>
                </c:pt>
                <c:pt idx="51">
                  <c:v>11.093752033137431</c:v>
                </c:pt>
                <c:pt idx="52">
                  <c:v>2.8935771844710412</c:v>
                </c:pt>
                <c:pt idx="53">
                  <c:v>9.095964565675672</c:v>
                </c:pt>
                <c:pt idx="54">
                  <c:v>5.2275645864752214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DE-4406-9343-16B63A42F68A}"/>
            </c:ext>
          </c:extLst>
        </c:ser>
        <c:ser>
          <c:idx val="3"/>
          <c:order val="3"/>
          <c:tx>
            <c:v>YouTube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'Task-3-Continue'!$C$161:$C$201</c:f>
              <c:numCache>
                <c:formatCode>_ * #,##0_ ;_ * \-#,##0_ ;_ * "-"??_ ;_ @_ </c:formatCode>
                <c:ptCount val="41"/>
                <c:pt idx="0">
                  <c:v>50372</c:v>
                </c:pt>
                <c:pt idx="1">
                  <c:v>33928</c:v>
                </c:pt>
                <c:pt idx="2">
                  <c:v>46751</c:v>
                </c:pt>
                <c:pt idx="3">
                  <c:v>48019</c:v>
                </c:pt>
                <c:pt idx="4">
                  <c:v>24537</c:v>
                </c:pt>
                <c:pt idx="5">
                  <c:v>25379</c:v>
                </c:pt>
                <c:pt idx="6">
                  <c:v>12563</c:v>
                </c:pt>
                <c:pt idx="7">
                  <c:v>26087</c:v>
                </c:pt>
                <c:pt idx="8">
                  <c:v>16643</c:v>
                </c:pt>
                <c:pt idx="9">
                  <c:v>21005</c:v>
                </c:pt>
                <c:pt idx="10">
                  <c:v>10161</c:v>
                </c:pt>
                <c:pt idx="11">
                  <c:v>38731</c:v>
                </c:pt>
                <c:pt idx="12">
                  <c:v>59815</c:v>
                </c:pt>
                <c:pt idx="13">
                  <c:v>52092</c:v>
                </c:pt>
                <c:pt idx="14">
                  <c:v>31817</c:v>
                </c:pt>
                <c:pt idx="15">
                  <c:v>23428</c:v>
                </c:pt>
                <c:pt idx="16">
                  <c:v>43598</c:v>
                </c:pt>
                <c:pt idx="17">
                  <c:v>11651</c:v>
                </c:pt>
                <c:pt idx="18">
                  <c:v>37386</c:v>
                </c:pt>
                <c:pt idx="19">
                  <c:v>43787</c:v>
                </c:pt>
                <c:pt idx="20">
                  <c:v>22448</c:v>
                </c:pt>
                <c:pt idx="21">
                  <c:v>55253</c:v>
                </c:pt>
                <c:pt idx="22">
                  <c:v>28394</c:v>
                </c:pt>
                <c:pt idx="23">
                  <c:v>55657</c:v>
                </c:pt>
                <c:pt idx="24">
                  <c:v>38272</c:v>
                </c:pt>
                <c:pt idx="25">
                  <c:v>45525</c:v>
                </c:pt>
                <c:pt idx="26">
                  <c:v>28994</c:v>
                </c:pt>
                <c:pt idx="27">
                  <c:v>52963</c:v>
                </c:pt>
                <c:pt idx="28">
                  <c:v>29715</c:v>
                </c:pt>
                <c:pt idx="29">
                  <c:v>12839</c:v>
                </c:pt>
                <c:pt idx="30">
                  <c:v>23493</c:v>
                </c:pt>
                <c:pt idx="31">
                  <c:v>17736</c:v>
                </c:pt>
                <c:pt idx="32">
                  <c:v>11619</c:v>
                </c:pt>
                <c:pt idx="33">
                  <c:v>47766</c:v>
                </c:pt>
                <c:pt idx="34">
                  <c:v>10162</c:v>
                </c:pt>
                <c:pt idx="35">
                  <c:v>29675</c:v>
                </c:pt>
                <c:pt idx="36">
                  <c:v>19833</c:v>
                </c:pt>
                <c:pt idx="37">
                  <c:v>12643</c:v>
                </c:pt>
                <c:pt idx="38">
                  <c:v>25892</c:v>
                </c:pt>
                <c:pt idx="39">
                  <c:v>27073</c:v>
                </c:pt>
                <c:pt idx="40">
                  <c:v>32669</c:v>
                </c:pt>
              </c:numCache>
            </c:numRef>
          </c:xVal>
          <c:yVal>
            <c:numRef>
              <c:f>'Task-3-Continue'!$B$161:$B$201</c:f>
              <c:numCache>
                <c:formatCode>General</c:formatCode>
                <c:ptCount val="41"/>
                <c:pt idx="0">
                  <c:v>92.312204605638044</c:v>
                </c:pt>
                <c:pt idx="1">
                  <c:v>16.351815601833291</c:v>
                </c:pt>
                <c:pt idx="2">
                  <c:v>52.064892597395271</c:v>
                </c:pt>
                <c:pt idx="3">
                  <c:v>5.4343004617214756</c:v>
                </c:pt>
                <c:pt idx="4">
                  <c:v>11.2083665774941</c:v>
                </c:pt>
                <c:pt idx="5">
                  <c:v>49.647922622483861</c:v>
                </c:pt>
                <c:pt idx="6">
                  <c:v>44.219272975538267</c:v>
                </c:pt>
                <c:pt idx="7">
                  <c:v>46.999749649033298</c:v>
                </c:pt>
                <c:pt idx="8">
                  <c:v>28.065042562888689</c:v>
                </c:pt>
                <c:pt idx="9">
                  <c:v>4.6034181702735593</c:v>
                </c:pt>
                <c:pt idx="10">
                  <c:v>20.46539508359615</c:v>
                </c:pt>
                <c:pt idx="11">
                  <c:v>37.760512537325639</c:v>
                </c:pt>
                <c:pt idx="12">
                  <c:v>6.2966210699906267</c:v>
                </c:pt>
                <c:pt idx="13">
                  <c:v>6.9547481175882924</c:v>
                </c:pt>
                <c:pt idx="14">
                  <c:v>11.194362999670229</c:v>
                </c:pt>
                <c:pt idx="15">
                  <c:v>29.92120910472568</c:v>
                </c:pt>
                <c:pt idx="16">
                  <c:v>25.120888149654821</c:v>
                </c:pt>
                <c:pt idx="17">
                  <c:v>25.64820077827817</c:v>
                </c:pt>
                <c:pt idx="18">
                  <c:v>8.3562843787534522</c:v>
                </c:pt>
                <c:pt idx="19">
                  <c:v>5.5136820660139527</c:v>
                </c:pt>
                <c:pt idx="20">
                  <c:v>11.50507059442103</c:v>
                </c:pt>
                <c:pt idx="21">
                  <c:v>6.4069368024305948</c:v>
                </c:pt>
                <c:pt idx="22">
                  <c:v>17.61788048552755</c:v>
                </c:pt>
                <c:pt idx="23">
                  <c:v>3.0908004511744269</c:v>
                </c:pt>
                <c:pt idx="24">
                  <c:v>10.21656296011305</c:v>
                </c:pt>
                <c:pt idx="25">
                  <c:v>16.625487131094989</c:v>
                </c:pt>
                <c:pt idx="26">
                  <c:v>12.913394489201821</c:v>
                </c:pt>
                <c:pt idx="27">
                  <c:v>10.34986590877523</c:v>
                </c:pt>
                <c:pt idx="28">
                  <c:v>9.1811305577864442</c:v>
                </c:pt>
                <c:pt idx="29">
                  <c:v>18.236747441373989</c:v>
                </c:pt>
                <c:pt idx="30">
                  <c:v>7.201344336027284</c:v>
                </c:pt>
                <c:pt idx="31">
                  <c:v>9.5052903929580594</c:v>
                </c:pt>
                <c:pt idx="32">
                  <c:v>8.768004820772493</c:v>
                </c:pt>
                <c:pt idx="33">
                  <c:v>1.9837452629066989</c:v>
                </c:pt>
                <c:pt idx="34">
                  <c:v>15.684892498324469</c:v>
                </c:pt>
                <c:pt idx="35">
                  <c:v>4.6083932009689246</c:v>
                </c:pt>
                <c:pt idx="36">
                  <c:v>2.1106477061454201</c:v>
                </c:pt>
                <c:pt idx="37">
                  <c:v>5.7680529449373434</c:v>
                </c:pt>
                <c:pt idx="38">
                  <c:v>6.5457075572682513</c:v>
                </c:pt>
                <c:pt idx="39">
                  <c:v>8.1237966902808925</c:v>
                </c:pt>
                <c:pt idx="40">
                  <c:v>6.9871371390821126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DE-4406-9343-16B63A42F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285935"/>
        <c:axId val="900290735"/>
      </c:scatterChart>
      <c:valAx>
        <c:axId val="90028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Ad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90735"/>
        <c:crosses val="autoZero"/>
        <c:crossBetween val="midCat"/>
      </c:valAx>
      <c:valAx>
        <c:axId val="90029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Engagement Rate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2956841138659319E-2"/>
              <c:y val="0.35991252953104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85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Data_Project.xlsx]Task-5-Insights!PivotTable1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'Task-5-Insights'!$B$6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'Task-5-Insights'!$A$7:$A$11</c:f>
              <c:strCache>
                <c:ptCount val="4"/>
                <c:pt idx="0">
                  <c:v>Apple Watch Ultra 2 Launch</c:v>
                </c:pt>
                <c:pt idx="1">
                  <c:v>iPhone 16 Launch</c:v>
                </c:pt>
                <c:pt idx="2">
                  <c:v>MacBook Air M3 Campaign</c:v>
                </c:pt>
                <c:pt idx="3">
                  <c:v>Sustainability Awareness Drive</c:v>
                </c:pt>
              </c:strCache>
            </c:strRef>
          </c:cat>
          <c:val>
            <c:numRef>
              <c:f>'Task-5-Insights'!$B$7:$B$11</c:f>
              <c:numCache>
                <c:formatCode>0.00%</c:formatCode>
                <c:ptCount val="4"/>
                <c:pt idx="0">
                  <c:v>8.9415431473504101E-2</c:v>
                </c:pt>
                <c:pt idx="1">
                  <c:v>0.26316567076535258</c:v>
                </c:pt>
                <c:pt idx="2">
                  <c:v>0.12694932310897486</c:v>
                </c:pt>
                <c:pt idx="3">
                  <c:v>6.2842734499457389E-2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1-49E5-BABE-419B2DA27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054335"/>
        <c:axId val="1068049535"/>
      </c:barChart>
      <c:lineChart>
        <c:grouping val="standard"/>
        <c:varyColors val="0"/>
        <c:ser>
          <c:idx val="1"/>
          <c:order val="1"/>
          <c:tx>
            <c:strRef>
              <c:f>'Task-5-Insights'!$C$6</c:f>
              <c:strCache>
                <c:ptCount val="1"/>
                <c:pt idx="0">
                  <c:v>Average of Ad_Spend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'Task-5-Insights'!$A$7:$A$11</c:f>
              <c:strCache>
                <c:ptCount val="4"/>
                <c:pt idx="0">
                  <c:v>Apple Watch Ultra 2 Launch</c:v>
                </c:pt>
                <c:pt idx="1">
                  <c:v>iPhone 16 Launch</c:v>
                </c:pt>
                <c:pt idx="2">
                  <c:v>MacBook Air M3 Campaign</c:v>
                </c:pt>
                <c:pt idx="3">
                  <c:v>Sustainability Awareness Drive</c:v>
                </c:pt>
              </c:strCache>
            </c:strRef>
          </c:cat>
          <c:val>
            <c:numRef>
              <c:f>'Task-5-Insights'!$C$7:$C$11</c:f>
              <c:numCache>
                <c:formatCode>General</c:formatCode>
                <c:ptCount val="4"/>
                <c:pt idx="0">
                  <c:v>40359.125</c:v>
                </c:pt>
                <c:pt idx="1">
                  <c:v>31353.8</c:v>
                </c:pt>
                <c:pt idx="2">
                  <c:v>36221.5</c:v>
                </c:pt>
                <c:pt idx="3">
                  <c:v>35630.1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1-49E5-BABE-419B2DA27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224735"/>
        <c:axId val="862674239"/>
      </c:lineChart>
      <c:catAx>
        <c:axId val="106805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49535"/>
        <c:crosses val="autoZero"/>
        <c:auto val="1"/>
        <c:lblAlgn val="ctr"/>
        <c:lblOffset val="100"/>
        <c:noMultiLvlLbl val="0"/>
      </c:catAx>
      <c:valAx>
        <c:axId val="106804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54335"/>
        <c:crosses val="autoZero"/>
        <c:crossBetween val="between"/>
      </c:valAx>
      <c:valAx>
        <c:axId val="8626742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24735"/>
        <c:crosses val="max"/>
        <c:crossBetween val="between"/>
      </c:valAx>
      <c:catAx>
        <c:axId val="8622247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2674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Data_Project.xlsx]Task-5.4!PivotTable2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'Task-5.4'!$B$3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'Task-5.4'!$A$4:$A$8</c:f>
              <c:strCache>
                <c:ptCount val="4"/>
                <c:pt idx="0">
                  <c:v>Apple Watch Ultra 2 Launch</c:v>
                </c:pt>
                <c:pt idx="1">
                  <c:v>iPhone 16 Launch</c:v>
                </c:pt>
                <c:pt idx="2">
                  <c:v>MacBook Air M3 Campaign</c:v>
                </c:pt>
                <c:pt idx="3">
                  <c:v>Sustainability Awareness Drive</c:v>
                </c:pt>
              </c:strCache>
            </c:strRef>
          </c:cat>
          <c:val>
            <c:numRef>
              <c:f>'Task-5.4'!$B$4:$B$8</c:f>
              <c:numCache>
                <c:formatCode>0.00%</c:formatCode>
                <c:ptCount val="4"/>
                <c:pt idx="0">
                  <c:v>8.1853409229682376E-3</c:v>
                </c:pt>
                <c:pt idx="1">
                  <c:v>2.6400202996414567E-2</c:v>
                </c:pt>
                <c:pt idx="2">
                  <c:v>1.1432169028971668E-2</c:v>
                </c:pt>
                <c:pt idx="3">
                  <c:v>5.2818011128642761E-3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0-4B47-9B77-21B2C21D9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68049055"/>
        <c:axId val="1068044255"/>
      </c:barChart>
      <c:catAx>
        <c:axId val="10680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44255"/>
        <c:crosses val="autoZero"/>
        <c:auto val="1"/>
        <c:lblAlgn val="ctr"/>
        <c:lblOffset val="100"/>
        <c:noMultiLvlLbl val="0"/>
      </c:catAx>
      <c:valAx>
        <c:axId val="10680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4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Data_Project.xlsx]Task-6.1!PivotTable50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'Task-6.1'!$I$6:$I$7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'Task-6.1'!$H$8:$H$57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'Task-6.1'!$I$8:$I$57</c:f>
              <c:numCache>
                <c:formatCode>General</c:formatCode>
                <c:ptCount val="50"/>
                <c:pt idx="0">
                  <c:v>4138</c:v>
                </c:pt>
                <c:pt idx="1">
                  <c:v>7721</c:v>
                </c:pt>
                <c:pt idx="2">
                  <c:v>15029</c:v>
                </c:pt>
                <c:pt idx="3">
                  <c:v>5259</c:v>
                </c:pt>
                <c:pt idx="4">
                  <c:v>6490</c:v>
                </c:pt>
                <c:pt idx="6">
                  <c:v>5500</c:v>
                </c:pt>
                <c:pt idx="9">
                  <c:v>3494</c:v>
                </c:pt>
                <c:pt idx="10">
                  <c:v>7610</c:v>
                </c:pt>
                <c:pt idx="11">
                  <c:v>15013</c:v>
                </c:pt>
                <c:pt idx="12">
                  <c:v>9648</c:v>
                </c:pt>
                <c:pt idx="13">
                  <c:v>8627</c:v>
                </c:pt>
                <c:pt idx="14">
                  <c:v>7907</c:v>
                </c:pt>
                <c:pt idx="16">
                  <c:v>14578</c:v>
                </c:pt>
                <c:pt idx="17">
                  <c:v>10637</c:v>
                </c:pt>
                <c:pt idx="18">
                  <c:v>5481</c:v>
                </c:pt>
                <c:pt idx="20">
                  <c:v>26389</c:v>
                </c:pt>
                <c:pt idx="24">
                  <c:v>5798</c:v>
                </c:pt>
                <c:pt idx="25">
                  <c:v>15788</c:v>
                </c:pt>
                <c:pt idx="26">
                  <c:v>9987</c:v>
                </c:pt>
                <c:pt idx="27">
                  <c:v>3672</c:v>
                </c:pt>
                <c:pt idx="28">
                  <c:v>5583</c:v>
                </c:pt>
                <c:pt idx="29">
                  <c:v>4631</c:v>
                </c:pt>
                <c:pt idx="30">
                  <c:v>4897</c:v>
                </c:pt>
                <c:pt idx="32">
                  <c:v>3247</c:v>
                </c:pt>
                <c:pt idx="34">
                  <c:v>4271</c:v>
                </c:pt>
                <c:pt idx="37">
                  <c:v>12840</c:v>
                </c:pt>
                <c:pt idx="38">
                  <c:v>16193</c:v>
                </c:pt>
                <c:pt idx="40">
                  <c:v>3376</c:v>
                </c:pt>
                <c:pt idx="41">
                  <c:v>9569</c:v>
                </c:pt>
                <c:pt idx="43">
                  <c:v>6607</c:v>
                </c:pt>
                <c:pt idx="44">
                  <c:v>1521</c:v>
                </c:pt>
                <c:pt idx="46">
                  <c:v>16669</c:v>
                </c:pt>
                <c:pt idx="48">
                  <c:v>8697</c:v>
                </c:pt>
                <c:pt idx="49">
                  <c:v>3196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D0-4F28-B8D7-9A36AED3DF1D}"/>
            </c:ext>
          </c:extLst>
        </c:ser>
        <c:ser>
          <c:idx val="1"/>
          <c:order val="1"/>
          <c:tx>
            <c:strRef>
              <c:f>'Task-6.1'!$J$6:$J$7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'Task-6.1'!$H$8:$H$57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'Task-6.1'!$J$8:$J$57</c:f>
              <c:numCache>
                <c:formatCode>General</c:formatCode>
                <c:ptCount val="50"/>
                <c:pt idx="2">
                  <c:v>7097</c:v>
                </c:pt>
                <c:pt idx="4">
                  <c:v>5917</c:v>
                </c:pt>
                <c:pt idx="5">
                  <c:v>12349</c:v>
                </c:pt>
                <c:pt idx="7">
                  <c:v>17307</c:v>
                </c:pt>
                <c:pt idx="8">
                  <c:v>8622</c:v>
                </c:pt>
                <c:pt idx="9">
                  <c:v>5349</c:v>
                </c:pt>
                <c:pt idx="12">
                  <c:v>1689</c:v>
                </c:pt>
                <c:pt idx="13">
                  <c:v>9591</c:v>
                </c:pt>
                <c:pt idx="14">
                  <c:v>6671</c:v>
                </c:pt>
                <c:pt idx="15">
                  <c:v>2382</c:v>
                </c:pt>
                <c:pt idx="18">
                  <c:v>2549</c:v>
                </c:pt>
                <c:pt idx="21">
                  <c:v>16789</c:v>
                </c:pt>
                <c:pt idx="22">
                  <c:v>5268</c:v>
                </c:pt>
                <c:pt idx="23">
                  <c:v>5592</c:v>
                </c:pt>
                <c:pt idx="24">
                  <c:v>10242</c:v>
                </c:pt>
                <c:pt idx="25">
                  <c:v>9737</c:v>
                </c:pt>
                <c:pt idx="26">
                  <c:v>5839</c:v>
                </c:pt>
                <c:pt idx="27">
                  <c:v>1016</c:v>
                </c:pt>
                <c:pt idx="28">
                  <c:v>9616</c:v>
                </c:pt>
                <c:pt idx="29">
                  <c:v>8743</c:v>
                </c:pt>
                <c:pt idx="30">
                  <c:v>18556</c:v>
                </c:pt>
                <c:pt idx="31">
                  <c:v>9980</c:v>
                </c:pt>
                <c:pt idx="32">
                  <c:v>7869</c:v>
                </c:pt>
                <c:pt idx="34">
                  <c:v>8083</c:v>
                </c:pt>
                <c:pt idx="36">
                  <c:v>13799</c:v>
                </c:pt>
                <c:pt idx="37">
                  <c:v>5531</c:v>
                </c:pt>
                <c:pt idx="39">
                  <c:v>8504</c:v>
                </c:pt>
                <c:pt idx="40">
                  <c:v>2827</c:v>
                </c:pt>
                <c:pt idx="41">
                  <c:v>21174</c:v>
                </c:pt>
                <c:pt idx="42">
                  <c:v>22600</c:v>
                </c:pt>
                <c:pt idx="43">
                  <c:v>1780</c:v>
                </c:pt>
                <c:pt idx="44">
                  <c:v>4983</c:v>
                </c:pt>
                <c:pt idx="45">
                  <c:v>27882</c:v>
                </c:pt>
                <c:pt idx="47">
                  <c:v>1685</c:v>
                </c:pt>
                <c:pt idx="48">
                  <c:v>3294</c:v>
                </c:pt>
                <c:pt idx="49">
                  <c:v>9466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5B-48E3-9B53-074177FA033E}"/>
            </c:ext>
          </c:extLst>
        </c:ser>
        <c:ser>
          <c:idx val="2"/>
          <c:order val="2"/>
          <c:tx>
            <c:strRef>
              <c:f>'Task-6.1'!$K$6:$K$7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'Task-6.1'!$H$8:$H$57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'Task-6.1'!$K$8:$K$57</c:f>
              <c:numCache>
                <c:formatCode>General</c:formatCode>
                <c:ptCount val="50"/>
                <c:pt idx="0">
                  <c:v>8693</c:v>
                </c:pt>
                <c:pt idx="1">
                  <c:v>9203</c:v>
                </c:pt>
                <c:pt idx="2">
                  <c:v>6907</c:v>
                </c:pt>
                <c:pt idx="3">
                  <c:v>16885</c:v>
                </c:pt>
                <c:pt idx="4">
                  <c:v>9429</c:v>
                </c:pt>
                <c:pt idx="5">
                  <c:v>8045</c:v>
                </c:pt>
                <c:pt idx="6">
                  <c:v>8137</c:v>
                </c:pt>
                <c:pt idx="7">
                  <c:v>8179</c:v>
                </c:pt>
                <c:pt idx="8">
                  <c:v>6947</c:v>
                </c:pt>
                <c:pt idx="9">
                  <c:v>3719</c:v>
                </c:pt>
                <c:pt idx="10">
                  <c:v>14333</c:v>
                </c:pt>
                <c:pt idx="12">
                  <c:v>6175</c:v>
                </c:pt>
                <c:pt idx="13">
                  <c:v>7406</c:v>
                </c:pt>
                <c:pt idx="15">
                  <c:v>4292</c:v>
                </c:pt>
                <c:pt idx="16">
                  <c:v>5517</c:v>
                </c:pt>
                <c:pt idx="17">
                  <c:v>9737</c:v>
                </c:pt>
                <c:pt idx="19">
                  <c:v>18028</c:v>
                </c:pt>
                <c:pt idx="22">
                  <c:v>10051</c:v>
                </c:pt>
                <c:pt idx="23">
                  <c:v>10819</c:v>
                </c:pt>
                <c:pt idx="24">
                  <c:v>7036</c:v>
                </c:pt>
                <c:pt idx="27">
                  <c:v>7164</c:v>
                </c:pt>
                <c:pt idx="28">
                  <c:v>7272</c:v>
                </c:pt>
                <c:pt idx="30">
                  <c:v>3279</c:v>
                </c:pt>
                <c:pt idx="31">
                  <c:v>10226</c:v>
                </c:pt>
                <c:pt idx="32">
                  <c:v>8088</c:v>
                </c:pt>
                <c:pt idx="33">
                  <c:v>22105</c:v>
                </c:pt>
                <c:pt idx="34">
                  <c:v>13170</c:v>
                </c:pt>
                <c:pt idx="35">
                  <c:v>17438</c:v>
                </c:pt>
                <c:pt idx="36">
                  <c:v>1147</c:v>
                </c:pt>
                <c:pt idx="37">
                  <c:v>1365</c:v>
                </c:pt>
                <c:pt idx="39">
                  <c:v>7085</c:v>
                </c:pt>
                <c:pt idx="40">
                  <c:v>9551</c:v>
                </c:pt>
                <c:pt idx="43">
                  <c:v>6978</c:v>
                </c:pt>
                <c:pt idx="44">
                  <c:v>9714</c:v>
                </c:pt>
                <c:pt idx="46">
                  <c:v>8128</c:v>
                </c:pt>
                <c:pt idx="47">
                  <c:v>17532</c:v>
                </c:pt>
                <c:pt idx="49">
                  <c:v>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5B-48E3-9B53-074177FA033E}"/>
            </c:ext>
          </c:extLst>
        </c:ser>
        <c:ser>
          <c:idx val="3"/>
          <c:order val="3"/>
          <c:tx>
            <c:strRef>
              <c:f>'Task-6.1'!$L$6:$L$7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'Task-6.1'!$H$8:$H$57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'Task-6.1'!$L$8:$L$57</c:f>
              <c:numCache>
                <c:formatCode>General</c:formatCode>
                <c:ptCount val="50"/>
                <c:pt idx="0">
                  <c:v>18106</c:v>
                </c:pt>
                <c:pt idx="1">
                  <c:v>8002</c:v>
                </c:pt>
                <c:pt idx="3">
                  <c:v>9286</c:v>
                </c:pt>
                <c:pt idx="6">
                  <c:v>1963</c:v>
                </c:pt>
                <c:pt idx="7">
                  <c:v>9734</c:v>
                </c:pt>
                <c:pt idx="8">
                  <c:v>4036</c:v>
                </c:pt>
                <c:pt idx="9">
                  <c:v>2884</c:v>
                </c:pt>
                <c:pt idx="10">
                  <c:v>7430</c:v>
                </c:pt>
                <c:pt idx="11">
                  <c:v>10587</c:v>
                </c:pt>
                <c:pt idx="12">
                  <c:v>6078</c:v>
                </c:pt>
                <c:pt idx="14">
                  <c:v>12438</c:v>
                </c:pt>
                <c:pt idx="15">
                  <c:v>10331</c:v>
                </c:pt>
                <c:pt idx="18">
                  <c:v>11856</c:v>
                </c:pt>
                <c:pt idx="19">
                  <c:v>7548</c:v>
                </c:pt>
                <c:pt idx="20">
                  <c:v>7793</c:v>
                </c:pt>
                <c:pt idx="21">
                  <c:v>13549</c:v>
                </c:pt>
                <c:pt idx="22">
                  <c:v>3385</c:v>
                </c:pt>
                <c:pt idx="23">
                  <c:v>5795</c:v>
                </c:pt>
                <c:pt idx="25">
                  <c:v>5719</c:v>
                </c:pt>
                <c:pt idx="26">
                  <c:v>4493</c:v>
                </c:pt>
                <c:pt idx="27">
                  <c:v>5200</c:v>
                </c:pt>
                <c:pt idx="29">
                  <c:v>8177</c:v>
                </c:pt>
                <c:pt idx="31">
                  <c:v>9906</c:v>
                </c:pt>
                <c:pt idx="32">
                  <c:v>1078</c:v>
                </c:pt>
                <c:pt idx="33">
                  <c:v>8340</c:v>
                </c:pt>
                <c:pt idx="35">
                  <c:v>14055</c:v>
                </c:pt>
                <c:pt idx="38">
                  <c:v>17457</c:v>
                </c:pt>
                <c:pt idx="39">
                  <c:v>7511</c:v>
                </c:pt>
                <c:pt idx="40">
                  <c:v>4009</c:v>
                </c:pt>
                <c:pt idx="42">
                  <c:v>4747</c:v>
                </c:pt>
                <c:pt idx="43">
                  <c:v>1769</c:v>
                </c:pt>
                <c:pt idx="44">
                  <c:v>7303</c:v>
                </c:pt>
                <c:pt idx="48">
                  <c:v>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5B-48E3-9B53-074177FA0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456319"/>
        <c:axId val="896467359"/>
      </c:lineChart>
      <c:catAx>
        <c:axId val="89645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67359"/>
        <c:crosses val="autoZero"/>
        <c:auto val="1"/>
        <c:lblAlgn val="ctr"/>
        <c:lblOffset val="100"/>
        <c:noMultiLvlLbl val="0"/>
      </c:catAx>
      <c:valAx>
        <c:axId val="89646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5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'Task-6.2'!$B$1</c:f>
              <c:strCache>
                <c:ptCount val="1"/>
                <c:pt idx="0">
                  <c:v>Sum of NewFollower-Unfollower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'Task-6.2'!$B$2:$B$80</c:f>
              <c:numCache>
                <c:formatCode>General</c:formatCode>
                <c:ptCount val="79"/>
                <c:pt idx="0">
                  <c:v>27203</c:v>
                </c:pt>
                <c:pt idx="1">
                  <c:v>23062</c:v>
                </c:pt>
                <c:pt idx="2">
                  <c:v>25931</c:v>
                </c:pt>
                <c:pt idx="3">
                  <c:v>28622</c:v>
                </c:pt>
                <c:pt idx="4">
                  <c:v>19833</c:v>
                </c:pt>
                <c:pt idx="5">
                  <c:v>18529</c:v>
                </c:pt>
                <c:pt idx="6">
                  <c:v>13885</c:v>
                </c:pt>
                <c:pt idx="7">
                  <c:v>32218</c:v>
                </c:pt>
                <c:pt idx="8">
                  <c:v>17021</c:v>
                </c:pt>
                <c:pt idx="9">
                  <c:v>14100</c:v>
                </c:pt>
                <c:pt idx="10">
                  <c:v>26686</c:v>
                </c:pt>
                <c:pt idx="11">
                  <c:v>23262</c:v>
                </c:pt>
                <c:pt idx="12">
                  <c:v>20800</c:v>
                </c:pt>
                <c:pt idx="13">
                  <c:v>22217</c:v>
                </c:pt>
                <c:pt idx="14">
                  <c:v>25176</c:v>
                </c:pt>
                <c:pt idx="15">
                  <c:v>15432</c:v>
                </c:pt>
                <c:pt idx="16">
                  <c:v>17982</c:v>
                </c:pt>
                <c:pt idx="17">
                  <c:v>18434</c:v>
                </c:pt>
                <c:pt idx="18">
                  <c:v>17577</c:v>
                </c:pt>
                <c:pt idx="19">
                  <c:v>23371</c:v>
                </c:pt>
                <c:pt idx="20">
                  <c:v>30891</c:v>
                </c:pt>
                <c:pt idx="21">
                  <c:v>27254</c:v>
                </c:pt>
                <c:pt idx="22">
                  <c:v>16685</c:v>
                </c:pt>
                <c:pt idx="23">
                  <c:v>19751</c:v>
                </c:pt>
                <c:pt idx="24">
                  <c:v>21238</c:v>
                </c:pt>
                <c:pt idx="25">
                  <c:v>28625</c:v>
                </c:pt>
                <c:pt idx="26">
                  <c:v>18330</c:v>
                </c:pt>
                <c:pt idx="27">
                  <c:v>15842</c:v>
                </c:pt>
                <c:pt idx="28">
                  <c:v>19604</c:v>
                </c:pt>
                <c:pt idx="29">
                  <c:v>19183</c:v>
                </c:pt>
                <c:pt idx="30">
                  <c:v>23870</c:v>
                </c:pt>
                <c:pt idx="31">
                  <c:v>27057</c:v>
                </c:pt>
                <c:pt idx="32">
                  <c:v>18737</c:v>
                </c:pt>
                <c:pt idx="33">
                  <c:v>27809</c:v>
                </c:pt>
                <c:pt idx="34">
                  <c:v>22692</c:v>
                </c:pt>
                <c:pt idx="35">
                  <c:v>28533</c:v>
                </c:pt>
                <c:pt idx="36">
                  <c:v>13642</c:v>
                </c:pt>
                <c:pt idx="37">
                  <c:v>17859</c:v>
                </c:pt>
                <c:pt idx="38">
                  <c:v>30446</c:v>
                </c:pt>
                <c:pt idx="39">
                  <c:v>20389</c:v>
                </c:pt>
                <c:pt idx="40">
                  <c:v>17807</c:v>
                </c:pt>
                <c:pt idx="41">
                  <c:v>28020</c:v>
                </c:pt>
                <c:pt idx="42">
                  <c:v>25416</c:v>
                </c:pt>
                <c:pt idx="43">
                  <c:v>15627</c:v>
                </c:pt>
                <c:pt idx="44">
                  <c:v>20720</c:v>
                </c:pt>
                <c:pt idx="45">
                  <c:v>24995</c:v>
                </c:pt>
                <c:pt idx="46">
                  <c:v>22070</c:v>
                </c:pt>
                <c:pt idx="47">
                  <c:v>17449</c:v>
                </c:pt>
                <c:pt idx="48">
                  <c:v>16129</c:v>
                </c:pt>
                <c:pt idx="49">
                  <c:v>18387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4-4CEC-8681-3632958D3C47}"/>
            </c:ext>
          </c:extLst>
        </c:ser>
        <c:ser>
          <c:idx val="1"/>
          <c:order val="1"/>
          <c:tx>
            <c:strRef>
              <c:f>'Task-6.2'!$C$1</c:f>
              <c:strCache>
                <c:ptCount val="1"/>
                <c:pt idx="0">
                  <c:v>Forecast(Sum of NewFollower-Unfollower)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'Task-6.2'!$A$2:$A$80</c:f>
              <c:numCache>
                <c:formatCode>m/d/yyyy</c:formatCode>
                <c:ptCount val="79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  <c:pt idx="67">
                  <c:v>45915</c:v>
                </c:pt>
                <c:pt idx="68">
                  <c:v>45922</c:v>
                </c:pt>
                <c:pt idx="69">
                  <c:v>45929</c:v>
                </c:pt>
                <c:pt idx="70">
                  <c:v>45936</c:v>
                </c:pt>
                <c:pt idx="71">
                  <c:v>45943</c:v>
                </c:pt>
                <c:pt idx="72">
                  <c:v>45950</c:v>
                </c:pt>
                <c:pt idx="73">
                  <c:v>45957</c:v>
                </c:pt>
                <c:pt idx="74">
                  <c:v>45964</c:v>
                </c:pt>
                <c:pt idx="75">
                  <c:v>45971</c:v>
                </c:pt>
                <c:pt idx="76">
                  <c:v>45978</c:v>
                </c:pt>
                <c:pt idx="77">
                  <c:v>45985</c:v>
                </c:pt>
                <c:pt idx="78">
                  <c:v>45991</c:v>
                </c:pt>
              </c:numCache>
            </c:numRef>
          </c:cat>
          <c:val>
            <c:numRef>
              <c:f>'Task-6.2'!$C$2:$C$80</c:f>
              <c:numCache>
                <c:formatCode>General</c:formatCode>
                <c:ptCount val="79"/>
                <c:pt idx="49">
                  <c:v>18387</c:v>
                </c:pt>
                <c:pt idx="50">
                  <c:v>25122.154715668392</c:v>
                </c:pt>
                <c:pt idx="51">
                  <c:v>25112.609322838616</c:v>
                </c:pt>
                <c:pt idx="52">
                  <c:v>19345.797873678301</c:v>
                </c:pt>
                <c:pt idx="53">
                  <c:v>21931.866842323849</c:v>
                </c:pt>
                <c:pt idx="54">
                  <c:v>21191.130309050128</c:v>
                </c:pt>
                <c:pt idx="55">
                  <c:v>21634.278807626128</c:v>
                </c:pt>
                <c:pt idx="56">
                  <c:v>16326.741265377625</c:v>
                </c:pt>
                <c:pt idx="57">
                  <c:v>20154.947768910653</c:v>
                </c:pt>
                <c:pt idx="58">
                  <c:v>18501.229694052305</c:v>
                </c:pt>
                <c:pt idx="59">
                  <c:v>18340.071588635452</c:v>
                </c:pt>
                <c:pt idx="60">
                  <c:v>25075.226304303844</c:v>
                </c:pt>
                <c:pt idx="61">
                  <c:v>25065.680911474068</c:v>
                </c:pt>
                <c:pt idx="62">
                  <c:v>19298.869462313753</c:v>
                </c:pt>
                <c:pt idx="63">
                  <c:v>21884.938430959304</c:v>
                </c:pt>
                <c:pt idx="64">
                  <c:v>21144.20189768558</c:v>
                </c:pt>
                <c:pt idx="65">
                  <c:v>21587.35039626158</c:v>
                </c:pt>
                <c:pt idx="66">
                  <c:v>16279.81285401308</c:v>
                </c:pt>
                <c:pt idx="67">
                  <c:v>20108.019357546105</c:v>
                </c:pt>
                <c:pt idx="68">
                  <c:v>18454.301282687757</c:v>
                </c:pt>
                <c:pt idx="69">
                  <c:v>18293.143177270904</c:v>
                </c:pt>
                <c:pt idx="70">
                  <c:v>25028.297892939296</c:v>
                </c:pt>
                <c:pt idx="71">
                  <c:v>25018.752500109527</c:v>
                </c:pt>
                <c:pt idx="72">
                  <c:v>19251.941050949205</c:v>
                </c:pt>
                <c:pt idx="73">
                  <c:v>21838.010019594756</c:v>
                </c:pt>
                <c:pt idx="74">
                  <c:v>21097.273486321035</c:v>
                </c:pt>
                <c:pt idx="75">
                  <c:v>21540.421984897032</c:v>
                </c:pt>
                <c:pt idx="76">
                  <c:v>16232.884442648532</c:v>
                </c:pt>
                <c:pt idx="77">
                  <c:v>20061.090946181557</c:v>
                </c:pt>
                <c:pt idx="78">
                  <c:v>18643.618310588685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D4-4CEC-8681-3632958D3C47}"/>
            </c:ext>
          </c:extLst>
        </c:ser>
        <c:ser>
          <c:idx val="2"/>
          <c:order val="2"/>
          <c:tx>
            <c:strRef>
              <c:f>'Task-6.2'!$D$1</c:f>
              <c:strCache>
                <c:ptCount val="1"/>
                <c:pt idx="0">
                  <c:v>Lower Confidence Bound(Sum of NewFollower-Unfollower)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'Task-6.2'!$A$2:$A$80</c:f>
              <c:numCache>
                <c:formatCode>m/d/yyyy</c:formatCode>
                <c:ptCount val="79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  <c:pt idx="67">
                  <c:v>45915</c:v>
                </c:pt>
                <c:pt idx="68">
                  <c:v>45922</c:v>
                </c:pt>
                <c:pt idx="69">
                  <c:v>45929</c:v>
                </c:pt>
                <c:pt idx="70">
                  <c:v>45936</c:v>
                </c:pt>
                <c:pt idx="71">
                  <c:v>45943</c:v>
                </c:pt>
                <c:pt idx="72">
                  <c:v>45950</c:v>
                </c:pt>
                <c:pt idx="73">
                  <c:v>45957</c:v>
                </c:pt>
                <c:pt idx="74">
                  <c:v>45964</c:v>
                </c:pt>
                <c:pt idx="75">
                  <c:v>45971</c:v>
                </c:pt>
                <c:pt idx="76">
                  <c:v>45978</c:v>
                </c:pt>
                <c:pt idx="77">
                  <c:v>45985</c:v>
                </c:pt>
                <c:pt idx="78">
                  <c:v>45991</c:v>
                </c:pt>
              </c:numCache>
            </c:numRef>
          </c:cat>
          <c:val>
            <c:numRef>
              <c:f>'Task-6.2'!$D$2:$D$80</c:f>
              <c:numCache>
                <c:formatCode>General</c:formatCode>
                <c:ptCount val="79"/>
                <c:pt idx="49" formatCode="0.00">
                  <c:v>18387</c:v>
                </c:pt>
                <c:pt idx="50" formatCode="0.00">
                  <c:v>16153.584662236894</c:v>
                </c:pt>
                <c:pt idx="51" formatCode="0.00">
                  <c:v>16143.998910932687</c:v>
                </c:pt>
                <c:pt idx="52" formatCode="0.00">
                  <c:v>10377.115713821797</c:v>
                </c:pt>
                <c:pt idx="53" formatCode="0.00">
                  <c:v>12963.072577443625</c:v>
                </c:pt>
                <c:pt idx="54" formatCode="0.00">
                  <c:v>12222.17461539742</c:v>
                </c:pt>
                <c:pt idx="55" formatCode="0.00">
                  <c:v>12665.103396146169</c:v>
                </c:pt>
                <c:pt idx="56" formatCode="0.00">
                  <c:v>7357.2788836169384</c:v>
                </c:pt>
                <c:pt idx="57" formatCode="0.00">
                  <c:v>11185.12220355136</c:v>
                </c:pt>
                <c:pt idx="58" formatCode="0.00">
                  <c:v>9530.9557741625958</c:v>
                </c:pt>
                <c:pt idx="59" formatCode="0.00">
                  <c:v>9369.2551897251105</c:v>
                </c:pt>
                <c:pt idx="60" formatCode="0.00">
                  <c:v>16020.656405752727</c:v>
                </c:pt>
                <c:pt idx="61" formatCode="0.00">
                  <c:v>16010.36039783151</c:v>
                </c:pt>
                <c:pt idx="62" formatCode="0.00">
                  <c:v>10242.678490742914</c:v>
                </c:pt>
                <c:pt idx="63" formatCode="0.00">
                  <c:v>12827.748312355083</c:v>
                </c:pt>
                <c:pt idx="64" formatCode="0.00">
                  <c:v>12085.875105819679</c:v>
                </c:pt>
                <c:pt idx="65" formatCode="0.00">
                  <c:v>12527.740578220864</c:v>
                </c:pt>
                <c:pt idx="66" formatCode="0.00">
                  <c:v>7218.7648420140267</c:v>
                </c:pt>
                <c:pt idx="67" formatCode="0.00">
                  <c:v>11045.369182207216</c:v>
                </c:pt>
                <c:pt idx="68" formatCode="0.00">
                  <c:v>9389.8761878407968</c:v>
                </c:pt>
                <c:pt idx="69" formatCode="0.00">
                  <c:v>9226.7616363906836</c:v>
                </c:pt>
                <c:pt idx="70" formatCode="0.00">
                  <c:v>15866.562274826083</c:v>
                </c:pt>
                <c:pt idx="71" formatCode="0.00">
                  <c:v>15854.695004500871</c:v>
                </c:pt>
                <c:pt idx="72" formatCode="0.00">
                  <c:v>10085.35605509977</c:v>
                </c:pt>
                <c:pt idx="73" formatCode="0.00">
                  <c:v>12668.683298584428</c:v>
                </c:pt>
                <c:pt idx="74" formatCode="0.00">
                  <c:v>11924.982237956479</c:v>
                </c:pt>
                <c:pt idx="75" formatCode="0.00">
                  <c:v>12364.934856618629</c:v>
                </c:pt>
                <c:pt idx="76" formatCode="0.00">
                  <c:v>7053.9615605090148</c:v>
                </c:pt>
                <c:pt idx="77" formatCode="0.00">
                  <c:v>10878.483945960539</c:v>
                </c:pt>
                <c:pt idx="78" formatCode="0.00">
                  <c:v>9457.6332589143221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D4-4CEC-8681-3632958D3C47}"/>
            </c:ext>
          </c:extLst>
        </c:ser>
        <c:ser>
          <c:idx val="3"/>
          <c:order val="3"/>
          <c:tx>
            <c:strRef>
              <c:f>'Task-6.2'!$E$1</c:f>
              <c:strCache>
                <c:ptCount val="1"/>
                <c:pt idx="0">
                  <c:v>Upper Confidence Bound(Sum of NewFollower-Unfollower)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'Task-6.2'!$A$2:$A$80</c:f>
              <c:numCache>
                <c:formatCode>m/d/yyyy</c:formatCode>
                <c:ptCount val="79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  <c:pt idx="67">
                  <c:v>45915</c:v>
                </c:pt>
                <c:pt idx="68">
                  <c:v>45922</c:v>
                </c:pt>
                <c:pt idx="69">
                  <c:v>45929</c:v>
                </c:pt>
                <c:pt idx="70">
                  <c:v>45936</c:v>
                </c:pt>
                <c:pt idx="71">
                  <c:v>45943</c:v>
                </c:pt>
                <c:pt idx="72">
                  <c:v>45950</c:v>
                </c:pt>
                <c:pt idx="73">
                  <c:v>45957</c:v>
                </c:pt>
                <c:pt idx="74">
                  <c:v>45964</c:v>
                </c:pt>
                <c:pt idx="75">
                  <c:v>45971</c:v>
                </c:pt>
                <c:pt idx="76">
                  <c:v>45978</c:v>
                </c:pt>
                <c:pt idx="77">
                  <c:v>45985</c:v>
                </c:pt>
                <c:pt idx="78">
                  <c:v>45991</c:v>
                </c:pt>
              </c:numCache>
            </c:numRef>
          </c:cat>
          <c:val>
            <c:numRef>
              <c:f>'Task-6.2'!$E$2:$E$80</c:f>
              <c:numCache>
                <c:formatCode>General</c:formatCode>
                <c:ptCount val="79"/>
                <c:pt idx="49" formatCode="0.00">
                  <c:v>18387</c:v>
                </c:pt>
                <c:pt idx="50" formatCode="0.00">
                  <c:v>34090.724769099892</c:v>
                </c:pt>
                <c:pt idx="51" formatCode="0.00">
                  <c:v>34081.219734744547</c:v>
                </c:pt>
                <c:pt idx="52" formatCode="0.00">
                  <c:v>28314.480033534805</c:v>
                </c:pt>
                <c:pt idx="53" formatCode="0.00">
                  <c:v>30900.661107204072</c:v>
                </c:pt>
                <c:pt idx="54" formatCode="0.00">
                  <c:v>30160.086002702836</c:v>
                </c:pt>
                <c:pt idx="55" formatCode="0.00">
                  <c:v>30603.454219106086</c:v>
                </c:pt>
                <c:pt idx="56" formatCode="0.00">
                  <c:v>25296.203647138311</c:v>
                </c:pt>
                <c:pt idx="57" formatCode="0.00">
                  <c:v>29124.773334269947</c:v>
                </c:pt>
                <c:pt idx="58" formatCode="0.00">
                  <c:v>27471.503613942012</c:v>
                </c:pt>
                <c:pt idx="59" formatCode="0.00">
                  <c:v>27310.887987545793</c:v>
                </c:pt>
                <c:pt idx="60" formatCode="0.00">
                  <c:v>34129.796202854959</c:v>
                </c:pt>
                <c:pt idx="61" formatCode="0.00">
                  <c:v>34121.001425116629</c:v>
                </c:pt>
                <c:pt idx="62" formatCode="0.00">
                  <c:v>28355.060433884591</c:v>
                </c:pt>
                <c:pt idx="63" formatCode="0.00">
                  <c:v>30942.128549563524</c:v>
                </c:pt>
                <c:pt idx="64" formatCode="0.00">
                  <c:v>30202.52868955148</c:v>
                </c:pt>
                <c:pt idx="65" formatCode="0.00">
                  <c:v>30646.960214302293</c:v>
                </c:pt>
                <c:pt idx="66" formatCode="0.00">
                  <c:v>25340.860866012132</c:v>
                </c:pt>
                <c:pt idx="67" formatCode="0.00">
                  <c:v>29170.669532884996</c:v>
                </c:pt>
                <c:pt idx="68" formatCode="0.00">
                  <c:v>27518.726377534716</c:v>
                </c:pt>
                <c:pt idx="69" formatCode="0.00">
                  <c:v>27359.524718151122</c:v>
                </c:pt>
                <c:pt idx="70" formatCode="0.00">
                  <c:v>34190.033511052505</c:v>
                </c:pt>
                <c:pt idx="71" formatCode="0.00">
                  <c:v>34182.809995718184</c:v>
                </c:pt>
                <c:pt idx="72" formatCode="0.00">
                  <c:v>28418.526046798637</c:v>
                </c:pt>
                <c:pt idx="73" formatCode="0.00">
                  <c:v>31007.336740605082</c:v>
                </c:pt>
                <c:pt idx="74" formatCode="0.00">
                  <c:v>30269.564734685591</c:v>
                </c:pt>
                <c:pt idx="75" formatCode="0.00">
                  <c:v>30715.909113175432</c:v>
                </c:pt>
                <c:pt idx="76" formatCode="0.00">
                  <c:v>25411.807324788049</c:v>
                </c:pt>
                <c:pt idx="77" formatCode="0.00">
                  <c:v>29243.697946402575</c:v>
                </c:pt>
                <c:pt idx="78" formatCode="0.00">
                  <c:v>27829.603362263049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D4-4CEC-8681-3632958D3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330575"/>
        <c:axId val="900314255"/>
      </c:lineChart>
      <c:catAx>
        <c:axId val="90033057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14255"/>
        <c:crosses val="autoZero"/>
        <c:auto val="1"/>
        <c:lblAlgn val="ctr"/>
        <c:lblOffset val="100"/>
        <c:noMultiLvlLbl val="0"/>
      </c:catAx>
      <c:valAx>
        <c:axId val="9003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3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'Task-6.3'!$C$6</c:f>
              <c:strCache>
                <c:ptCount val="1"/>
                <c:pt idx="0">
                  <c:v>Average_Follower_Growth_Rate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'Task-6.3'!$B$7:$B$18</c:f>
              <c:numCache>
                <c:formatCode>General</c:formatCode>
                <c:ptCount val="12"/>
                <c:pt idx="0">
                  <c:v>34258.9375</c:v>
                </c:pt>
                <c:pt idx="1">
                  <c:v>27614.625</c:v>
                </c:pt>
                <c:pt idx="2">
                  <c:v>35630.1</c:v>
                </c:pt>
                <c:pt idx="3">
                  <c:v>35863.0625</c:v>
                </c:pt>
                <c:pt idx="4">
                  <c:v>35986.625</c:v>
                </c:pt>
                <c:pt idx="5">
                  <c:v>34480.25</c:v>
                </c:pt>
                <c:pt idx="6">
                  <c:v>34007</c:v>
                </c:pt>
                <c:pt idx="7">
                  <c:v>34065.375</c:v>
                </c:pt>
                <c:pt idx="8">
                  <c:v>33809.050000000003</c:v>
                </c:pt>
                <c:pt idx="9">
                  <c:v>36221.5</c:v>
                </c:pt>
                <c:pt idx="10">
                  <c:v>40111.3125</c:v>
                </c:pt>
                <c:pt idx="11">
                  <c:v>34410.15</c:v>
                </c:pt>
              </c:numCache>
            </c:numRef>
          </c:xVal>
          <c:yVal>
            <c:numRef>
              <c:f>'Task-6.3'!$C$7:$C$18</c:f>
              <c:numCache>
                <c:formatCode>0.00%</c:formatCode>
                <c:ptCount val="12"/>
                <c:pt idx="0">
                  <c:v>7.3093713301882303E-3</c:v>
                </c:pt>
                <c:pt idx="1">
                  <c:v>6.1681377761632038E-3</c:v>
                </c:pt>
                <c:pt idx="2">
                  <c:v>5.281801112864277E-3</c:v>
                </c:pt>
                <c:pt idx="3">
                  <c:v>4.791453414250137E-3</c:v>
                </c:pt>
                <c:pt idx="4">
                  <c:v>3.681053387028559E-3</c:v>
                </c:pt>
                <c:pt idx="5">
                  <c:v>4.3724623469728295E-2</c:v>
                </c:pt>
                <c:pt idx="6">
                  <c:v>1.9873369679269698E-2</c:v>
                </c:pt>
                <c:pt idx="7">
                  <c:v>1.5153834280390332E-2</c:v>
                </c:pt>
                <c:pt idx="8">
                  <c:v>1.1224688027926333E-2</c:v>
                </c:pt>
                <c:pt idx="9">
                  <c:v>1.143216902897167E-2</c:v>
                </c:pt>
                <c:pt idx="10">
                  <c:v>8.4963329300639986E-3</c:v>
                </c:pt>
                <c:pt idx="11">
                  <c:v>6.6673323075731369E-3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1A-4E48-8EC2-E608B1567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334415"/>
        <c:axId val="900334895"/>
      </c:scatterChart>
      <c:valAx>
        <c:axId val="90033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34895"/>
        <c:crosses val="autoZero"/>
        <c:crossBetween val="midCat"/>
      </c:valAx>
      <c:valAx>
        <c:axId val="9003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33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Data_Project.xlsx]Task-5.4!PivotTable2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'Task-5.4'!$B$3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'Task-5.4'!$A$4:$A$8</c:f>
              <c:strCache>
                <c:ptCount val="4"/>
                <c:pt idx="0">
                  <c:v>Apple Watch Ultra 2 Launch</c:v>
                </c:pt>
                <c:pt idx="1">
                  <c:v>iPhone 16 Launch</c:v>
                </c:pt>
                <c:pt idx="2">
                  <c:v>MacBook Air M3 Campaign</c:v>
                </c:pt>
                <c:pt idx="3">
                  <c:v>Sustainability Awareness Drive</c:v>
                </c:pt>
              </c:strCache>
            </c:strRef>
          </c:cat>
          <c:val>
            <c:numRef>
              <c:f>'Task-5.4'!$B$4:$B$8</c:f>
              <c:numCache>
                <c:formatCode>0.00%</c:formatCode>
                <c:ptCount val="4"/>
                <c:pt idx="0">
                  <c:v>8.1853409229682376E-3</c:v>
                </c:pt>
                <c:pt idx="1">
                  <c:v>2.6400202996414567E-2</c:v>
                </c:pt>
                <c:pt idx="2">
                  <c:v>1.1432169028971668E-2</c:v>
                </c:pt>
                <c:pt idx="3">
                  <c:v>5.2818011128642761E-3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5-4896-B1DB-D4E56405E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68049055"/>
        <c:axId val="1068044255"/>
      </c:barChart>
      <c:catAx>
        <c:axId val="106804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44255"/>
        <c:crosses val="autoZero"/>
        <c:auto val="1"/>
        <c:lblAlgn val="ctr"/>
        <c:lblOffset val="100"/>
        <c:noMultiLvlLbl val="0"/>
      </c:catAx>
      <c:valAx>
        <c:axId val="10680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4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19</xdr:row>
      <xdr:rowOff>163830</xdr:rowOff>
    </xdr:from>
    <xdr:to>
      <xdr:col>8</xdr:col>
      <xdr:colOff>45720</xdr:colOff>
      <xdr:row>34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7B132-C6F1-5FCF-53B7-5EC985691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365760</xdr:colOff>
      <xdr:row>1</xdr:row>
      <xdr:rowOff>179070</xdr:rowOff>
    </xdr:from>
    <xdr:to>
      <xdr:col>8</xdr:col>
      <xdr:colOff>541020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539B91-4B4B-34BD-71D2-6A8EBD66E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7</xdr:row>
      <xdr:rowOff>148590</xdr:rowOff>
    </xdr:from>
    <xdr:to>
      <xdr:col>15</xdr:col>
      <xdr:colOff>350520</xdr:colOff>
      <xdr:row>32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3E50A-3AF4-923D-27DD-83A804554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182880</xdr:colOff>
      <xdr:row>0</xdr:row>
      <xdr:rowOff>156210</xdr:rowOff>
    </xdr:from>
    <xdr:to>
      <xdr:col>16</xdr:col>
      <xdr:colOff>60960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ECC3A-A7C1-6755-7C01-35206A37D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21</xdr:row>
      <xdr:rowOff>152400</xdr:rowOff>
    </xdr:from>
    <xdr:to>
      <xdr:col>12</xdr:col>
      <xdr:colOff>129540</xdr:colOff>
      <xdr:row>36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FDE3FE-F466-4C88-951F-9B7511927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167640</xdr:rowOff>
    </xdr:from>
    <xdr:to>
      <xdr:col>6</xdr:col>
      <xdr:colOff>1920240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16782-DB06-22C8-576F-0123BFCD5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2164080</xdr:colOff>
      <xdr:row>1</xdr:row>
      <xdr:rowOff>64770</xdr:rowOff>
    </xdr:from>
    <xdr:to>
      <xdr:col>4</xdr:col>
      <xdr:colOff>3575685</xdr:colOff>
      <xdr:row>21</xdr:row>
      <xdr:rowOff>74295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53E3C-4A66-1F92-2973-BC89C16F9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3</xdr:row>
      <xdr:rowOff>45720</xdr:rowOff>
    </xdr:from>
    <xdr:to>
      <xdr:col>6</xdr:col>
      <xdr:colOff>1196340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11464-27DF-A7B8-ABDA-7D3E54EFB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0</xdr:row>
      <xdr:rowOff>72390</xdr:rowOff>
    </xdr:from>
    <xdr:to>
      <xdr:col>11</xdr:col>
      <xdr:colOff>502920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4F851-0233-ECD8-9F39-FE43E5A1C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rani" refreshedDate="45972.824795717592" createdVersion="8" refreshedVersion="8" minRefreshableVersion="3" recordCount="302" xr:uid="{8D98E20A-DAF2-4E05-8C09-D7013C808546}">
  <cacheSource type="worksheet">
    <worksheetSource ref="A1:M1048576" sheet="Task-2"/>
  </cacheSource>
  <cacheFields count="13">
    <cacheField name="PostID" numFmtId="0">
      <sharedItems containsBlank="1" count="301">
        <s v="A82"/>
        <s v="A201"/>
        <s v="A121"/>
        <s v="A127"/>
        <s v="A13"/>
        <s v="A123"/>
        <s v="A287"/>
        <s v="A226"/>
        <s v="A231"/>
        <s v="A185"/>
        <s v="A106"/>
        <s v="A174"/>
        <s v="A254"/>
        <s v="A223"/>
        <s v="A164"/>
        <s v="A151"/>
        <s v="A140"/>
        <s v="A83"/>
        <s v="A196"/>
        <s v="A136"/>
        <s v="A5"/>
        <s v="A80"/>
        <s v="A150"/>
        <s v="A220"/>
        <s v="A21"/>
        <s v="A244"/>
        <s v="A76"/>
        <s v="A216"/>
        <s v="A51"/>
        <s v="A6"/>
        <s v="A289"/>
        <s v="A186"/>
        <s v="A61"/>
        <s v="A286"/>
        <s v="A105"/>
        <s v="A119"/>
        <s v="A170"/>
        <s v="A46"/>
        <s v="A187"/>
        <s v="A190"/>
        <s v="A251"/>
        <s v="A74"/>
        <s v="A42"/>
        <s v="A246"/>
        <s v="A260"/>
        <s v="A93"/>
        <s v="A163"/>
        <s v="A300"/>
        <s v="A68"/>
        <s v="A126"/>
        <s v="A129"/>
        <s v="A97"/>
        <s v="A47"/>
        <s v="A152"/>
        <s v="A230"/>
        <s v="A148"/>
        <s v="A139"/>
        <s v="A23"/>
        <s v="A125"/>
        <s v="A91"/>
        <s v="A44"/>
        <s v="A276"/>
        <s v="A160"/>
        <s v="A158"/>
        <s v="A202"/>
        <s v="A73"/>
        <s v="A221"/>
        <s v="A285"/>
        <s v="A62"/>
        <s v="A75"/>
        <s v="A189"/>
        <s v="A50"/>
        <s v="A132"/>
        <s v="A40"/>
        <s v="A77"/>
        <s v="A264"/>
        <s v="A108"/>
        <s v="A248"/>
        <s v="A104"/>
        <s v="A242"/>
        <s v="A155"/>
        <s v="A232"/>
        <s v="A224"/>
        <s v="A67"/>
        <s v="A203"/>
        <s v="A184"/>
        <s v="A88"/>
        <s v="A39"/>
        <s v="A168"/>
        <s v="A60"/>
        <s v="A147"/>
        <s v="A72"/>
        <s v="A265"/>
        <s v="A7"/>
        <s v="A100"/>
        <s v="A294"/>
        <s v="A1"/>
        <s v="A84"/>
        <s v="A53"/>
        <s v="A138"/>
        <s v="A194"/>
        <s v="A135"/>
        <s v="A205"/>
        <s v="A24"/>
        <s v="A271"/>
        <s v="A131"/>
        <s v="A36"/>
        <s v="A144"/>
        <s v="A157"/>
        <s v="A109"/>
        <s v="A217"/>
        <s v="A66"/>
        <s v="A228"/>
        <s v="A234"/>
        <s v="A107"/>
        <s v="A63"/>
        <s v="A204"/>
        <s v="A250"/>
        <s v="A95"/>
        <s v="A143"/>
        <s v="A98"/>
        <s v="A161"/>
        <s v="A27"/>
        <s v="A128"/>
        <s v="A159"/>
        <s v="A195"/>
        <s v="A71"/>
        <s v="A92"/>
        <s v="A225"/>
        <s v="A19"/>
        <s v="A3"/>
        <s v="A146"/>
        <s v="A284"/>
        <s v="A235"/>
        <s v="A282"/>
        <s v="A258"/>
        <s v="A153"/>
        <s v="A33"/>
        <s v="A183"/>
        <s v="A52"/>
        <s v="A199"/>
        <s v="A262"/>
        <s v="A268"/>
        <s v="A180"/>
        <s v="A214"/>
        <s v="A272"/>
        <s v="A198"/>
        <s v="A296"/>
        <s v="A240"/>
        <s v="A243"/>
        <s v="A290"/>
        <s v="A237"/>
        <s v="A166"/>
        <s v="A122"/>
        <s v="A249"/>
        <s v="A165"/>
        <s v="A10"/>
        <s v="A103"/>
        <s v="A118"/>
        <s v="A253"/>
        <s v="A114"/>
        <s v="A208"/>
        <s v="A263"/>
        <s v="A35"/>
        <s v="A26"/>
        <s v="A238"/>
        <s v="A56"/>
        <s v="A266"/>
        <s v="A179"/>
        <s v="A2"/>
        <s v="A86"/>
        <s v="A57"/>
        <s v="A297"/>
        <s v="A137"/>
        <s v="A29"/>
        <s v="A34"/>
        <s v="A64"/>
        <s v="A55"/>
        <s v="A259"/>
        <s v="A25"/>
        <s v="A213"/>
        <s v="A255"/>
        <s v="A8"/>
        <s v="A215"/>
        <s v="A117"/>
        <s v="A176"/>
        <s v="A175"/>
        <s v="A212"/>
        <s v="A172"/>
        <s v="A191"/>
        <s v="A227"/>
        <s v="A267"/>
        <s v="A59"/>
        <s v="A124"/>
        <s v="A101"/>
        <s v="A278"/>
        <s v="A11"/>
        <s v="A277"/>
        <s v="A116"/>
        <s v="A112"/>
        <s v="A211"/>
        <s v="A233"/>
        <s v="A239"/>
        <s v="A17"/>
        <s v="A252"/>
        <s v="A209"/>
        <s v="A18"/>
        <s v="A229"/>
        <s v="A89"/>
        <s v="A177"/>
        <s v="A192"/>
        <s v="A115"/>
        <s v="A257"/>
        <s v="A291"/>
        <s v="A299"/>
        <s v="A45"/>
        <s v="A37"/>
        <s v="A162"/>
        <s v="A279"/>
        <s v="A241"/>
        <s v="A111"/>
        <s v="A99"/>
        <s v="A222"/>
        <s v="A54"/>
        <s v="A218"/>
        <s v="A154"/>
        <s v="A210"/>
        <s v="A149"/>
        <s v="A295"/>
        <s v="A85"/>
        <s v="A156"/>
        <s v="A270"/>
        <s v="A169"/>
        <s v="A81"/>
        <s v="A48"/>
        <s v="A15"/>
        <s v="A288"/>
        <s v="A32"/>
        <s v="A133"/>
        <s v="A28"/>
        <s v="A96"/>
        <s v="A87"/>
        <s v="A49"/>
        <s v="A20"/>
        <s v="A102"/>
        <s v="A69"/>
        <s v="A120"/>
        <s v="A293"/>
        <s v="A113"/>
        <s v="A197"/>
        <s v="A94"/>
        <s v="A30"/>
        <s v="A12"/>
        <s v="A269"/>
        <s v="A9"/>
        <s v="A31"/>
        <s v="A22"/>
        <s v="A200"/>
        <s v="A261"/>
        <s v="A219"/>
        <s v="A171"/>
        <s v="A65"/>
        <s v="A130"/>
        <s v="A16"/>
        <s v="A58"/>
        <s v="A145"/>
        <s v="A283"/>
        <s v="A298"/>
        <s v="A90"/>
        <s v="A134"/>
        <s v="A38"/>
        <s v="A70"/>
        <s v="A142"/>
        <s v="A207"/>
        <s v="A274"/>
        <s v="A206"/>
        <s v="A256"/>
        <s v="A182"/>
        <s v="A79"/>
        <s v="A14"/>
        <s v="A275"/>
        <s v="A141"/>
        <s v="A43"/>
        <s v="A281"/>
        <s v="A280"/>
        <s v="A178"/>
        <s v="A181"/>
        <s v="A110"/>
        <s v="A292"/>
        <s v="A273"/>
        <s v="A247"/>
        <s v="A173"/>
        <s v="A193"/>
        <s v="A245"/>
        <s v="A236"/>
        <s v="A41"/>
        <s v="A78"/>
        <s v="A188"/>
        <s v="A4"/>
        <s v="A167"/>
        <m/>
      </sharedItems>
    </cacheField>
    <cacheField name="Platform" numFmtId="0">
      <sharedItems containsBlank="1" count="5">
        <s v="LinkedIn"/>
        <s v="YouTube"/>
        <s v="Twitter"/>
        <s v="Instagram"/>
        <m/>
      </sharedItems>
    </cacheField>
    <cacheField name="Date" numFmtId="0">
      <sharedItems containsNonDate="0" containsDate="1" containsString="0" containsBlank="1" minDate="2024-06-01T00:00:00" maxDate="2025-10-16T00:00:00"/>
    </cacheField>
    <cacheField name="ContentType" numFmtId="0">
      <sharedItems containsBlank="1"/>
    </cacheField>
    <cacheField name="Hashtags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EngagementRate" numFmtId="0">
      <sharedItems containsString="0" containsBlank="1" containsNumber="1" minValue="1.6616512501514722E-2" maxValue="0.49054105563022848"/>
    </cacheField>
    <cacheField name="Campaig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rani" refreshedDate="45972.872962384259" createdVersion="8" refreshedVersion="8" minRefreshableVersion="3" recordCount="302" xr:uid="{5EED219D-B85C-40DE-8667-BA3CA236336F}">
  <cacheSource type="worksheet">
    <worksheetSource ref="A1:M1048576" sheet="Posts"/>
  </cacheSource>
  <cacheFields count="13">
    <cacheField name="PostID" numFmtId="0">
      <sharedItems containsBlank="1"/>
    </cacheField>
    <cacheField name="Platform" numFmtId="0">
      <sharedItems containsBlank="1" count="5">
        <s v="LinkedIn"/>
        <s v="YouTube"/>
        <s v="Twitter"/>
        <s v="Instagram"/>
        <m/>
      </sharedItems>
    </cacheField>
    <cacheField name="Date" numFmtId="164">
      <sharedItems containsNonDate="0" containsDate="1" containsString="0" containsBlank="1" minDate="2024-06-01T00:00:00" maxDate="2025-10-16T00:00:00"/>
    </cacheField>
    <cacheField name="ContentType" numFmtId="0">
      <sharedItems containsBlank="1" count="5">
        <s v="Video"/>
        <s v="Tweet"/>
        <s v="Image"/>
        <s v="Carousel"/>
        <m/>
      </sharedItems>
    </cacheField>
    <cacheField name="Hashtags" numFmtId="0">
      <sharedItems containsBlank="1" count="13">
        <s v="#AppleMusic, #AppleLifestyle"/>
        <s v="#ShotOniPhone"/>
        <s v="#AppleWatchUltra2, #HealthTech"/>
        <s v="#AppleEvent, #iPhone16"/>
        <s v="#AppleEvent, #iPadPro"/>
        <s v="#AppleWatch, #Health"/>
        <s v="#MacBookAirM3, #AppleInnovation"/>
        <s v="#AppleDesign, #Innovation"/>
        <s v="#MacBookProM3"/>
        <s v="#iPhonePhotography, #ShotOniPhone"/>
        <s v="#iPhone16Launch, #AppleEvent"/>
        <s v="#Sustainability, #AppleEarth"/>
        <m/>
      </sharedItems>
    </cacheField>
    <cacheField name="Likes" numFmtId="0">
      <sharedItems containsString="0" containsBlank="1" containsNumber="1" containsInteger="1" minValue="2009" maxValue="24984"/>
    </cacheField>
    <cacheField name="Shares" numFmtId="3">
      <sharedItems containsString="0" containsBlank="1" containsNumber="1" containsInteger="1" minValue="203" maxValue="1487"/>
    </cacheField>
    <cacheField name="Comments" numFmtId="165">
      <sharedItems containsString="0" containsBlank="1" containsNumber="1" containsInteger="1" minValue="152" maxValue="999"/>
    </cacheField>
    <cacheField name="Clicks" numFmtId="165">
      <sharedItems containsString="0" containsBlank="1" containsNumber="1" containsInteger="1" minValue="301" maxValue="2936"/>
    </cacheField>
    <cacheField name="Reach" numFmtId="165">
      <sharedItems containsString="0" containsBlank="1" containsNumber="1" containsInteger="1" minValue="7" maxValue="97772"/>
    </cacheField>
    <cacheField name="Impressions" numFmtId="165">
      <sharedItems containsString="0" containsBlank="1" containsNumber="1" containsInteger="1" minValue="40281" maxValue="249988"/>
    </cacheField>
    <cacheField name="EngagementRate" numFmtId="10">
      <sharedItems containsString="0" containsBlank="1" containsNumber="1" minValue="1.6616512501514722E-2" maxValue="0.49054105563022848"/>
    </cacheField>
    <cacheField name="Campaig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rani" refreshedDate="45972.896465393518" createdVersion="8" refreshedVersion="8" minRefreshableVersion="3" recordCount="300" xr:uid="{9BB53C64-A71A-46F3-900D-49118E9FC36E}">
  <cacheSource type="worksheet">
    <worksheetSource name="Table1"/>
  </cacheSource>
  <cacheFields count="13">
    <cacheField name="PostID" numFmtId="0">
      <sharedItems/>
    </cacheField>
    <cacheField name="Platform" numFmtId="0">
      <sharedItems count="4">
        <s v="LinkedIn"/>
        <s v="YouTube"/>
        <s v="Twitter"/>
        <s v="Instagram"/>
      </sharedItems>
    </cacheField>
    <cacheField name="Date" numFmtId="164">
      <sharedItems containsSemiMixedTypes="0" containsNonDate="0" containsDate="1" containsString="0" minDate="2024-06-01T00:00:00" maxDate="2025-10-16T00:00:00"/>
    </cacheField>
    <cacheField name="ContentType" numFmtId="0">
      <sharedItems count="4">
        <s v="Video"/>
        <s v="Tweet"/>
        <s v="Image"/>
        <s v="Carousel"/>
      </sharedItems>
    </cacheField>
    <cacheField name="Hashtags" numFmtId="0">
      <sharedItems count="12">
        <s v="#AppleMusic, #AppleLifestyle"/>
        <s v="#ShotOniPhone"/>
        <s v="#AppleWatchUltra2, #HealthTech"/>
        <s v="#AppleEvent, #iPhone16"/>
        <s v="#AppleEvent, #iPadPro"/>
        <s v="#AppleWatch, #Health"/>
        <s v="#MacBookAirM3, #AppleInnovation"/>
        <s v="#AppleDesign, #Innovation"/>
        <s v="#MacBookProM3"/>
        <s v="#iPhonePhotography, #ShotOniPhone"/>
        <s v="#iPhone16Launch, #AppleEvent"/>
        <s v="#Sustainability, #AppleEarth"/>
      </sharedItems>
    </cacheField>
    <cacheField name="Likes" numFmtId="3">
      <sharedItems containsSemiMixedTypes="0" containsString="0" containsNumber="1" containsInteger="1" minValue="2009" maxValue="24984"/>
    </cacheField>
    <cacheField name="Shares" numFmtId="3">
      <sharedItems containsSemiMixedTypes="0" containsString="0" containsNumber="1" containsInteger="1" minValue="203" maxValue="1487"/>
    </cacheField>
    <cacheField name="Comments" numFmtId="165">
      <sharedItems containsSemiMixedTypes="0" containsString="0" containsNumber="1" containsInteger="1" minValue="152" maxValue="999"/>
    </cacheField>
    <cacheField name="Clicks" numFmtId="165">
      <sharedItems containsSemiMixedTypes="0" containsString="0" containsNumber="1" containsInteger="1" minValue="301" maxValue="2936" count="281">
        <n v="1519"/>
        <n v="1995"/>
        <n v="1398"/>
        <n v="320"/>
        <n v="1624"/>
        <n v="2010"/>
        <n v="458"/>
        <n v="1628"/>
        <n v="934"/>
        <n v="1689"/>
        <n v="1330"/>
        <n v="416"/>
        <n v="814"/>
        <n v="405"/>
        <n v="2553"/>
        <n v="890"/>
        <n v="1091"/>
        <n v="2187"/>
        <n v="513"/>
        <n v="1233"/>
        <n v="1213"/>
        <n v="1288"/>
        <n v="819"/>
        <n v="2009"/>
        <n v="2387"/>
        <n v="550"/>
        <n v="871"/>
        <n v="2463"/>
        <n v="888"/>
        <n v="753"/>
        <n v="1256"/>
        <n v="906"/>
        <n v="2364"/>
        <n v="2048"/>
        <n v="2807"/>
        <n v="1186"/>
        <n v="2001"/>
        <n v="725"/>
        <n v="465"/>
        <n v="321"/>
        <n v="1293"/>
        <n v="856"/>
        <n v="2354"/>
        <n v="1860"/>
        <n v="826"/>
        <n v="1573"/>
        <n v="1649"/>
        <n v="1168"/>
        <n v="1003"/>
        <n v="2710"/>
        <n v="1350"/>
        <n v="2286"/>
        <n v="1284"/>
        <n v="1092"/>
        <n v="2072"/>
        <n v="1862"/>
        <n v="2748"/>
        <n v="1354"/>
        <n v="2037"/>
        <n v="992"/>
        <n v="1259"/>
        <n v="891"/>
        <n v="1547"/>
        <n v="2469"/>
        <n v="1655"/>
        <n v="659"/>
        <n v="1735"/>
        <n v="2358"/>
        <n v="2703"/>
        <n v="2276"/>
        <n v="2682"/>
        <n v="1049"/>
        <n v="1206"/>
        <n v="1407"/>
        <n v="2728"/>
        <n v="1641"/>
        <n v="2546"/>
        <n v="2225"/>
        <n v="1307"/>
        <n v="1633"/>
        <n v="637"/>
        <n v="1340"/>
        <n v="999"/>
        <n v="2063"/>
        <n v="1556"/>
        <n v="2777"/>
        <n v="984"/>
        <n v="336"/>
        <n v="1015"/>
        <n v="2879"/>
        <n v="2675"/>
        <n v="783"/>
        <n v="1847"/>
        <n v="2155"/>
        <n v="1715"/>
        <n v="869"/>
        <n v="2439"/>
        <n v="1612"/>
        <n v="2289"/>
        <n v="1982"/>
        <n v="655"/>
        <n v="2555"/>
        <n v="648"/>
        <n v="2426"/>
        <n v="1217"/>
        <n v="974"/>
        <n v="2294"/>
        <n v="2570"/>
        <n v="328"/>
        <n v="1409"/>
        <n v="1199"/>
        <n v="2557"/>
        <n v="2839"/>
        <n v="986"/>
        <n v="1859"/>
        <n v="2683"/>
        <n v="2650"/>
        <n v="2263"/>
        <n v="1078"/>
        <n v="885"/>
        <n v="1185"/>
        <n v="727"/>
        <n v="1891"/>
        <n v="1499"/>
        <n v="1383"/>
        <n v="1202"/>
        <n v="1739"/>
        <n v="1530"/>
        <n v="1270"/>
        <n v="2904"/>
        <n v="1643"/>
        <n v="2312"/>
        <n v="1566"/>
        <n v="994"/>
        <n v="371"/>
        <n v="2249"/>
        <n v="961"/>
        <n v="1876"/>
        <n v="2499"/>
        <n v="2183"/>
        <n v="410"/>
        <n v="2371"/>
        <n v="1559"/>
        <n v="2123"/>
        <n v="507"/>
        <n v="2802"/>
        <n v="1272"/>
        <n v="1247"/>
        <n v="338"/>
        <n v="1194"/>
        <n v="1037"/>
        <n v="2251"/>
        <n v="1493"/>
        <n v="515"/>
        <n v="1587"/>
        <n v="2227"/>
        <n v="1387"/>
        <n v="1574"/>
        <n v="1030"/>
        <n v="1848"/>
        <n v="2012"/>
        <n v="2280"/>
        <n v="2700"/>
        <n v="2016"/>
        <n v="747"/>
        <n v="2285"/>
        <n v="2434"/>
        <n v="1585"/>
        <n v="2068"/>
        <n v="1108"/>
        <n v="2011"/>
        <n v="2936"/>
        <n v="2744"/>
        <n v="1667"/>
        <n v="2733"/>
        <n v="2572"/>
        <n v="1313"/>
        <n v="1028"/>
        <n v="2195"/>
        <n v="2656"/>
        <n v="1436"/>
        <n v="1273"/>
        <n v="1062"/>
        <n v="334"/>
        <n v="892"/>
        <n v="1054"/>
        <n v="2300"/>
        <n v="2306"/>
        <n v="301"/>
        <n v="2356"/>
        <n v="2013"/>
        <n v="2462"/>
        <n v="709"/>
        <n v="541"/>
        <n v="1646"/>
        <n v="616"/>
        <n v="2871"/>
        <n v="883"/>
        <n v="2343"/>
        <n v="815"/>
        <n v="313"/>
        <n v="703"/>
        <n v="2767"/>
        <n v="2882"/>
        <n v="490"/>
        <n v="677"/>
        <n v="744"/>
        <n v="584"/>
        <n v="442"/>
        <n v="594"/>
        <n v="2541"/>
        <n v="2335"/>
        <n v="1980"/>
        <n v="1255"/>
        <n v="1565"/>
        <n v="2734"/>
        <n v="606"/>
        <n v="820"/>
        <n v="577"/>
        <n v="1874"/>
        <n v="617"/>
        <n v="2277"/>
        <n v="662"/>
        <n v="1710"/>
        <n v="2653"/>
        <n v="2539"/>
        <n v="2429"/>
        <n v="2189"/>
        <n v="1550"/>
        <n v="2814"/>
        <n v="2504"/>
        <n v="1687"/>
        <n v="1753"/>
        <n v="1411"/>
        <n v="773"/>
        <n v="2918"/>
        <n v="1437"/>
        <n v="2635"/>
        <n v="1095"/>
        <n v="2004"/>
        <n v="2296"/>
        <n v="2935"/>
        <n v="389"/>
        <n v="1316"/>
        <n v="2712"/>
        <n v="383"/>
        <n v="2696"/>
        <n v="1990"/>
        <n v="1907"/>
        <n v="652"/>
        <n v="907"/>
        <n v="1830"/>
        <n v="2769"/>
        <n v="2761"/>
        <n v="1594"/>
        <n v="1235"/>
        <n v="611"/>
        <n v="1013"/>
        <n v="1173"/>
        <n v="2313"/>
        <n v="2384"/>
        <n v="2571"/>
        <n v="1382"/>
        <n v="2109"/>
        <n v="1125"/>
        <n v="2282"/>
        <n v="2440"/>
        <n v="694"/>
        <n v="573"/>
        <n v="2806"/>
        <n v="848"/>
        <n v="758"/>
        <n v="2848"/>
        <n v="401"/>
        <n v="2730"/>
        <n v="852"/>
        <n v="2480"/>
        <n v="1545"/>
        <n v="1867"/>
        <n v="1925"/>
        <n v="2175"/>
      </sharedItems>
    </cacheField>
    <cacheField name="Reach" numFmtId="165">
      <sharedItems containsSemiMixedTypes="0" containsString="0" containsNumber="1" containsInteger="1" minValue="7" maxValue="97772"/>
    </cacheField>
    <cacheField name="Impressions" numFmtId="165">
      <sharedItems containsSemiMixedTypes="0" containsString="0" containsNumber="1" containsInteger="1" minValue="40281" maxValue="249988"/>
    </cacheField>
    <cacheField name="EngagementRate" numFmtId="10">
      <sharedItems containsSemiMixedTypes="0" containsString="0" containsNumber="1" minValue="1.6616512501514722E-2" maxValue="0.49054105563022848" count="300">
        <n v="0.49054105563022848"/>
        <n v="0.48803915290673738"/>
        <n v="0.454928065278076"/>
        <n v="0.41655672298962027"/>
        <n v="0.40382152376337016"/>
        <n v="0.39401343921808185"/>
        <n v="0.36764099509781462"/>
        <n v="0.35412345125301342"/>
        <n v="0.33944448049841003"/>
        <n v="0.33811899081905589"/>
        <n v="0.33664878305877266"/>
        <n v="0.33614125678277612"/>
        <n v="0.33122708479600593"/>
        <n v="0.32075321024723696"/>
        <n v="0.30411037171472743"/>
        <n v="0.30376507669022768"/>
        <n v="0.29972609886526674"/>
        <n v="0.29326581513113142"/>
        <n v="0.27733803074670571"/>
        <n v="0.27422598307615731"/>
        <n v="0.26870850032900639"/>
        <n v="0.26499649047027696"/>
        <n v="0.25244444444444447"/>
        <n v="0.24961472145505592"/>
        <n v="0.24662050774810418"/>
        <n v="0.24524738373893121"/>
        <n v="0.24296210465330631"/>
        <n v="0.24183897379385011"/>
        <n v="0.24061371496264594"/>
        <n v="0.23849278652289496"/>
        <n v="0.23651095419156257"/>
        <n v="0.23586093672751696"/>
        <n v="0.23480523727127811"/>
        <n v="0.22984003241803833"/>
        <n v="0.22742805582752595"/>
        <n v="0.22627275835984373"/>
        <n v="0.22216963147030594"/>
        <n v="0.22195056640238436"/>
        <n v="0.2145350682323072"/>
        <n v="0.21037626768581694"/>
        <n v="0.2051660977437349"/>
        <n v="0.20473865723115511"/>
        <n v="0.19921115049436347"/>
        <n v="0.19899909707413599"/>
        <n v="0.19881267864788862"/>
        <n v="0.19880365649966678"/>
        <n v="0.19849520418126471"/>
        <n v="0.19480145184678152"/>
        <n v="0.19404507155276179"/>
        <n v="0.19367079001290127"/>
        <n v="0.19362974805667346"/>
        <n v="0.19210049402944315"/>
        <n v="0.18511871113623515"/>
        <n v="0.18484186855282597"/>
        <n v="0.18062902760411656"/>
        <n v="0.17717504237983267"/>
        <n v="0.17674852389540743"/>
        <n v="0.17640683618174238"/>
        <n v="0.17382711311522595"/>
        <n v="0.17280843829895459"/>
        <n v="0.17140655596321194"/>
        <n v="0.17093461339861157"/>
        <n v="0.17002885921231325"/>
        <n v="0.1678059982351878"/>
        <n v="0.16660214321110009"/>
        <n v="0.16575751061428495"/>
        <n v="0.16521228822208614"/>
        <n v="0.16153586527871533"/>
        <n v="0.16149571565361859"/>
        <n v="0.15781817689762725"/>
        <n v="0.15675895231980713"/>
        <n v="0.1531737405828201"/>
        <n v="0.1529462222116324"/>
        <n v="0.15262765965138053"/>
        <n v="0.14992017142136885"/>
        <n v="0.14930001228048631"/>
        <n v="0.14860020216860359"/>
        <n v="0.14827287209372669"/>
        <n v="0.1468281263867933"/>
        <n v="0.14677291642097814"/>
        <n v="0.14587632297144379"/>
        <n v="0.14571454356012437"/>
        <n v="0.14479998278496267"/>
        <n v="0.14055845707909384"/>
        <n v="0.13818052950991538"/>
        <n v="0.13539638025499209"/>
        <n v="0.13500298340382616"/>
        <n v="0.13425793222058077"/>
        <n v="0.13410224480418728"/>
        <n v="0.13390686586891359"/>
        <n v="0.13333212380710477"/>
        <n v="0.13314933880177415"/>
        <n v="0.13251138343289942"/>
        <n v="0.13185997546086614"/>
        <n v="0.13062801371056759"/>
        <n v="0.13050140408153055"/>
        <n v="0.13041807107799658"/>
        <n v="0.13010670922779954"/>
        <n v="0.12912502137316773"/>
        <n v="0.1278440093067309"/>
        <n v="0.12668766876687668"/>
        <n v="0.12648968572187591"/>
        <n v="0.12615485358805359"/>
        <n v="0.12575646502692181"/>
        <n v="0.12537731714393299"/>
        <n v="0.12516113701844536"/>
        <n v="0.12340086501251991"/>
        <n v="0.1232223731884058"/>
        <n v="0.12316112924908777"/>
        <n v="0.1230670679723231"/>
        <n v="0.12222859965027964"/>
        <n v="0.12041777068916729"/>
        <n v="0.11911989702989532"/>
        <n v="0.11896313818253498"/>
        <n v="0.1183732198512327"/>
        <n v="0.11749035379446063"/>
        <n v="0.11647671124580011"/>
        <n v="0.1153700668263775"/>
        <n v="0.11443347996671026"/>
        <n v="0.11411164278556117"/>
        <n v="0.11407008846704149"/>
        <n v="0.11355820301337197"/>
        <n v="0.11328730295182141"/>
        <n v="0.11313957281984714"/>
        <n v="0.11301683925623726"/>
        <n v="0.1127203416948398"/>
        <n v="0.1120806492094035"/>
        <n v="0.11204802282024356"/>
        <n v="0.11153684271636116"/>
        <n v="0.1113073037723044"/>
        <n v="0.11093962825047776"/>
        <n v="0.11067297440650634"/>
        <n v="0.11062418453631864"/>
        <n v="0.11060049328031409"/>
        <n v="0.1100083174187193"/>
        <n v="0.10978718103506099"/>
        <n v="0.10874593727575872"/>
        <n v="0.10871899083624094"/>
        <n v="0.10864742759968526"/>
        <n v="0.10829293628808864"/>
        <n v="0.1081177506528208"/>
        <n v="0.10803076130152314"/>
        <n v="0.10688207899729776"/>
        <n v="0.10670847106916652"/>
        <n v="0.10659122031883833"/>
        <n v="0.10596732410380315"/>
        <n v="0.10512949426976577"/>
        <n v="0.10364532397553165"/>
        <n v="0.10362355549205277"/>
        <n v="0.10312963124400662"/>
        <n v="0.10287713460879777"/>
        <n v="0.10217809465669957"/>
        <n v="0.10099684784869674"/>
        <n v="0.10041825619340902"/>
        <n v="9.9871818060284834E-2"/>
        <n v="9.9723939463533293E-2"/>
        <n v="9.9518533235992648E-2"/>
        <n v="9.8433269628921807E-2"/>
        <n v="9.8006623758045364E-2"/>
        <n v="9.757303670448611E-2"/>
        <n v="9.6549863964724647E-2"/>
        <n v="9.6505955607260427E-2"/>
        <n v="9.6286399015927546E-2"/>
        <n v="9.6202058674637797E-2"/>
        <n v="9.5952649244304716E-2"/>
        <n v="9.2062933989628198E-2"/>
        <n v="9.0574975498203203E-2"/>
        <n v="9.0547119787900698E-2"/>
        <n v="8.8536413153116805E-2"/>
        <n v="8.8356499266606131E-2"/>
        <n v="8.7989619657773091E-2"/>
        <n v="8.7845440494590421E-2"/>
        <n v="8.745770938316369E-2"/>
        <n v="8.7198174322732622E-2"/>
        <n v="8.7174933993784898E-2"/>
        <n v="8.6151909163708074E-2"/>
        <n v="8.6113266097750191E-2"/>
        <n v="8.5718231771681114E-2"/>
        <n v="8.5321147219813445E-2"/>
        <n v="8.5309568769905988E-2"/>
        <n v="8.5238674146441498E-2"/>
        <n v="8.4888593282341204E-2"/>
        <n v="8.4337252148083575E-2"/>
        <n v="8.2343527293641069E-2"/>
        <n v="8.1455462004611998E-2"/>
        <n v="8.0922538207284747E-2"/>
        <n v="8.0820900676889074E-2"/>
        <n v="8.0670257330939563E-2"/>
        <n v="8.0636501195880311E-2"/>
        <n v="7.9852471972601938E-2"/>
        <n v="7.9812047293514959E-2"/>
        <n v="7.8807246729426739E-2"/>
        <n v="7.8063634938760881E-2"/>
        <n v="7.7546772311798629E-2"/>
        <n v="7.7421297092723204E-2"/>
        <n v="7.7063185942944451E-2"/>
        <n v="7.6863476889667326E-2"/>
        <n v="7.6848663260016298E-2"/>
        <n v="7.6641109749832043E-2"/>
        <n v="7.6089940988370866E-2"/>
        <n v="7.5372640959116444E-2"/>
        <n v="7.5338585370546551E-2"/>
        <n v="7.4591745018632791E-2"/>
        <n v="7.4453101321114656E-2"/>
        <n v="7.3511726687321907E-2"/>
        <n v="7.3133856400324118E-2"/>
        <n v="7.306458375107093E-2"/>
        <n v="7.2176850630146963E-2"/>
        <n v="7.1873307278774071E-2"/>
        <n v="7.1840771025720687E-2"/>
        <n v="7.1814161833113191E-2"/>
        <n v="7.0768897853825175E-2"/>
        <n v="7.0457057720959296E-2"/>
        <n v="6.999487361489018E-2"/>
        <n v="6.9427799135654514E-2"/>
        <n v="6.9049421433978589E-2"/>
        <n v="6.8868359157149436E-2"/>
        <n v="6.8846844729464299E-2"/>
        <n v="6.7889190344053579E-2"/>
        <n v="6.7626313371268162E-2"/>
        <n v="6.6786217943137702E-2"/>
        <n v="6.5882285746922925E-2"/>
        <n v="6.4817450956467515E-2"/>
        <n v="6.4684720300454635E-2"/>
        <n v="6.4471480741682297E-2"/>
        <n v="6.3663192598106988E-2"/>
        <n v="6.3393006059932172E-2"/>
        <n v="6.329007731332871E-2"/>
        <n v="6.2262200025680704E-2"/>
        <n v="6.223429004850501E-2"/>
        <n v="6.2151990462610156E-2"/>
        <n v="6.2088657079799291E-2"/>
        <n v="6.2067532467532466E-2"/>
        <n v="5.9097367068710133E-2"/>
        <n v="5.8335042034037318E-2"/>
        <n v="5.8312760704860814E-2"/>
        <n v="5.7709003625963942E-2"/>
        <n v="5.7370434574690654E-2"/>
        <n v="5.7203921053574198E-2"/>
        <n v="5.6748744375519224E-2"/>
        <n v="5.6368419046166747E-2"/>
        <n v="5.6026851269142017E-2"/>
        <n v="5.5652105221581483E-2"/>
        <n v="5.563029516808405E-2"/>
        <n v="5.5370069582305642E-2"/>
        <n v="5.530396789678968E-2"/>
        <n v="5.5281075910190762E-2"/>
        <n v="5.5119760020032396E-2"/>
        <n v="5.4964209769684629E-2"/>
        <n v="5.3995905798572247E-2"/>
        <n v="5.3443950567397383E-2"/>
        <n v="5.3436258372119426E-2"/>
        <n v="5.2300290957278256E-2"/>
        <n v="5.2102807536618279E-2"/>
        <n v="5.1986616224487935E-2"/>
        <n v="5.1817013480626728E-2"/>
        <n v="5.1716844109144754E-2"/>
        <n v="5.1390278926069365E-2"/>
        <n v="5.0524045085947912E-2"/>
        <n v="4.9947039623008581E-2"/>
        <n v="4.9605013277039242E-2"/>
        <n v="4.9357038328611019E-2"/>
        <n v="4.6311641513143903E-2"/>
        <n v="4.5984271863057827E-2"/>
        <n v="4.5683321319726342E-2"/>
        <n v="4.5549829279679245E-2"/>
        <n v="4.541711217781013E-2"/>
        <n v="4.5408260996683103E-2"/>
        <n v="4.5293426168731353E-2"/>
        <n v="4.3345752013763089E-2"/>
        <n v="4.3161412227338117E-2"/>
        <n v="4.3073505198818141E-2"/>
        <n v="4.2810739790021778E-2"/>
        <n v="4.2237103373984064E-2"/>
        <n v="4.2048386891072105E-2"/>
        <n v="4.1131091131091133E-2"/>
        <n v="4.0443200318579509E-2"/>
        <n v="4.0326327066564277E-2"/>
        <n v="3.9975445361810122E-2"/>
        <n v="3.9036026498638549E-2"/>
        <n v="3.8663220337839206E-2"/>
        <n v="3.8114290100358834E-2"/>
        <n v="3.6761469908680823E-2"/>
        <n v="3.5977248821535704E-2"/>
        <n v="3.5903929094290347E-2"/>
        <n v="3.479214230573395E-2"/>
        <n v="3.4479704423524646E-2"/>
        <n v="3.4468706489625425E-2"/>
        <n v="3.2109431245500357E-2"/>
        <n v="3.207788698768177E-2"/>
        <n v="3.1559208260903839E-2"/>
        <n v="3.0867510988047343E-2"/>
        <n v="2.8916324848090057E-2"/>
        <n v="2.8308999931455206E-2"/>
        <n v="2.590960111698196E-2"/>
        <n v="2.5467751765081443E-2"/>
        <n v="2.2165609666394567E-2"/>
        <n v="2.0280718700881641E-2"/>
        <n v="2.0023249172401864E-2"/>
        <n v="1.6616512501514722E-2"/>
      </sharedItems>
    </cacheField>
    <cacheField name="Campaign" numFmtId="0">
      <sharedItems count="5">
        <s v="Apple Watch Ultra 2 Launch"/>
        <s v="iPhone 16 Launch"/>
        <s v="MacBook Air M3 Campaign"/>
        <s v="Sustainability Awareness Drive"/>
        <s v="Apple Event September 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rani" refreshedDate="45973.908252199071" createdVersion="8" refreshedVersion="8" minRefreshableVersion="3" recordCount="999" xr:uid="{629DDF2E-952B-4838-A7E8-85D8E1543062}">
  <cacheSource type="worksheet">
    <worksheetSource name="Table2"/>
  </cacheSource>
  <cacheFields count="11">
    <cacheField name="Week_Start_Date" numFmtId="166">
      <sharedItems containsNonDate="0" containsDate="1" containsBlank="1" containsMixedTypes="1" minDate="2024-06-03T00:00:00" maxDate="2025-05-13T00:00:00" count="101">
        <d v="2024-06-03T00:00:00"/>
        <d v="2024-06-10T00:00:00"/>
        <d v="2024-06-17T00:00:00"/>
        <d v="2024-06-24T00:00:00"/>
        <d v="2024-07-01T00:00:00"/>
        <d v="2024-07-15T00:00:00"/>
        <d v="2024-08-05T00:00:00"/>
        <d v="2024-08-12T00:00:00"/>
        <d v="2024-08-19T00:00:00"/>
        <d v="2024-08-26T00:00:00"/>
        <d v="2024-09-02T00:00:00"/>
        <d v="2024-09-09T00:00:00"/>
        <d v="2024-09-23T00:00:00"/>
        <d v="2024-09-30T00:00:00"/>
        <d v="2024-10-07T00:00:00"/>
        <d v="2024-10-2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13T00:00:00"/>
        <d v="2025-01-27T00:00:00"/>
        <d v="2025-02-17T00:00:00"/>
        <d v="2025-02-24T00:00:00"/>
        <d v="2025-03-10T00:00:00"/>
        <d v="2025-03-17T00:00:00"/>
        <d v="2025-03-31T00:00:00"/>
        <d v="2025-04-07T00:00:00"/>
        <d v="2025-04-21T00:00:00"/>
        <d v="2025-05-05T00:00:00"/>
        <d v="2025-05-12T00:00:00"/>
        <d v="2024-07-08T00:00:00"/>
        <d v="2024-07-22T00:00:00"/>
        <d v="2024-07-29T00:00:00"/>
        <d v="2024-09-16T00:00:00"/>
        <d v="2024-10-28T00:00:00"/>
        <d v="2024-11-04T00:00:00"/>
        <d v="2024-11-11T00:00:00"/>
        <d v="2025-01-06T00:00:00"/>
        <d v="2025-02-10T00:00:00"/>
        <d v="2025-03-03T00:00:00"/>
        <d v="2025-03-24T00:00:00"/>
        <d v="2025-04-14T00:00:00"/>
        <d v="2025-04-28T00:00:00"/>
        <d v="2024-10-14T00:00:00"/>
        <d v="2025-01-20T00:00:00"/>
        <d v="2025-02-03T00:00:00"/>
        <m/>
        <s v="2024-06-03" u="1"/>
        <s v="2024-06-10" u="1"/>
        <s v="2024-06-17" u="1"/>
        <s v="2024-06-24" u="1"/>
        <s v="2024-07-01" u="1"/>
        <s v="2024-07-08" u="1"/>
        <s v="2024-07-15" u="1"/>
        <s v="2024-07-22" u="1"/>
        <s v="2024-07-29" u="1"/>
        <s v="2024-08-05" u="1"/>
        <s v="2024-08-12" u="1"/>
        <s v="2024-08-19" u="1"/>
        <s v="2024-08-26" u="1"/>
        <s v="2024-09-02" u="1"/>
        <s v="2024-09-09" u="1"/>
        <s v="2024-09-16" u="1"/>
        <s v="2024-09-23" u="1"/>
        <s v="2024-09-30" u="1"/>
        <s v="2024-10-07" u="1"/>
        <s v="2024-10-14" u="1"/>
        <s v="2024-10-21" u="1"/>
        <s v="2024-10-28" u="1"/>
        <s v="2024-11-04" u="1"/>
        <s v="2024-11-11" u="1"/>
        <s v="2024-11-18" u="1"/>
        <s v="2024-11-25" u="1"/>
        <s v="2024-12-02" u="1"/>
        <s v="2024-12-09" u="1"/>
        <s v="2024-12-16" u="1"/>
        <s v="2024-12-23" u="1"/>
        <s v="2024-12-30" u="1"/>
        <s v="2025-01-06" u="1"/>
        <s v="2025-01-13" u="1"/>
        <s v="2025-01-20" u="1"/>
        <s v="2025-01-27" u="1"/>
        <s v="2025-02-03" u="1"/>
        <s v="2025-02-10" u="1"/>
        <s v="2025-02-17" u="1"/>
        <s v="2025-02-24" u="1"/>
        <s v="2025-03-03" u="1"/>
        <s v="2025-03-10" u="1"/>
        <s v="2025-03-17" u="1"/>
        <s v="2025-03-24" u="1"/>
        <s v="2025-03-31" u="1"/>
        <s v="2025-04-07" u="1"/>
        <s v="2025-04-14" u="1"/>
        <s v="2025-04-21" u="1"/>
        <s v="2025-04-28" u="1"/>
        <s v="2025-05-05" u="1"/>
        <s v="2025-05-12" u="1"/>
      </sharedItems>
    </cacheField>
    <cacheField name="Platform" numFmtId="0">
      <sharedItems containsBlank="1" count="5">
        <s v="Instagram"/>
        <s v="LinkedIn"/>
        <s v="Twitter"/>
        <s v="YouTube"/>
        <m/>
      </sharedItems>
    </cacheField>
    <cacheField name="New_Followers" numFmtId="3">
      <sharedItems containsString="0" containsBlank="1" containsNumber="1" containsInteger="1" minValue="1016" maxValue="9984"/>
    </cacheField>
    <cacheField name="Unfollows" numFmtId="3">
      <sharedItems containsString="0" containsBlank="1" containsNumber="1" containsInteger="1" minValue="67" maxValue="1417"/>
    </cacheField>
    <cacheField name="Total_Followers" numFmtId="3">
      <sharedItems containsString="0" containsBlank="1" containsNumber="1" containsInteger="1" minValue="103777" maxValue="1186398"/>
    </cacheField>
    <cacheField name="Engagement_Rate" numFmtId="0">
      <sharedItems containsString="0" containsBlank="1" containsNumber="1" minValue="1.381177897889402" maxValue="92.312204605638044"/>
    </cacheField>
    <cacheField name="NewFollower-Unfollower" numFmtId="3">
      <sharedItems containsSemiMixedTypes="0" containsString="0" containsNumber="1" containsInteger="1" minValue="0" maxValue="9335"/>
    </cacheField>
    <cacheField name="Follower_Growth_Rate" numFmtId="10">
      <sharedItems containsMixedTypes="1" containsNumber="1" minValue="7.7465246904209403E-4" maxValue="6.8070592967519189E-2"/>
    </cacheField>
    <cacheField name="F_Growth_rate" numFmtId="10">
      <sharedItems containsMixedTypes="1" containsNumber="1" minValue="7.7535062258137053E-4" maxValue="7.3799832830613796E-2"/>
    </cacheField>
    <cacheField name="Campaign" numFmtId="10">
      <sharedItems/>
    </cacheField>
    <cacheField name="Ad_Spend" numFmtId="165">
      <sharedItems containsString="0" containsBlank="1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rani" refreshedDate="45973.919337962965" createdVersion="8" refreshedVersion="8" minRefreshableVersion="3" recordCount="999" xr:uid="{6D924EB0-553B-4472-991A-F0929ACE3782}">
  <cacheSource type="worksheet">
    <worksheetSource ref="A1:K999" sheet="Cleaned_Engagement_Summary"/>
  </cacheSource>
  <cacheFields count="12">
    <cacheField name="Week_Start_Date" numFmtId="14">
      <sharedItems containsNonDate="0" containsDate="1" containsString="0" containsBlank="1" minDate="2024-06-03T00:00:00" maxDate="2025-05-13T00:00:00" count="51">
        <d v="2024-06-03T00:00:00"/>
        <d v="2024-06-10T00:00:00"/>
        <d v="2024-06-17T00:00:00"/>
        <d v="2024-06-24T00:00:00"/>
        <d v="2024-07-01T00:00:00"/>
        <d v="2024-07-15T00:00:00"/>
        <d v="2024-08-05T00:00:00"/>
        <d v="2024-08-12T00:00:00"/>
        <d v="2024-08-19T00:00:00"/>
        <d v="2024-08-26T00:00:00"/>
        <d v="2024-09-02T00:00:00"/>
        <d v="2024-09-09T00:00:00"/>
        <d v="2024-09-23T00:00:00"/>
        <d v="2024-09-30T00:00:00"/>
        <d v="2024-10-07T00:00:00"/>
        <d v="2024-10-2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13T00:00:00"/>
        <d v="2025-01-27T00:00:00"/>
        <d v="2025-02-17T00:00:00"/>
        <d v="2025-02-24T00:00:00"/>
        <d v="2025-03-10T00:00:00"/>
        <d v="2025-03-17T00:00:00"/>
        <d v="2025-03-31T00:00:00"/>
        <d v="2025-04-07T00:00:00"/>
        <d v="2025-04-21T00:00:00"/>
        <d v="2025-05-05T00:00:00"/>
        <d v="2025-05-12T00:00:00"/>
        <d v="2024-07-08T00:00:00"/>
        <d v="2024-07-22T00:00:00"/>
        <d v="2024-07-29T00:00:00"/>
        <d v="2024-09-16T00:00:00"/>
        <d v="2024-10-28T00:00:00"/>
        <d v="2024-11-04T00:00:00"/>
        <d v="2024-11-11T00:00:00"/>
        <d v="2025-01-06T00:00:00"/>
        <d v="2025-02-10T00:00:00"/>
        <d v="2025-03-03T00:00:00"/>
        <d v="2025-03-24T00:00:00"/>
        <d v="2025-04-14T00:00:00"/>
        <d v="2025-04-28T00:00:00"/>
        <d v="2024-10-14T00:00:00"/>
        <d v="2025-01-20T00:00:00"/>
        <d v="2025-02-03T00:00:00"/>
        <m/>
      </sharedItems>
      <fieldGroup par="11"/>
    </cacheField>
    <cacheField name="Platform" numFmtId="0">
      <sharedItems containsBlank="1" count="5">
        <s v="Instagram"/>
        <s v="LinkedIn"/>
        <s v="Twitter"/>
        <s v="YouTube"/>
        <m/>
      </sharedItems>
    </cacheField>
    <cacheField name="New_Followers" numFmtId="0">
      <sharedItems containsString="0" containsBlank="1" containsNumber="1" containsInteger="1" minValue="1016" maxValue="9984"/>
    </cacheField>
    <cacheField name="Unfollows" numFmtId="0">
      <sharedItems containsString="0" containsBlank="1" containsNumber="1" containsInteger="1" minValue="67" maxValue="1417"/>
    </cacheField>
    <cacheField name="Total_Followers" numFmtId="0">
      <sharedItems containsString="0" containsBlank="1" containsNumber="1" containsInteger="1" minValue="103777" maxValue="1186398"/>
    </cacheField>
    <cacheField name="Engagement_Rate_100" numFmtId="0">
      <sharedItems containsString="0" containsBlank="1" containsNumber="1" minValue="1.381177897889402" maxValue="92.312204605638044"/>
    </cacheField>
    <cacheField name="Engagement_Rate" numFmtId="10">
      <sharedItems containsSemiMixedTypes="0" containsString="0" containsNumber="1" minValue="0" maxValue="0.92312204605638049"/>
    </cacheField>
    <cacheField name="NewFollower-Unfollower" numFmtId="0">
      <sharedItems containsSemiMixedTypes="0" containsString="0" containsNumber="1" containsInteger="1" minValue="0" maxValue="9335"/>
    </cacheField>
    <cacheField name="Follower_Growth_Rate" numFmtId="10">
      <sharedItems containsString="0" containsBlank="1" containsNumber="1" minValue="7.7465246904209403E-4" maxValue="6.8070592967519189E-2"/>
    </cacheField>
    <cacheField name="F_Growth_rate" numFmtId="10">
      <sharedItems containsString="0" containsBlank="1" containsNumber="1" minValue="7.7535062258137053E-4" maxValue="7.3799832830613796E-2"/>
    </cacheField>
    <cacheField name="Ad_Spend" numFmtId="0">
      <sharedItems containsString="0" containsBlank="1" containsNumber="1" containsInteger="1" minValue="10161" maxValue="59823" count="199">
        <n v="23944"/>
        <n v="25379"/>
        <n v="15110"/>
        <n v="27081"/>
        <n v="19596"/>
        <n v="11013"/>
        <n v="59378"/>
        <n v="23109"/>
        <n v="36661"/>
        <n v="39197"/>
        <n v="39750"/>
        <n v="46727"/>
        <n v="53543"/>
        <n v="24226"/>
        <n v="53922"/>
        <n v="54848"/>
        <n v="22693"/>
        <n v="58831"/>
        <n v="26044"/>
        <n v="39411"/>
        <n v="15469"/>
        <n v="16256"/>
        <n v="29194"/>
        <n v="26184"/>
        <n v="31621"/>
        <n v="20028"/>
        <n v="13471"/>
        <n v="44865"/>
        <n v="56850"/>
        <n v="52845"/>
        <n v="42373"/>
        <n v="28284"/>
        <n v="27833"/>
        <n v="35122"/>
        <n v="17999"/>
        <n v="58201"/>
        <n v="15105"/>
        <n v="47051"/>
        <n v="37037"/>
        <n v="19557"/>
        <n v="19435"/>
        <n v="44742"/>
        <n v="44782"/>
        <n v="59733"/>
        <n v="48328"/>
        <n v="42262"/>
        <n v="58330"/>
        <n v="11171"/>
        <n v="51903"/>
        <n v="30644"/>
        <n v="28745"/>
        <n v="33762"/>
        <n v="28313"/>
        <n v="11828"/>
        <n v="17909"/>
        <n v="48356"/>
        <n v="48659"/>
        <n v="47804"/>
        <n v="37766"/>
        <n v="53590"/>
        <n v="58868"/>
        <n v="26029"/>
        <n v="15997"/>
        <n v="10541"/>
        <n v="47861"/>
        <n v="43937"/>
        <n v="44051"/>
        <n v="59811"/>
        <n v="44501"/>
        <n v="24472"/>
        <n v="40268"/>
        <n v="18329"/>
        <n v="56698"/>
        <n v="16397"/>
        <n v="33284"/>
        <n v="15017"/>
        <n v="39252"/>
        <n v="32436"/>
        <n v="12096"/>
        <n v="35279"/>
        <n v="58709"/>
        <n v="25078"/>
        <n v="27069"/>
        <n v="55603"/>
        <n v="33252"/>
        <n v="11431"/>
        <n v="47481"/>
        <n v="18461"/>
        <n v="17896"/>
        <n v="42972"/>
        <n v="51800"/>
        <n v="40508"/>
        <n v="15347"/>
        <n v="40314"/>
        <n v="50785"/>
        <n v="57299"/>
        <n v="46768"/>
        <n v="41358"/>
        <n v="24289"/>
        <n v="59823"/>
        <n v="17927"/>
        <n v="49110"/>
        <n v="55951"/>
        <n v="15432"/>
        <n v="38228"/>
        <n v="44521"/>
        <n v="29873"/>
        <n v="44546"/>
        <n v="34286"/>
        <n v="22087"/>
        <n v="44947"/>
        <n v="52003"/>
        <n v="57639"/>
        <n v="33705"/>
        <n v="12023"/>
        <n v="43848"/>
        <n v="46060"/>
        <n v="13586"/>
        <n v="33225"/>
        <n v="37523"/>
        <n v="59745"/>
        <n v="13390"/>
        <n v="53934"/>
        <n v="20258"/>
        <n v="38854"/>
        <n v="20720"/>
        <n v="35051"/>
        <n v="19518"/>
        <n v="56026"/>
        <n v="40447"/>
        <n v="40254"/>
        <n v="28509"/>
        <n v="58998"/>
        <n v="51796"/>
        <n v="34570"/>
        <n v="26370"/>
        <n v="53363"/>
        <n v="36201"/>
        <n v="39309"/>
        <n v="39312"/>
        <n v="13384"/>
        <n v="53619"/>
        <n v="52821"/>
        <n v="56907"/>
        <n v="17531"/>
        <n v="17710"/>
        <n v="23975"/>
        <n v="25261"/>
        <n v="19067"/>
        <n v="27015"/>
        <n v="42591"/>
        <n v="38047"/>
        <n v="28681"/>
        <n v="40682"/>
        <n v="21918"/>
        <n v="21929"/>
        <n v="12539"/>
        <n v="41703"/>
        <n v="50372"/>
        <n v="33928"/>
        <n v="46751"/>
        <n v="48019"/>
        <n v="24537"/>
        <n v="12563"/>
        <n v="26087"/>
        <n v="16643"/>
        <n v="21005"/>
        <n v="10161"/>
        <n v="38731"/>
        <n v="59815"/>
        <n v="52092"/>
        <n v="31817"/>
        <n v="23428"/>
        <n v="43598"/>
        <n v="11651"/>
        <n v="37386"/>
        <n v="43787"/>
        <n v="22448"/>
        <n v="55253"/>
        <n v="28394"/>
        <n v="55657"/>
        <n v="38272"/>
        <n v="45525"/>
        <n v="28994"/>
        <n v="52963"/>
        <n v="29715"/>
        <n v="12839"/>
        <n v="23493"/>
        <n v="17736"/>
        <n v="11619"/>
        <n v="47766"/>
        <n v="10162"/>
        <n v="29675"/>
        <n v="19833"/>
        <n v="12643"/>
        <n v="25892"/>
        <n v="27073"/>
        <n v="32669"/>
        <m/>
      </sharedItems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rani" refreshedDate="45974.088937962966" createdVersion="8" refreshedVersion="8" minRefreshableVersion="3" recordCount="200" xr:uid="{86F3F4AB-7114-4795-8CF9-02D165AF6515}">
  <cacheSource type="worksheet">
    <worksheetSource ref="A1:K201" sheet="Cleaned_Engagement_Summary"/>
  </cacheSource>
  <cacheFields count="11">
    <cacheField name="Week_Start_Date" numFmtId="166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_100" numFmtId="0">
      <sharedItems containsSemiMixedTypes="0" containsString="0" containsNumber="1" minValue="1.381177897889402" maxValue="92.312204605638044"/>
    </cacheField>
    <cacheField name="Engagement_Rate" numFmtId="10">
      <sharedItems containsSemiMixedTypes="0" containsString="0" containsNumber="1" minValue="1.381177897889402E-2" maxValue="0.92312204605638049"/>
    </cacheField>
    <cacheField name="NewFollower-Unfollower" numFmtId="0">
      <sharedItems containsSemiMixedTypes="0" containsString="0" containsNumber="1" containsInteger="1" minValue="893" maxValue="9335"/>
    </cacheField>
    <cacheField name="Follower_Growth_Rate" numFmtId="10">
      <sharedItems containsSemiMixedTypes="0" containsString="0" containsNumber="1" minValue="7.7465246904209403E-4" maxValue="6.8070592967519189E-2"/>
    </cacheField>
    <cacheField name="Campaign" numFmtId="10">
      <sharedItems count="5">
        <s v=""/>
        <s v="iPhone 16 Launch"/>
        <s v="MacBook Air M3 Campaign"/>
        <s v="Apple Watch Ultra 2 Launch"/>
        <s v="Sustainability Awareness Drive"/>
      </sharedItems>
    </cacheField>
    <cacheField name="Ad_Spend" numFmtId="0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x v="0"/>
    <d v="2024-07-24T00:00:00"/>
    <s v="Video"/>
    <s v="#AppleMusic, #AppleLifestyle"/>
    <n v="22914"/>
    <n v="954"/>
    <n v="584"/>
    <n v="1519"/>
    <n v="13637"/>
    <n v="49847"/>
    <n v="0.49054105563022848"/>
    <s v="Apple Watch Ultra 2 Launch"/>
  </r>
  <r>
    <x v="1"/>
    <x v="1"/>
    <d v="2025-01-15T00:00:00"/>
    <s v="Tweet"/>
    <s v="#ShotOniPhone"/>
    <n v="20360"/>
    <n v="254"/>
    <n v="726"/>
    <n v="1995"/>
    <n v="14280"/>
    <n v="43726"/>
    <n v="0.48803915290673738"/>
    <s v="iPhone 16 Launch"/>
  </r>
  <r>
    <x v="2"/>
    <x v="0"/>
    <d v="2024-07-29T00:00:00"/>
    <s v="Video"/>
    <s v="#AppleWatchUltra2, #HealthTech"/>
    <n v="19144"/>
    <n v="1182"/>
    <n v="860"/>
    <n v="1398"/>
    <n v="4185"/>
    <n v="46570"/>
    <n v="0.454928065278076"/>
    <s v="Apple Watch Ultra 2 Launch"/>
  </r>
  <r>
    <x v="3"/>
    <x v="2"/>
    <d v="2025-01-27T00:00:00"/>
    <s v="Image"/>
    <s v="#AppleEvent, #iPhone16"/>
    <n v="24415"/>
    <n v="860"/>
    <n v="931"/>
    <n v="320"/>
    <n v="65049"/>
    <n v="62911"/>
    <n v="0.41655672298962027"/>
    <s v="Apple Watch Ultra 2 Launch"/>
  </r>
  <r>
    <x v="4"/>
    <x v="1"/>
    <d v="2024-11-18T00:00:00"/>
    <s v="Carousel"/>
    <s v="#AppleMusic, #AppleLifestyle"/>
    <n v="21255"/>
    <n v="1452"/>
    <n v="625"/>
    <n v="1624"/>
    <n v="21282"/>
    <n v="57778"/>
    <n v="0.40382152376337016"/>
    <s v="MacBook Air M3 Campaign"/>
  </r>
  <r>
    <x v="5"/>
    <x v="2"/>
    <d v="2024-06-14T00:00:00"/>
    <s v="Video"/>
    <s v="#AppleEvent, #iPhone16"/>
    <n v="17183"/>
    <n v="1224"/>
    <n v="943"/>
    <n v="2010"/>
    <n v="21481"/>
    <n v="49110"/>
    <n v="0.39401343921808185"/>
    <s v="Sustainability Awareness Drive"/>
  </r>
  <r>
    <x v="6"/>
    <x v="3"/>
    <d v="2024-08-15T00:00:00"/>
    <s v="Video"/>
    <s v="#AppleEvent, #iPadPro"/>
    <n v="14977"/>
    <n v="274"/>
    <n v="798"/>
    <n v="458"/>
    <n v="6636"/>
    <n v="43654"/>
    <n v="0.36764099509781462"/>
    <s v="Apple Watch Ultra 2 Launch"/>
  </r>
  <r>
    <x v="7"/>
    <x v="2"/>
    <d v="2025-09-08T00:00:00"/>
    <s v="Tweet"/>
    <s v="#AppleWatch, #Health"/>
    <n v="23785"/>
    <n v="1013"/>
    <n v="468"/>
    <n v="1628"/>
    <n v="8272"/>
    <n v="71348"/>
    <n v="0.35412345125301342"/>
    <s v="Apple Event September 2025"/>
  </r>
  <r>
    <x v="8"/>
    <x v="2"/>
    <d v="2025-09-09T00:00:00"/>
    <s v="Image"/>
    <s v="#AppleMusic, #AppleLifestyle"/>
    <n v="19260"/>
    <n v="668"/>
    <n v="994"/>
    <n v="934"/>
    <n v="20509"/>
    <n v="61636"/>
    <n v="0.33944448049841003"/>
    <s v="Apple Event September 2025"/>
  </r>
  <r>
    <x v="9"/>
    <x v="3"/>
    <d v="2025-01-11T00:00:00"/>
    <s v="Image"/>
    <s v="#MacBookAirM3, #AppleInnovation"/>
    <n v="21181"/>
    <n v="1242"/>
    <n v="963"/>
    <n v="1689"/>
    <n v="49329"/>
    <n v="69165"/>
    <n v="0.33811899081905589"/>
    <s v="Apple Watch Ultra 2 Launch"/>
  </r>
  <r>
    <x v="10"/>
    <x v="2"/>
    <d v="2025-02-04T00:00:00"/>
    <s v="Carousel"/>
    <s v="#AppleWatch, #Health"/>
    <n v="23833"/>
    <n v="555"/>
    <n v="523"/>
    <n v="1330"/>
    <n v="69141"/>
    <n v="73997"/>
    <n v="0.33664878305877266"/>
    <s v="iPhone 16 Launch"/>
  </r>
  <r>
    <x v="11"/>
    <x v="0"/>
    <d v="2024-06-22T00:00:00"/>
    <s v="Carousel"/>
    <s v="#AppleWatchUltra2, #HealthTech"/>
    <n v="13479"/>
    <n v="1189"/>
    <n v="695"/>
    <n v="416"/>
    <n v="30229"/>
    <n v="45704"/>
    <n v="0.33614125678277612"/>
    <s v="Apple Watch Ultra 2 Launch"/>
  </r>
  <r>
    <x v="12"/>
    <x v="3"/>
    <d v="2025-01-14T00:00:00"/>
    <s v="Carousel"/>
    <s v="#AppleEvent, #iPhone16"/>
    <n v="24350"/>
    <n v="460"/>
    <n v="666"/>
    <n v="814"/>
    <n v="21120"/>
    <n v="76914"/>
    <n v="0.33122708479600593"/>
    <s v="Apple Watch Ultra 2 Launch"/>
  </r>
  <r>
    <x v="13"/>
    <x v="2"/>
    <d v="2024-11-12T00:00:00"/>
    <s v="Video"/>
    <s v="#AppleDesign, #Innovation"/>
    <n v="17913"/>
    <n v="1311"/>
    <n v="859"/>
    <n v="405"/>
    <n v="59842"/>
    <n v="62612"/>
    <n v="0.32075321024723696"/>
    <s v="Sustainability Awareness Drive"/>
  </r>
  <r>
    <x v="14"/>
    <x v="0"/>
    <d v="2025-02-27T00:00:00"/>
    <s v="Image"/>
    <s v="#MacBookAirM3, #AppleInnovation"/>
    <n v="16178"/>
    <n v="1048"/>
    <n v="871"/>
    <n v="2553"/>
    <n v="39025"/>
    <n v="59508"/>
    <n v="0.30411037171472743"/>
    <s v="Apple Watch Ultra 2 Launch"/>
  </r>
  <r>
    <x v="15"/>
    <x v="1"/>
    <d v="2024-07-26T00:00:00"/>
    <s v="Video"/>
    <s v="#MacBookProM3"/>
    <n v="18282"/>
    <n v="224"/>
    <n v="962"/>
    <n v="890"/>
    <n v="35105"/>
    <n v="64089"/>
    <n v="0.30376507669022768"/>
    <s v="iPhone 16 Launch"/>
  </r>
  <r>
    <x v="16"/>
    <x v="3"/>
    <d v="2024-07-15T00:00:00"/>
    <s v="Tweet"/>
    <s v="#AppleMusic, #AppleLifestyle"/>
    <n v="14891"/>
    <n v="674"/>
    <n v="521"/>
    <n v="1091"/>
    <n v="18101"/>
    <n v="53669"/>
    <n v="0.29972609886526674"/>
    <s v="Apple Watch Ultra 2 Launch"/>
  </r>
  <r>
    <x v="17"/>
    <x v="3"/>
    <d v="2024-10-15T00:00:00"/>
    <s v="Carousel"/>
    <s v="#ShotOniPhone"/>
    <n v="17781"/>
    <n v="993"/>
    <n v="627"/>
    <n v="2187"/>
    <n v="9609"/>
    <n v="66155"/>
    <n v="0.29326581513113142"/>
    <s v="iPhone 16 Launch"/>
  </r>
  <r>
    <x v="18"/>
    <x v="2"/>
    <d v="2025-09-18T00:00:00"/>
    <s v="Tweet"/>
    <s v="#MacBookProM3"/>
    <n v="10152"/>
    <n v="1445"/>
    <n v="526"/>
    <n v="513"/>
    <n v="18959"/>
    <n v="43712"/>
    <n v="0.27733803074670571"/>
    <s v="Apple Event September 2025"/>
  </r>
  <r>
    <x v="19"/>
    <x v="3"/>
    <d v="2025-10-02T00:00:00"/>
    <s v="Carousel"/>
    <s v="#AppleDesign, #Innovation"/>
    <n v="12161"/>
    <n v="736"/>
    <n v="876"/>
    <n v="1233"/>
    <n v="21337"/>
    <n v="50225"/>
    <n v="0.27422598307615731"/>
    <s v="Apple Event September 2025"/>
  </r>
  <r>
    <x v="20"/>
    <x v="1"/>
    <d v="2025-09-04T00:00:00"/>
    <s v="Video"/>
    <s v="#AppleWatchUltra2, #HealthTech"/>
    <n v="21708"/>
    <n v="435"/>
    <n v="317"/>
    <n v="1213"/>
    <n v="70701"/>
    <n v="83585"/>
    <n v="0.26870850032900639"/>
    <s v="Apple Event September 2025"/>
  </r>
  <r>
    <x v="21"/>
    <x v="0"/>
    <d v="2024-06-13T00:00:00"/>
    <s v="Image"/>
    <s v="#AppleWatchUltra2, #HealthTech"/>
    <n v="14173"/>
    <n v="294"/>
    <n v="257"/>
    <n v="1288"/>
    <n v="39466"/>
    <n v="55563"/>
    <n v="0.26499649047027696"/>
    <s v="MacBook Air M3 Campaign"/>
  </r>
  <r>
    <x v="22"/>
    <x v="0"/>
    <d v="2024-08-22T00:00:00"/>
    <s v="Video"/>
    <s v="#iPhonePhotography, #ShotOniPhone"/>
    <n v="16124"/>
    <n v="863"/>
    <n v="337"/>
    <n v="819"/>
    <n v="85788"/>
    <n v="68625"/>
    <n v="0.25244444444444447"/>
    <s v="iPhone 16 Launch"/>
  </r>
  <r>
    <x v="23"/>
    <x v="1"/>
    <d v="2024-06-02T00:00:00"/>
    <s v="Video"/>
    <s v="#MacBookAirM3, #AppleInnovation"/>
    <n v="14199"/>
    <n v="1206"/>
    <n v="954"/>
    <n v="2009"/>
    <n v="8"/>
    <n v="65537"/>
    <n v="0.24961472145505592"/>
    <s v="Sustainability Awareness Drive"/>
  </r>
  <r>
    <x v="24"/>
    <x v="2"/>
    <d v="2025-09-08T00:00:00"/>
    <s v="Carousel"/>
    <s v="#iPhonePhotography, #ShotOniPhone"/>
    <n v="22309"/>
    <n v="773"/>
    <n v="854"/>
    <n v="2387"/>
    <n v="72396"/>
    <n v="97056"/>
    <n v="0.24662050774810418"/>
    <s v="Apple Event September 2025"/>
  </r>
  <r>
    <x v="25"/>
    <x v="3"/>
    <d v="2025-09-13T00:00:00"/>
    <s v="Video"/>
    <s v="#iPhonePhotography, #ShotOniPhone"/>
    <n v="15046"/>
    <n v="281"/>
    <n v="515"/>
    <n v="550"/>
    <n v="22583"/>
    <n v="64596"/>
    <n v="0.24524738373893121"/>
    <s v="Apple Event September 2025"/>
  </r>
  <r>
    <x v="26"/>
    <x v="2"/>
    <d v="2024-11-07T00:00:00"/>
    <s v="Carousel"/>
    <s v="#ShotOniPhone"/>
    <n v="17254"/>
    <n v="246"/>
    <n v="952"/>
    <n v="871"/>
    <n v="14957"/>
    <n v="75946"/>
    <n v="0.24296210465330631"/>
    <s v="MacBook Air M3 Campaign"/>
  </r>
  <r>
    <x v="27"/>
    <x v="3"/>
    <d v="2024-07-29T00:00:00"/>
    <s v="Tweet"/>
    <s v="#AppleWatchUltra2, #HealthTech"/>
    <n v="22590"/>
    <n v="1462"/>
    <n v="966"/>
    <n v="2463"/>
    <n v="29689"/>
    <n v="103449"/>
    <n v="0.24183897379385011"/>
    <s v="Sustainability Awareness Drive"/>
  </r>
  <r>
    <x v="28"/>
    <x v="1"/>
    <d v="2024-06-13T00:00:00"/>
    <s v="Carousel"/>
    <s v="#AppleWatch, #Health"/>
    <n v="23164"/>
    <n v="1122"/>
    <n v="900"/>
    <n v="888"/>
    <n v="36938"/>
    <n v="104674"/>
    <n v="0.24061371496264594"/>
    <s v="Apple Watch Ultra 2 Launch"/>
  </r>
  <r>
    <x v="29"/>
    <x v="0"/>
    <d v="2025-09-05T00:00:00"/>
    <s v="Image"/>
    <s v="#ShotOniPhone"/>
    <n v="14677"/>
    <n v="533"/>
    <n v="759"/>
    <n v="753"/>
    <n v="23275"/>
    <n v="66958"/>
    <n v="0.23849278652289496"/>
    <s v="Apple Event September 2025"/>
  </r>
  <r>
    <x v="30"/>
    <x v="3"/>
    <d v="2024-11-28T00:00:00"/>
    <s v="Carousel"/>
    <s v="#AppleMusic, #AppleLifestyle"/>
    <n v="18644"/>
    <n v="1369"/>
    <n v="887"/>
    <n v="1256"/>
    <n v="43415"/>
    <n v="88368"/>
    <n v="0.23651095419156257"/>
    <s v="Sustainability Awareness Drive"/>
  </r>
  <r>
    <x v="31"/>
    <x v="3"/>
    <d v="2024-08-24T00:00:00"/>
    <s v="Video"/>
    <s v="#AppleDesign, #Innovation"/>
    <n v="24890"/>
    <n v="217"/>
    <n v="178"/>
    <n v="906"/>
    <n v="54826"/>
    <n v="107203"/>
    <n v="0.23586093672751696"/>
    <s v="Sustainability Awareness Drive"/>
  </r>
  <r>
    <x v="32"/>
    <x v="1"/>
    <d v="2024-09-05T00:00:00"/>
    <s v="Carousel"/>
    <s v="#MacBookProM3"/>
    <n v="16489"/>
    <n v="395"/>
    <n v="350"/>
    <n v="2364"/>
    <n v="43239"/>
    <n v="73397"/>
    <n v="0.23480523727127811"/>
    <s v="MacBook Air M3 Campaign"/>
  </r>
  <r>
    <x v="33"/>
    <x v="1"/>
    <d v="2025-09-19T00:00:00"/>
    <s v="Tweet"/>
    <s v="#AppleWatch, #Health"/>
    <n v="22128"/>
    <n v="1004"/>
    <n v="690"/>
    <n v="2048"/>
    <n v="19443"/>
    <n v="103646"/>
    <n v="0.22984003241803833"/>
    <s v="Apple Event September 2025"/>
  </r>
  <r>
    <x v="34"/>
    <x v="2"/>
    <d v="2024-06-14T00:00:00"/>
    <s v="Carousel"/>
    <s v="#iPhone16Launch, #AppleEvent"/>
    <n v="21856"/>
    <n v="1203"/>
    <n v="634"/>
    <n v="2807"/>
    <n v="3647"/>
    <n v="104178"/>
    <n v="0.22742805582752595"/>
    <s v="iPhone 16 Launch"/>
  </r>
  <r>
    <x v="35"/>
    <x v="0"/>
    <d v="2025-02-07T00:00:00"/>
    <s v="Carousel"/>
    <s v="#Sustainability, #AppleEarth"/>
    <n v="20290"/>
    <n v="619"/>
    <n v="927"/>
    <n v="1186"/>
    <n v="8924"/>
    <n v="96503"/>
    <n v="0.22627275835984373"/>
    <s v="MacBook Air M3 Campaign"/>
  </r>
  <r>
    <x v="36"/>
    <x v="2"/>
    <d v="2025-04-28T00:00:00"/>
    <s v="Carousel"/>
    <s v="#iPhonePhotography, #ShotOniPhone"/>
    <n v="15013"/>
    <n v="1286"/>
    <n v="599"/>
    <n v="2001"/>
    <n v="67839"/>
    <n v="76059"/>
    <n v="0.22216963147030594"/>
    <s v="Apple Watch Ultra 2 Launch"/>
  </r>
  <r>
    <x v="37"/>
    <x v="0"/>
    <d v="2025-05-02T00:00:00"/>
    <s v="Tweet"/>
    <s v="#AppleEvent, #iPhone16"/>
    <n v="17444"/>
    <n v="1402"/>
    <n v="218"/>
    <n v="725"/>
    <n v="8710"/>
    <n v="85893"/>
    <n v="0.22195056640238436"/>
    <s v="MacBook Air M3 Campaign"/>
  </r>
  <r>
    <x v="38"/>
    <x v="2"/>
    <d v="2024-12-22T00:00:00"/>
    <s v="Tweet"/>
    <s v="#Sustainability, #AppleEarth"/>
    <n v="7870"/>
    <n v="968"/>
    <n v="626"/>
    <n v="465"/>
    <n v="27184"/>
    <n v="44114"/>
    <n v="0.2145350682323072"/>
    <s v="MacBook Air M3 Campaign"/>
  </r>
  <r>
    <x v="39"/>
    <x v="2"/>
    <d v="2024-10-04T00:00:00"/>
    <s v="Image"/>
    <s v="#AppleMusic, #AppleLifestyle"/>
    <n v="21729"/>
    <n v="1209"/>
    <n v="897"/>
    <n v="1624"/>
    <n v="38771"/>
    <n v="113297"/>
    <n v="0.21037626768581694"/>
    <s v="iPhone 16 Launch"/>
  </r>
  <r>
    <x v="40"/>
    <x v="2"/>
    <d v="2025-09-15T00:00:00"/>
    <s v="Image"/>
    <s v="#AppleMusic, #AppleLifestyle"/>
    <n v="18389"/>
    <n v="670"/>
    <n v="655"/>
    <n v="321"/>
    <n v="21869"/>
    <n v="96088"/>
    <n v="0.2051660977437349"/>
    <s v="Apple Event September 2025"/>
  </r>
  <r>
    <x v="41"/>
    <x v="2"/>
    <d v="2024-10-28T00:00:00"/>
    <s v="Carousel"/>
    <s v="#AppleEvent, #iPadPro"/>
    <n v="21198"/>
    <n v="1484"/>
    <n v="174"/>
    <n v="1293"/>
    <n v="16330"/>
    <n v="111635"/>
    <n v="0.20473865723115511"/>
    <s v="iPhone 16 Launch"/>
  </r>
  <r>
    <x v="42"/>
    <x v="1"/>
    <d v="2025-03-05T00:00:00"/>
    <s v="Carousel"/>
    <s v="#AppleEvent, #iPhone16"/>
    <n v="12916"/>
    <n v="1262"/>
    <n v="772"/>
    <n v="856"/>
    <n v="11496"/>
    <n v="75046"/>
    <n v="0.19921115049436347"/>
    <s v="Sustainability Awareness Drive"/>
  </r>
  <r>
    <x v="43"/>
    <x v="2"/>
    <d v="2024-10-11T00:00:00"/>
    <s v="Carousel"/>
    <s v="#iPhone16Launch, #AppleEvent"/>
    <n v="19447"/>
    <n v="1014"/>
    <n v="256"/>
    <n v="2354"/>
    <n v="5472"/>
    <n v="104106"/>
    <n v="0.19899909707413599"/>
    <s v="Apple Watch Ultra 2 Launch"/>
  </r>
  <r>
    <x v="44"/>
    <x v="1"/>
    <d v="2025-02-12T00:00:00"/>
    <s v="Video"/>
    <s v="#MacBookAirM3, #AppleInnovation"/>
    <n v="15234"/>
    <n v="1276"/>
    <n v="670"/>
    <n v="1860"/>
    <n v="60397"/>
    <n v="86413"/>
    <n v="0.19881267864788862"/>
    <s v="MacBook Air M3 Campaign"/>
  </r>
  <r>
    <x v="45"/>
    <x v="2"/>
    <d v="2024-12-11T00:00:00"/>
    <s v="Carousel"/>
    <s v="#iPhone16Launch, #AppleEvent"/>
    <n v="22645"/>
    <n v="545"/>
    <n v="972"/>
    <n v="321"/>
    <n v="8396"/>
    <n v="121537"/>
    <n v="0.19880365649966678"/>
    <s v="MacBook Air M3 Campaign"/>
  </r>
  <r>
    <x v="46"/>
    <x v="0"/>
    <d v="2025-04-08T00:00:00"/>
    <s v="Video"/>
    <s v="#AppleWatchUltra2, #HealthTech"/>
    <n v="15568"/>
    <n v="1166"/>
    <n v="546"/>
    <n v="826"/>
    <n v="21836"/>
    <n v="87055"/>
    <n v="0.19849520418126471"/>
    <s v="Apple Watch Ultra 2 Launch"/>
  </r>
  <r>
    <x v="47"/>
    <x v="0"/>
    <d v="2025-09-26T00:00:00"/>
    <s v="Video"/>
    <s v="#iPhone16Launch, #AppleEvent"/>
    <n v="21216"/>
    <n v="226"/>
    <n v="187"/>
    <n v="1573"/>
    <n v="62688"/>
    <n v="111031"/>
    <n v="0.19480145184678152"/>
    <s v="Apple Event September 2025"/>
  </r>
  <r>
    <x v="48"/>
    <x v="3"/>
    <d v="2024-12-08T00:00:00"/>
    <s v="Video"/>
    <s v="#MacBookAirM3, #AppleInnovation"/>
    <n v="10427"/>
    <n v="1014"/>
    <n v="166"/>
    <n v="1649"/>
    <n v="15145"/>
    <n v="59816"/>
    <n v="0.19404507155276179"/>
    <s v="Sustainability Awareness Drive"/>
  </r>
  <r>
    <x v="49"/>
    <x v="0"/>
    <d v="2025-03-28T00:00:00"/>
    <s v="Image"/>
    <s v="#AppleWatch, #Health"/>
    <n v="13637"/>
    <n v="1135"/>
    <n v="540"/>
    <n v="1288"/>
    <n v="45183"/>
    <n v="79062"/>
    <n v="0.19367079001290127"/>
    <s v="MacBook Air M3 Campaign"/>
  </r>
  <r>
    <x v="50"/>
    <x v="0"/>
    <d v="2024-07-21T00:00:00"/>
    <s v="Image"/>
    <s v="#AppleEvent, #iPadPro"/>
    <n v="11911"/>
    <n v="1360"/>
    <n v="778"/>
    <n v="1168"/>
    <n v="16483"/>
    <n v="72556"/>
    <n v="0.19362974805667346"/>
    <s v="Sustainability Awareness Drive"/>
  </r>
  <r>
    <x v="51"/>
    <x v="2"/>
    <d v="2024-08-13T00:00:00"/>
    <s v="Carousel"/>
    <s v="#Sustainability, #AppleEarth"/>
    <n v="6854"/>
    <n v="417"/>
    <n v="467"/>
    <n v="1003"/>
    <n v="61333"/>
    <n v="40281"/>
    <n v="0.19210049402944315"/>
    <s v="Apple Watch Ultra 2 Launch"/>
  </r>
  <r>
    <x v="52"/>
    <x v="0"/>
    <d v="2025-02-24T00:00:00"/>
    <s v="Tweet"/>
    <s v="#iPhone16Launch, #AppleEvent"/>
    <n v="24984"/>
    <n v="753"/>
    <n v="461"/>
    <n v="2710"/>
    <n v="20792"/>
    <n v="141520"/>
    <n v="0.18511871113623515"/>
    <s v="Sustainability Awareness Drive"/>
  </r>
  <r>
    <x v="53"/>
    <x v="1"/>
    <d v="2025-10-04T00:00:00"/>
    <s v="Video"/>
    <s v="#Sustainability, #AppleEarth"/>
    <n v="12488"/>
    <n v="1403"/>
    <n v="247"/>
    <n v="1350"/>
    <n v="28370"/>
    <n v="76487"/>
    <n v="0.18484186855282597"/>
    <s v="Apple Event September 2025"/>
  </r>
  <r>
    <x v="54"/>
    <x v="3"/>
    <d v="2024-07-15T00:00:00"/>
    <s v="Video"/>
    <s v="#ShotOniPhone"/>
    <n v="12554"/>
    <n v="381"/>
    <n v="211"/>
    <n v="2286"/>
    <n v="50567"/>
    <n v="72779"/>
    <n v="0.18062902760411656"/>
    <s v="Apple Watch Ultra 2 Launch"/>
  </r>
  <r>
    <x v="55"/>
    <x v="1"/>
    <d v="2025-04-15T00:00:00"/>
    <s v="Video"/>
    <s v="#iPhone16Launch, #AppleEvent"/>
    <n v="20977"/>
    <n v="1402"/>
    <n v="301"/>
    <n v="1284"/>
    <n v="24620"/>
    <n v="128009"/>
    <n v="0.17717504237983267"/>
    <s v="Apple Watch Ultra 2 Launch"/>
  </r>
  <r>
    <x v="56"/>
    <x v="1"/>
    <d v="2024-10-29T00:00:00"/>
    <s v="Tweet"/>
    <s v="#AppleEvent, #iPhone16"/>
    <n v="23969"/>
    <n v="1433"/>
    <n v="372"/>
    <n v="1092"/>
    <n v="32147"/>
    <n v="145823"/>
    <n v="0.17674852389540743"/>
    <s v="Sustainability Awareness Drive"/>
  </r>
  <r>
    <x v="57"/>
    <x v="2"/>
    <d v="2024-11-06T00:00:00"/>
    <s v="Carousel"/>
    <s v="#AppleEvent, #iPhone16"/>
    <n v="8938"/>
    <n v="800"/>
    <n v="842"/>
    <n v="2072"/>
    <n v="31736"/>
    <n v="59975"/>
    <n v="0.17640683618174238"/>
    <s v="iPhone 16 Launch"/>
  </r>
  <r>
    <x v="58"/>
    <x v="3"/>
    <d v="2024-09-08T00:00:00"/>
    <s v="Carousel"/>
    <s v="#AppleWatchUltra2, #HealthTech"/>
    <n v="8090"/>
    <n v="570"/>
    <n v="399"/>
    <n v="1862"/>
    <n v="34088"/>
    <n v="52115"/>
    <n v="0.17382711311522595"/>
    <s v="Apple Watch Ultra 2 Launch"/>
  </r>
  <r>
    <x v="59"/>
    <x v="0"/>
    <d v="2025-09-24T00:00:00"/>
    <s v="Tweet"/>
    <s v="#AppleMusic, #AppleLifestyle"/>
    <n v="12209"/>
    <n v="222"/>
    <n v="479"/>
    <n v="2748"/>
    <n v="24615"/>
    <n v="74707"/>
    <n v="0.17280843829895459"/>
    <s v="Apple Event September 2025"/>
  </r>
  <r>
    <x v="60"/>
    <x v="0"/>
    <d v="2025-03-02T00:00:00"/>
    <s v="Video"/>
    <s v="#iPhonePhotography, #ShotOniPhone"/>
    <n v="22562"/>
    <n v="778"/>
    <n v="907"/>
    <n v="1354"/>
    <n v="34475"/>
    <n v="141459"/>
    <n v="0.17140655596321194"/>
    <s v="iPhone 16 Launch"/>
  </r>
  <r>
    <x v="61"/>
    <x v="0"/>
    <d v="2024-06-07T00:00:00"/>
    <s v="Video"/>
    <s v="#AppleEvent, #iPadPro"/>
    <n v="8233"/>
    <n v="436"/>
    <n v="269"/>
    <n v="2037"/>
    <n v="8875"/>
    <n v="52289"/>
    <n v="0.17093461339861157"/>
    <s v="Apple Watch Ultra 2 Launch"/>
  </r>
  <r>
    <x v="62"/>
    <x v="0"/>
    <d v="2024-08-24T00:00:00"/>
    <s v="Tweet"/>
    <s v="#iPhonePhotography, #ShotOniPhone"/>
    <n v="22527"/>
    <n v="865"/>
    <n v="646"/>
    <n v="992"/>
    <n v="18654"/>
    <n v="141376"/>
    <n v="0.17002885921231325"/>
    <s v="MacBook Air M3 Campaign"/>
  </r>
  <r>
    <x v="63"/>
    <x v="2"/>
    <d v="2024-08-11T00:00:00"/>
    <s v="Carousel"/>
    <s v="#MacBookAirM3, #AppleInnovation"/>
    <n v="14394"/>
    <n v="1202"/>
    <n v="188"/>
    <n v="1259"/>
    <n v="21925"/>
    <n v="94061"/>
    <n v="0.1678059982351878"/>
    <s v="iPhone 16 Launch"/>
  </r>
  <r>
    <x v="64"/>
    <x v="0"/>
    <d v="2025-09-21T00:00:00"/>
    <s v="Image"/>
    <s v="#Sustainability, #AppleEarth"/>
    <n v="19680"/>
    <n v="999"/>
    <n v="838"/>
    <n v="891"/>
    <n v="29576"/>
    <n v="129152"/>
    <n v="0.16660214321110009"/>
    <s v="Apple Event September 2025"/>
  </r>
  <r>
    <x v="65"/>
    <x v="3"/>
    <d v="2025-09-21T00:00:00"/>
    <s v="Video"/>
    <s v="#AppleWatchUltra2, #HealthTech"/>
    <n v="23103"/>
    <n v="1380"/>
    <n v="191"/>
    <n v="1547"/>
    <n v="77798"/>
    <n v="148856"/>
    <n v="0.16575751061428495"/>
    <s v="Apple Event September 2025"/>
  </r>
  <r>
    <x v="66"/>
    <x v="1"/>
    <d v="2025-03-23T00:00:00"/>
    <s v="Carousel"/>
    <s v="#AppleMusic, #AppleLifestyle"/>
    <n v="17728"/>
    <n v="1487"/>
    <n v="210"/>
    <n v="2469"/>
    <n v="30565"/>
    <n v="117576"/>
    <n v="0.16521228822208614"/>
    <s v="Apple Watch Ultra 2 Launch"/>
  </r>
  <r>
    <x v="67"/>
    <x v="2"/>
    <d v="2024-07-18T00:00:00"/>
    <s v="Video"/>
    <s v="#AppleWatchUltra2, #HealthTech"/>
    <n v="16594"/>
    <n v="809"/>
    <n v="784"/>
    <n v="1655"/>
    <n v="35505"/>
    <n v="112588"/>
    <n v="0.16153586527871533"/>
    <s v="Sustainability Awareness Drive"/>
  </r>
  <r>
    <x v="68"/>
    <x v="1"/>
    <d v="2025-09-20T00:00:00"/>
    <s v="Image"/>
    <s v="#AppleEvent, #iPhone16"/>
    <n v="18633"/>
    <n v="797"/>
    <n v="303"/>
    <n v="659"/>
    <n v="7"/>
    <n v="122189"/>
    <n v="0.16149571565361859"/>
    <s v="Apple Event September 2025"/>
  </r>
  <r>
    <x v="69"/>
    <x v="3"/>
    <d v="2024-08-01T00:00:00"/>
    <s v="Image"/>
    <s v="#AppleDesign, #Innovation"/>
    <n v="21758"/>
    <n v="1380"/>
    <n v="188"/>
    <n v="1735"/>
    <n v="20998"/>
    <n v="147803"/>
    <n v="0.15781817689762725"/>
    <s v="MacBook Air M3 Campaign"/>
  </r>
  <r>
    <x v="70"/>
    <x v="1"/>
    <d v="2025-03-24T00:00:00"/>
    <s v="Image"/>
    <s v="#ShotOniPhone"/>
    <n v="10172"/>
    <n v="1398"/>
    <n v="394"/>
    <n v="2358"/>
    <n v="59610"/>
    <n v="76321"/>
    <n v="0.15675895231980713"/>
    <s v="iPhone 16 Launch"/>
  </r>
  <r>
    <x v="71"/>
    <x v="2"/>
    <d v="2024-07-03T00:00:00"/>
    <s v="Tweet"/>
    <s v="#AppleMusic, #AppleLifestyle"/>
    <n v="14338"/>
    <n v="1454"/>
    <n v="697"/>
    <n v="2703"/>
    <n v="21288"/>
    <n v="107649"/>
    <n v="0.1531737405828201"/>
    <s v="iPhone 16 Launch"/>
  </r>
  <r>
    <x v="72"/>
    <x v="3"/>
    <d v="2025-03-04T00:00:00"/>
    <s v="Video"/>
    <s v="#MacBookAirM3, #AppleInnovation"/>
    <n v="5266"/>
    <n v="316"/>
    <n v="837"/>
    <n v="2276"/>
    <n v="20967"/>
    <n v="41969"/>
    <n v="0.1529462222116324"/>
    <s v="MacBook Air M3 Campaign"/>
  </r>
  <r>
    <x v="73"/>
    <x v="1"/>
    <d v="2025-09-14T00:00:00"/>
    <s v="Carousel"/>
    <s v="#AppleWatch, #Health"/>
    <n v="19844"/>
    <n v="1020"/>
    <n v="247"/>
    <n v="2354"/>
    <n v="37792"/>
    <n v="138317"/>
    <n v="0.15262765965138053"/>
    <s v="Apple Event September 2025"/>
  </r>
  <r>
    <x v="74"/>
    <x v="0"/>
    <d v="2025-03-04T00:00:00"/>
    <s v="Carousel"/>
    <s v="#iPhone16Launch, #AppleEvent"/>
    <n v="13470"/>
    <n v="523"/>
    <n v="280"/>
    <n v="2682"/>
    <n v="8538"/>
    <n v="95204"/>
    <n v="0.14992017142136885"/>
    <s v="Apple Watch Ultra 2 Launch"/>
  </r>
  <r>
    <x v="75"/>
    <x v="3"/>
    <d v="2025-01-30T00:00:00"/>
    <s v="Tweet"/>
    <s v="#iPhonePhotography, #ShotOniPhone"/>
    <n v="12954"/>
    <n v="913"/>
    <n v="722"/>
    <n v="1049"/>
    <n v="475"/>
    <n v="97716"/>
    <n v="0.14930001228048631"/>
    <s v="Apple Watch Ultra 2 Launch"/>
  </r>
  <r>
    <x v="76"/>
    <x v="0"/>
    <d v="2025-09-28T00:00:00"/>
    <s v="Carousel"/>
    <s v="#AppleWatch, #Health"/>
    <n v="21963"/>
    <n v="1356"/>
    <n v="349"/>
    <n v="1206"/>
    <n v="51755"/>
    <n v="159273"/>
    <n v="0.14860020216860359"/>
    <s v="Apple Event September 2025"/>
  </r>
  <r>
    <x v="77"/>
    <x v="3"/>
    <d v="2025-09-14T00:00:00"/>
    <s v="Carousel"/>
    <s v="#AppleEvent, #iPhone16"/>
    <n v="12787"/>
    <n v="945"/>
    <n v="974"/>
    <n v="1407"/>
    <n v="4037"/>
    <n v="99182"/>
    <n v="0.14827287209372669"/>
    <s v="Apple Event September 2025"/>
  </r>
  <r>
    <x v="78"/>
    <x v="0"/>
    <d v="2025-03-23T00:00:00"/>
    <s v="Image"/>
    <s v="#AppleDesign, #Innovation"/>
    <n v="24711"/>
    <n v="882"/>
    <n v="876"/>
    <n v="2728"/>
    <n v="32015"/>
    <n v="180272"/>
    <n v="0.1468281263867933"/>
    <s v="iPhone 16 Launch"/>
  </r>
  <r>
    <x v="79"/>
    <x v="1"/>
    <d v="2025-09-12T00:00:00"/>
    <s v="Video"/>
    <s v="#AppleMusic, #AppleLifestyle"/>
    <n v="15918"/>
    <n v="1114"/>
    <n v="392"/>
    <n v="1641"/>
    <n v="28044"/>
    <n v="118714"/>
    <n v="0.14677291642097814"/>
    <s v="Apple Event September 2025"/>
  </r>
  <r>
    <x v="80"/>
    <x v="3"/>
    <d v="2024-12-21T00:00:00"/>
    <s v="Image"/>
    <s v="#AppleWatchUltra2, #HealthTech"/>
    <n v="12453"/>
    <n v="376"/>
    <n v="320"/>
    <n v="2546"/>
    <n v="22617"/>
    <n v="90138"/>
    <n v="0.14587632297144379"/>
    <s v="Sustainability Awareness Drive"/>
  </r>
  <r>
    <x v="81"/>
    <x v="0"/>
    <d v="2025-04-29T00:00:00"/>
    <s v="Carousel"/>
    <s v="#AppleWatch, #Health"/>
    <n v="16277"/>
    <n v="1109"/>
    <n v="375"/>
    <n v="2225"/>
    <n v="1044"/>
    <n v="121889"/>
    <n v="0.14571454356012437"/>
    <s v="iPhone 16 Launch"/>
  </r>
  <r>
    <x v="82"/>
    <x v="0"/>
    <d v="2025-09-07T00:00:00"/>
    <s v="Tweet"/>
    <s v="#Sustainability, #AppleEarth"/>
    <n v="4472"/>
    <n v="1301"/>
    <n v="956"/>
    <n v="1186"/>
    <n v="3363"/>
    <n v="46471"/>
    <n v="0.14479998278496267"/>
    <s v="Apple Event September 2025"/>
  </r>
  <r>
    <x v="83"/>
    <x v="0"/>
    <d v="2025-03-29T00:00:00"/>
    <s v="Video"/>
    <s v="#AppleWatch, #Health"/>
    <n v="19461"/>
    <n v="1382"/>
    <n v="445"/>
    <n v="1307"/>
    <n v="84691"/>
    <n v="151453"/>
    <n v="0.14055845707909384"/>
    <s v="iPhone 16 Launch"/>
  </r>
  <r>
    <x v="84"/>
    <x v="1"/>
    <d v="2024-11-21T00:00:00"/>
    <s v="Image"/>
    <s v="#AppleWatch, #Health"/>
    <n v="8229"/>
    <n v="977"/>
    <n v="152"/>
    <n v="1633"/>
    <n v="71447"/>
    <n v="67723"/>
    <n v="0.13818052950991538"/>
    <s v="MacBook Air M3 Campaign"/>
  </r>
  <r>
    <x v="85"/>
    <x v="1"/>
    <d v="2025-10-13T00:00:00"/>
    <s v="Video"/>
    <s v="#AppleEvent, #iPhone16"/>
    <n v="19302"/>
    <n v="1367"/>
    <n v="188"/>
    <n v="637"/>
    <n v="31404"/>
    <n v="154044"/>
    <n v="0.13539638025499209"/>
    <s v="Apple Event September 2025"/>
  </r>
  <r>
    <x v="86"/>
    <x v="3"/>
    <d v="2024-07-07T00:00:00"/>
    <s v="Tweet"/>
    <s v="#MacBookAirM3, #AppleInnovation"/>
    <n v="24625"/>
    <n v="749"/>
    <n v="193"/>
    <n v="1340"/>
    <n v="4890"/>
    <n v="189381"/>
    <n v="0.13500298340382616"/>
    <s v="Apple Watch Ultra 2 Launch"/>
  </r>
  <r>
    <x v="87"/>
    <x v="3"/>
    <d v="2025-09-13T00:00:00"/>
    <s v="Carousel"/>
    <s v="#AppleMusic, #AppleLifestyle"/>
    <n v="17106"/>
    <n v="702"/>
    <n v="459"/>
    <n v="999"/>
    <n v="59627"/>
    <n v="136059"/>
    <n v="0.13425793222058077"/>
    <s v="Apple Event September 2025"/>
  </r>
  <r>
    <x v="88"/>
    <x v="1"/>
    <d v="2024-11-12T00:00:00"/>
    <s v="Image"/>
    <s v="#MacBookAirM3, #AppleInnovation"/>
    <n v="19022"/>
    <n v="541"/>
    <n v="575"/>
    <n v="2063"/>
    <n v="42743"/>
    <n v="150169"/>
    <n v="0.13410224480418728"/>
    <s v="Apple Watch Ultra 2 Launch"/>
  </r>
  <r>
    <x v="89"/>
    <x v="3"/>
    <d v="2025-01-28T00:00:00"/>
    <s v="Tweet"/>
    <s v="#AppleWatch, #Health"/>
    <n v="9239"/>
    <n v="1477"/>
    <n v="631"/>
    <n v="1556"/>
    <n v="11580"/>
    <n v="84738"/>
    <n v="0.13390686586891359"/>
    <s v="Sustainability Awareness Drive"/>
  </r>
  <r>
    <x v="90"/>
    <x v="1"/>
    <d v="2024-10-21T00:00:00"/>
    <s v="Tweet"/>
    <s v="#iPhone16Launch, #AppleEvent"/>
    <n v="20777"/>
    <n v="962"/>
    <n v="308"/>
    <n v="2777"/>
    <n v="25529"/>
    <n v="165354"/>
    <n v="0.13333212380710477"/>
    <s v="Apple Watch Ultra 2 Launch"/>
  </r>
  <r>
    <x v="91"/>
    <x v="2"/>
    <d v="2025-03-03T00:00:00"/>
    <s v="Carousel"/>
    <s v="#AppleEvent, #iPhone16"/>
    <n v="24928"/>
    <n v="214"/>
    <n v="765"/>
    <n v="1556"/>
    <n v="5239"/>
    <n v="194571"/>
    <n v="0.13314933880177415"/>
    <s v="MacBook Air M3 Campaign"/>
  </r>
  <r>
    <x v="92"/>
    <x v="1"/>
    <d v="2025-02-20T00:00:00"/>
    <s v="Carousel"/>
    <s v="#iPhone16Launch, #AppleEvent"/>
    <n v="15703"/>
    <n v="1381"/>
    <n v="639"/>
    <n v="984"/>
    <n v="10967"/>
    <n v="133747"/>
    <n v="0.13251138343289942"/>
    <s v="MacBook Air M3 Campaign"/>
  </r>
  <r>
    <x v="93"/>
    <x v="3"/>
    <d v="2024-06-24T00:00:00"/>
    <s v="Carousel"/>
    <s v="#AppleMusic, #AppleLifestyle"/>
    <n v="7713"/>
    <n v="575"/>
    <n v="417"/>
    <n v="336"/>
    <n v="61660"/>
    <n v="66017"/>
    <n v="0.13185997546086614"/>
    <s v="iPhone 16 Launch"/>
  </r>
  <r>
    <x v="94"/>
    <x v="3"/>
    <d v="2025-09-25T00:00:00"/>
    <s v="Image"/>
    <s v="#ShotOniPhone"/>
    <n v="20564"/>
    <n v="1433"/>
    <n v="488"/>
    <n v="1015"/>
    <n v="24333"/>
    <n v="172130"/>
    <n v="0.13062801371056759"/>
    <s v="Apple Event September 2025"/>
  </r>
  <r>
    <x v="95"/>
    <x v="2"/>
    <d v="2024-06-19T00:00:00"/>
    <s v="Carousel"/>
    <s v="#iPhonePhotography, #ShotOniPhone"/>
    <n v="20444"/>
    <n v="233"/>
    <n v="189"/>
    <n v="2879"/>
    <n v="28185"/>
    <n v="159891"/>
    <n v="0.13050140408153055"/>
    <s v="iPhone 16 Launch"/>
  </r>
  <r>
    <x v="96"/>
    <x v="1"/>
    <d v="2024-12-23T00:00:00"/>
    <s v="Image"/>
    <s v="#AppleWatchUltra2, #HealthTech"/>
    <n v="24516"/>
    <n v="976"/>
    <n v="974"/>
    <n v="2675"/>
    <n v="23275"/>
    <n v="202932"/>
    <n v="0.13041807107799658"/>
    <s v="Apple Watch Ultra 2 Launch"/>
  </r>
  <r>
    <x v="97"/>
    <x v="0"/>
    <d v="2024-12-09T00:00:00"/>
    <s v="Image"/>
    <s v="#MacBookAirM3, #AppleInnovation"/>
    <n v="15051"/>
    <n v="268"/>
    <n v="251"/>
    <n v="783"/>
    <n v="34154"/>
    <n v="119671"/>
    <n v="0.13010670922779954"/>
    <s v="iPhone 16 Launch"/>
  </r>
  <r>
    <x v="98"/>
    <x v="1"/>
    <d v="2025-02-24T00:00:00"/>
    <s v="Image"/>
    <s v="#AppleEvent, #iPhone16"/>
    <n v="23949"/>
    <n v="356"/>
    <n v="616"/>
    <n v="1847"/>
    <n v="3144"/>
    <n v="192999"/>
    <n v="0.12912502137316773"/>
    <s v="iPhone 16 Launch"/>
  </r>
  <r>
    <x v="99"/>
    <x v="3"/>
    <d v="2025-03-29T00:00:00"/>
    <s v="Carousel"/>
    <s v="#AppleDesign, #Innovation"/>
    <n v="23508"/>
    <n v="585"/>
    <n v="743"/>
    <n v="2155"/>
    <n v="3704"/>
    <n v="194268"/>
    <n v="0.1278440093067309"/>
    <s v="iPhone 16 Launch"/>
  </r>
  <r>
    <x v="100"/>
    <x v="1"/>
    <d v="2024-10-02T00:00:00"/>
    <s v="Video"/>
    <s v="#AppleMusic, #AppleLifestyle"/>
    <n v="5086"/>
    <n v="1336"/>
    <n v="897"/>
    <n v="1715"/>
    <n v="60592"/>
    <n v="57772"/>
    <n v="0.12668766876687668"/>
    <s v="Sustainability Awareness Drive"/>
  </r>
  <r>
    <x v="101"/>
    <x v="1"/>
    <d v="2024-11-28T00:00:00"/>
    <s v="Carousel"/>
    <s v="#iPhone16Launch, #AppleEvent"/>
    <n v="19055"/>
    <n v="443"/>
    <n v="976"/>
    <n v="869"/>
    <n v="75437"/>
    <n v="161863"/>
    <n v="0.12648968572187591"/>
    <s v="Sustainability Awareness Drive"/>
  </r>
  <r>
    <x v="102"/>
    <x v="0"/>
    <d v="2025-09-23T00:00:00"/>
    <s v="Tweet"/>
    <s v="#AppleEvent, #iPhone16"/>
    <n v="17147"/>
    <n v="286"/>
    <n v="291"/>
    <n v="2439"/>
    <n v="45631"/>
    <n v="140494"/>
    <n v="0.12615485358805359"/>
    <s v="Apple Event September 2025"/>
  </r>
  <r>
    <x v="103"/>
    <x v="0"/>
    <d v="2025-01-23T00:00:00"/>
    <s v="Video"/>
    <s v="#iPhone16Launch, #AppleEvent"/>
    <n v="23168"/>
    <n v="1265"/>
    <n v="441"/>
    <n v="1612"/>
    <n v="66615"/>
    <n v="197795"/>
    <n v="0.12575646502692181"/>
    <s v="iPhone 16 Launch"/>
  </r>
  <r>
    <x v="104"/>
    <x v="2"/>
    <d v="2024-10-17T00:00:00"/>
    <s v="Video"/>
    <s v="#AppleDesign, #Innovation"/>
    <n v="18608"/>
    <n v="1338"/>
    <n v="365"/>
    <n v="2289"/>
    <n v="20785"/>
    <n v="161999"/>
    <n v="0.12537731714393299"/>
    <s v="Apple Watch Ultra 2 Launch"/>
  </r>
  <r>
    <x v="105"/>
    <x v="0"/>
    <d v="2024-10-21T00:00:00"/>
    <s v="Image"/>
    <s v="#iPhone16Launch, #AppleEvent"/>
    <n v="20271"/>
    <n v="512"/>
    <n v="286"/>
    <n v="1982"/>
    <n v="43225"/>
    <n v="168335"/>
    <n v="0.12516113701844536"/>
    <s v="iPhone 16 Launch"/>
  </r>
  <r>
    <x v="106"/>
    <x v="3"/>
    <d v="2025-04-19T00:00:00"/>
    <s v="Carousel"/>
    <s v="#MacBookProM3"/>
    <n v="20384"/>
    <n v="344"/>
    <n v="956"/>
    <n v="655"/>
    <n v="67621"/>
    <n v="175720"/>
    <n v="0.12340086501251991"/>
    <s v="Sustainability Awareness Drive"/>
  </r>
  <r>
    <x v="107"/>
    <x v="0"/>
    <d v="2024-10-28T00:00:00"/>
    <s v="Carousel"/>
    <s v="#iPhonePhotography, #ShotOniPhone"/>
    <n v="8981"/>
    <n v="1138"/>
    <n v="764"/>
    <n v="2555"/>
    <n v="92810"/>
    <n v="88320"/>
    <n v="0.1232223731884058"/>
    <s v="MacBook Air M3 Campaign"/>
  </r>
  <r>
    <x v="108"/>
    <x v="1"/>
    <d v="2024-07-23T00:00:00"/>
    <s v="Video"/>
    <s v="#iPhonePhotography, #ShotOniPhone"/>
    <n v="24877"/>
    <n v="262"/>
    <n v="513"/>
    <n v="648"/>
    <n v="47544"/>
    <n v="208280"/>
    <n v="0.12316112924908777"/>
    <s v="Sustainability Awareness Drive"/>
  </r>
  <r>
    <x v="109"/>
    <x v="2"/>
    <d v="2024-08-08T00:00:00"/>
    <s v="Carousel"/>
    <s v="#AppleWatch, #Health"/>
    <n v="24355"/>
    <n v="1087"/>
    <n v="686"/>
    <n v="2426"/>
    <n v="24963"/>
    <n v="212307"/>
    <n v="0.1230670679723231"/>
    <s v="Apple Watch Ultra 2 Launch"/>
  </r>
  <r>
    <x v="110"/>
    <x v="0"/>
    <d v="2025-09-26T00:00:00"/>
    <s v="Carousel"/>
    <s v="#AppleWatchUltra2, #HealthTech"/>
    <n v="16369"/>
    <n v="1452"/>
    <n v="493"/>
    <n v="1217"/>
    <n v="91440"/>
    <n v="149834"/>
    <n v="0.12222859965027964"/>
    <s v="Apple Event September 2025"/>
  </r>
  <r>
    <x v="111"/>
    <x v="2"/>
    <d v="2024-07-26T00:00:00"/>
    <s v="Tweet"/>
    <s v="#AppleWatch, #Health"/>
    <n v="12176"/>
    <n v="1005"/>
    <n v="862"/>
    <n v="974"/>
    <n v="2285"/>
    <n v="116619"/>
    <n v="0.12041777068916729"/>
    <s v="iPhone 16 Launch"/>
  </r>
  <r>
    <x v="112"/>
    <x v="2"/>
    <d v="2024-07-01T00:00:00"/>
    <s v="Video"/>
    <s v="#AppleDesign, #Innovation"/>
    <n v="3761"/>
    <n v="651"/>
    <n v="493"/>
    <n v="2294"/>
    <n v="71696"/>
    <n v="41177"/>
    <n v="0.11911989702989532"/>
    <s v="Apple Watch Ultra 2 Launch"/>
  </r>
  <r>
    <x v="113"/>
    <x v="0"/>
    <d v="2024-06-01T00:00:00"/>
    <s v="Image"/>
    <s v="#AppleMusic, #AppleLifestyle"/>
    <n v="19844"/>
    <n v="1022"/>
    <n v="860"/>
    <n v="2570"/>
    <n v="23719"/>
    <n v="182628"/>
    <n v="0.11896313818253498"/>
    <s v="Sustainability Awareness Drive"/>
  </r>
  <r>
    <x v="114"/>
    <x v="2"/>
    <d v="2024-06-21T00:00:00"/>
    <s v="Video"/>
    <s v="#AppleEvent, #iPadPro"/>
    <n v="21216"/>
    <n v="1207"/>
    <n v="859"/>
    <n v="328"/>
    <n v="91296"/>
    <n v="196683"/>
    <n v="0.1183732198512327"/>
    <s v="Sustainability Awareness Drive"/>
  </r>
  <r>
    <x v="115"/>
    <x v="3"/>
    <d v="2024-07-31T00:00:00"/>
    <s v="Image"/>
    <s v="#AppleWatchUltra2, #HealthTech"/>
    <n v="12357"/>
    <n v="716"/>
    <n v="599"/>
    <n v="999"/>
    <n v="89591"/>
    <n v="116367"/>
    <n v="0.11749035379446063"/>
    <s v="Apple Watch Ultra 2 Launch"/>
  </r>
  <r>
    <x v="116"/>
    <x v="3"/>
    <d v="2025-09-22T00:00:00"/>
    <s v="Carousel"/>
    <s v="#ShotOniPhone"/>
    <n v="18509"/>
    <n v="361"/>
    <n v="578"/>
    <n v="1409"/>
    <n v="10569"/>
    <n v="166969"/>
    <n v="0.11647671124580011"/>
    <s v="Apple Event September 2025"/>
  </r>
  <r>
    <x v="117"/>
    <x v="1"/>
    <d v="2024-06-22T00:00:00"/>
    <s v="Tweet"/>
    <s v="#AppleWatch, #Health"/>
    <n v="7342"/>
    <n v="906"/>
    <n v="902"/>
    <n v="1199"/>
    <n v="68488"/>
    <n v="79310"/>
    <n v="0.1153700668263775"/>
    <s v="Apple Watch Ultra 2 Launch"/>
  </r>
  <r>
    <x v="118"/>
    <x v="2"/>
    <d v="2024-11-08T00:00:00"/>
    <s v="Tweet"/>
    <s v="#AppleEvent, #iPadPro"/>
    <n v="23499"/>
    <n v="562"/>
    <n v="964"/>
    <n v="2557"/>
    <n v="56890"/>
    <n v="218686"/>
    <n v="0.11443347996671026"/>
    <s v="iPhone 16 Launch"/>
  </r>
  <r>
    <x v="119"/>
    <x v="0"/>
    <d v="2024-10-02T00:00:00"/>
    <s v="Image"/>
    <s v="#AppleDesign, #Innovation"/>
    <n v="15716"/>
    <n v="839"/>
    <n v="639"/>
    <n v="2839"/>
    <n v="349"/>
    <n v="150677"/>
    <n v="0.11411164278556117"/>
    <s v="Sustainability Awareness Drive"/>
  </r>
  <r>
    <x v="120"/>
    <x v="0"/>
    <d v="2024-06-10T00:00:00"/>
    <s v="Video"/>
    <s v="#AppleMusic, #AppleLifestyle"/>
    <n v="21561"/>
    <n v="340"/>
    <n v="741"/>
    <n v="986"/>
    <n v="24826"/>
    <n v="198492"/>
    <n v="0.11407008846704149"/>
    <s v="Apple Watch Ultra 2 Launch"/>
  </r>
  <r>
    <x v="121"/>
    <x v="1"/>
    <d v="2025-10-06T00:00:00"/>
    <s v="Video"/>
    <s v="#AppleDesign, #Innovation"/>
    <n v="22028"/>
    <n v="355"/>
    <n v="665"/>
    <n v="1859"/>
    <n v="50565"/>
    <n v="202962"/>
    <n v="0.11355820301337197"/>
    <s v="Apple Event September 2025"/>
  </r>
  <r>
    <x v="122"/>
    <x v="2"/>
    <d v="2024-09-17T00:00:00"/>
    <s v="Tweet"/>
    <s v="#iPhone16Launch, #AppleEvent"/>
    <n v="20017"/>
    <n v="495"/>
    <n v="178"/>
    <n v="2683"/>
    <n v="32244"/>
    <n v="182633"/>
    <n v="0.11328730295182141"/>
    <s v="Apple Watch Ultra 2 Launch"/>
  </r>
  <r>
    <x v="123"/>
    <x v="3"/>
    <d v="2025-01-10T00:00:00"/>
    <s v="Carousel"/>
    <s v="#iPhonePhotography, #ShotOniPhone"/>
    <n v="14647"/>
    <n v="1168"/>
    <n v="484"/>
    <n v="2650"/>
    <n v="27217"/>
    <n v="144061"/>
    <n v="0.11313957281984714"/>
    <s v="iPhone 16 Launch"/>
  </r>
  <r>
    <x v="124"/>
    <x v="3"/>
    <d v="2025-10-05T00:00:00"/>
    <s v="Tweet"/>
    <s v="#AppleMusic, #AppleLifestyle"/>
    <n v="21262"/>
    <n v="861"/>
    <n v="676"/>
    <n v="2263"/>
    <n v="12085"/>
    <n v="201731"/>
    <n v="0.11301683925623726"/>
    <s v="Apple Event September 2025"/>
  </r>
  <r>
    <x v="125"/>
    <x v="1"/>
    <d v="2024-08-15T00:00:00"/>
    <s v="Image"/>
    <s v="#iPhone16Launch, #AppleEvent"/>
    <n v="15503"/>
    <n v="313"/>
    <n v="388"/>
    <n v="1078"/>
    <n v="11500"/>
    <n v="143754"/>
    <n v="0.1127203416948398"/>
    <s v="iPhone 16 Launch"/>
  </r>
  <r>
    <x v="126"/>
    <x v="2"/>
    <d v="2024-09-02T00:00:00"/>
    <s v="Carousel"/>
    <s v="#AppleEvent, #iPadPro"/>
    <n v="12040"/>
    <n v="1147"/>
    <n v="210"/>
    <n v="885"/>
    <n v="30360"/>
    <n v="119530"/>
    <n v="0.1120806492094035"/>
    <s v="iPhone 16 Launch"/>
  </r>
  <r>
    <x v="127"/>
    <x v="0"/>
    <d v="2024-10-21T00:00:00"/>
    <s v="Tweet"/>
    <s v="#MacBookAirM3, #AppleInnovation"/>
    <n v="19715"/>
    <n v="1014"/>
    <n v="718"/>
    <n v="1185"/>
    <n v="37625"/>
    <n v="191409"/>
    <n v="0.11204802282024356"/>
    <s v="Apple Watch Ultra 2 Launch"/>
  </r>
  <r>
    <x v="128"/>
    <x v="2"/>
    <d v="2024-06-20T00:00:00"/>
    <s v="Video"/>
    <s v="#AppleWatch, #Health"/>
    <n v="21123"/>
    <n v="1343"/>
    <n v="589"/>
    <n v="727"/>
    <n v="87833"/>
    <n v="206703"/>
    <n v="0.11153684271636116"/>
    <s v="Apple Watch Ultra 2 Launch"/>
  </r>
  <r>
    <x v="129"/>
    <x v="0"/>
    <d v="2024-06-23T00:00:00"/>
    <s v="Tweet"/>
    <s v="#AppleEvent, #iPhone16"/>
    <n v="16512"/>
    <n v="1050"/>
    <n v="971"/>
    <n v="1891"/>
    <n v="15865"/>
    <n v="166503"/>
    <n v="0.1113073037723044"/>
    <s v="iPhone 16 Launch"/>
  </r>
  <r>
    <x v="130"/>
    <x v="3"/>
    <d v="2025-05-12T00:00:00"/>
    <s v="Tweet"/>
    <s v="#AppleDesign, #Innovation"/>
    <n v="19308"/>
    <n v="1318"/>
    <n v="795"/>
    <n v="1499"/>
    <n v="52307"/>
    <n v="193087"/>
    <n v="0.11093962825047776"/>
    <s v="Sustainability Awareness Drive"/>
  </r>
  <r>
    <x v="131"/>
    <x v="1"/>
    <d v="2024-06-05T00:00:00"/>
    <s v="Tweet"/>
    <s v="#iPhonePhotography, #ShotOniPhone"/>
    <n v="18907"/>
    <n v="1075"/>
    <n v="675"/>
    <n v="1383"/>
    <n v="17875"/>
    <n v="186649"/>
    <n v="0.11067297440650634"/>
    <s v="Apple Watch Ultra 2 Launch"/>
  </r>
  <r>
    <x v="132"/>
    <x v="1"/>
    <d v="2024-09-17T00:00:00"/>
    <s v="Video"/>
    <s v="#AppleMusic, #AppleLifestyle"/>
    <n v="20410"/>
    <n v="1332"/>
    <n v="472"/>
    <n v="1202"/>
    <n v="9418"/>
    <n v="200806"/>
    <n v="0.11062418453631864"/>
    <s v="Apple Watch Ultra 2 Launch"/>
  </r>
  <r>
    <x v="133"/>
    <x v="0"/>
    <d v="2024-12-22T00:00:00"/>
    <s v="Tweet"/>
    <s v="#AppleEvent, #iPadPro"/>
    <n v="20117"/>
    <n v="1143"/>
    <n v="713"/>
    <n v="1739"/>
    <n v="34444"/>
    <n v="198670"/>
    <n v="0.11060049328031409"/>
    <s v="MacBook Air M3 Campaign"/>
  </r>
  <r>
    <x v="134"/>
    <x v="0"/>
    <d v="2024-10-03T00:00:00"/>
    <s v="Image"/>
    <s v="#AppleEvent, #iPadPro"/>
    <n v="22618"/>
    <n v="641"/>
    <n v="416"/>
    <n v="1530"/>
    <n v="18395"/>
    <n v="215211"/>
    <n v="0.1100083174187193"/>
    <s v="MacBook Air M3 Campaign"/>
  </r>
  <r>
    <x v="135"/>
    <x v="2"/>
    <d v="2024-08-05T00:00:00"/>
    <s v="Video"/>
    <s v="#AppleWatchUltra2, #HealthTech"/>
    <n v="20935"/>
    <n v="1104"/>
    <n v="876"/>
    <n v="1270"/>
    <n v="21454"/>
    <n v="208722"/>
    <n v="0.10978718103506099"/>
    <s v="Sustainability Awareness Drive"/>
  </r>
  <r>
    <x v="136"/>
    <x v="3"/>
    <d v="2025-01-01T00:00:00"/>
    <s v="Video"/>
    <s v="#MacBookAirM3, #AppleInnovation"/>
    <n v="24574"/>
    <n v="909"/>
    <n v="280"/>
    <n v="2009"/>
    <n v="6221"/>
    <n v="236910"/>
    <n v="0.10874593727575872"/>
    <s v="MacBook Air M3 Campaign"/>
  </r>
  <r>
    <x v="137"/>
    <x v="0"/>
    <d v="2025-09-11T00:00:00"/>
    <s v="Carousel"/>
    <s v="#iPhone16Launch, #AppleEvent"/>
    <n v="10175"/>
    <n v="342"/>
    <n v="825"/>
    <n v="2904"/>
    <n v="15954"/>
    <n v="104324"/>
    <n v="0.10871899083624094"/>
    <s v="Apple Event September 2025"/>
  </r>
  <r>
    <x v="138"/>
    <x v="2"/>
    <d v="2024-12-17T00:00:00"/>
    <s v="Image"/>
    <s v="#AppleWatch, #Health"/>
    <n v="20030"/>
    <n v="485"/>
    <n v="888"/>
    <n v="1643"/>
    <n v="4322"/>
    <n v="196995"/>
    <n v="0.10864742759968526"/>
    <s v="Sustainability Awareness Drive"/>
  </r>
  <r>
    <x v="139"/>
    <x v="2"/>
    <d v="2025-09-19T00:00:00"/>
    <s v="Image"/>
    <s v="#AppleWatch, #Health"/>
    <n v="19100"/>
    <n v="619"/>
    <n v="297"/>
    <n v="2312"/>
    <n v="9730"/>
    <n v="184832"/>
    <n v="0.10829293628808864"/>
    <s v="Apple Event September 2025"/>
  </r>
  <r>
    <x v="140"/>
    <x v="3"/>
    <d v="2025-09-20T00:00:00"/>
    <s v="Image"/>
    <s v="#AppleWatch, #Health"/>
    <n v="12267"/>
    <n v="1487"/>
    <n v="489"/>
    <n v="2748"/>
    <n v="34685"/>
    <n v="131736"/>
    <n v="0.1081177506528208"/>
    <s v="Apple Event September 2025"/>
  </r>
  <r>
    <x v="141"/>
    <x v="2"/>
    <d v="2025-01-18T00:00:00"/>
    <s v="Tweet"/>
    <s v="#iPhonePhotography, #ShotOniPhone"/>
    <n v="22673"/>
    <n v="1053"/>
    <n v="169"/>
    <n v="1566"/>
    <n v="9417"/>
    <n v="221187"/>
    <n v="0.10803076130152314"/>
    <s v="iPhone 16 Launch"/>
  </r>
  <r>
    <x v="142"/>
    <x v="0"/>
    <d v="2025-04-13T00:00:00"/>
    <s v="Carousel"/>
    <s v="#MacBookProM3"/>
    <n v="24700"/>
    <n v="327"/>
    <n v="999"/>
    <n v="994"/>
    <n v="59400"/>
    <n v="243502"/>
    <n v="0.10688207899729776"/>
    <s v="Sustainability Awareness Drive"/>
  </r>
  <r>
    <x v="143"/>
    <x v="1"/>
    <d v="2025-10-11T00:00:00"/>
    <s v="Carousel"/>
    <s v="#AppleWatch, #Health"/>
    <n v="15623"/>
    <n v="869"/>
    <n v="423"/>
    <n v="371"/>
    <n v="47579"/>
    <n v="158516"/>
    <n v="0.10670847106916652"/>
    <s v="Apple Event September 2025"/>
  </r>
  <r>
    <x v="144"/>
    <x v="1"/>
    <d v="2024-12-23T00:00:00"/>
    <s v="Video"/>
    <s v="#AppleDesign, #Innovation"/>
    <n v="18616"/>
    <n v="1277"/>
    <n v="734"/>
    <n v="2249"/>
    <n v="3399"/>
    <n v="193515"/>
    <n v="0.10659122031883833"/>
    <s v="iPhone 16 Launch"/>
  </r>
  <r>
    <x v="145"/>
    <x v="0"/>
    <d v="2025-03-27T00:00:00"/>
    <s v="Tweet"/>
    <s v="#iPhonePhotography, #ShotOniPhone"/>
    <n v="14819"/>
    <n v="1432"/>
    <n v="152"/>
    <n v="961"/>
    <n v="39154"/>
    <n v="154793"/>
    <n v="0.10596732410380315"/>
    <s v="iPhone 16 Launch"/>
  </r>
  <r>
    <x v="146"/>
    <x v="0"/>
    <d v="2025-09-19T00:00:00"/>
    <s v="Carousel"/>
    <s v="#AppleEvent, #iPadPro"/>
    <n v="14772"/>
    <n v="1030"/>
    <n v="508"/>
    <n v="1876"/>
    <n v="8882"/>
    <n v="155142"/>
    <n v="0.10512949426976577"/>
    <s v="Apple Event September 2025"/>
  </r>
  <r>
    <x v="147"/>
    <x v="0"/>
    <d v="2025-02-11T00:00:00"/>
    <s v="Carousel"/>
    <s v="#Sustainability, #AppleEarth"/>
    <n v="3619"/>
    <n v="1376"/>
    <n v="410"/>
    <n v="2499"/>
    <n v="58146"/>
    <n v="52149"/>
    <n v="0.10364532397553165"/>
    <s v="Apple Watch Ultra 2 Launch"/>
  </r>
  <r>
    <x v="148"/>
    <x v="0"/>
    <d v="2025-09-11T00:00:00"/>
    <s v="Video"/>
    <s v="#AppleMusic, #AppleLifestyle"/>
    <n v="21901"/>
    <n v="1308"/>
    <n v="724"/>
    <n v="2183"/>
    <n v="15996"/>
    <n v="230961"/>
    <n v="0.10362355549205277"/>
    <s v="Apple Event September 2025"/>
  </r>
  <r>
    <x v="149"/>
    <x v="0"/>
    <d v="2025-03-06T00:00:00"/>
    <s v="Tweet"/>
    <s v="#iPhone16Launch, #AppleEvent"/>
    <n v="22119"/>
    <n v="899"/>
    <n v="642"/>
    <n v="410"/>
    <n v="49490"/>
    <n v="229420"/>
    <n v="0.10312963124400662"/>
    <s v="iPhone 16 Launch"/>
  </r>
  <r>
    <x v="150"/>
    <x v="0"/>
    <d v="2025-09-20T00:00:00"/>
    <s v="Image"/>
    <s v="#ShotOniPhone"/>
    <n v="24422"/>
    <n v="327"/>
    <n v="481"/>
    <n v="2371"/>
    <n v="35340"/>
    <n v="245244"/>
    <n v="0.10287713460879777"/>
    <s v="Apple Event September 2025"/>
  </r>
  <r>
    <x v="151"/>
    <x v="2"/>
    <d v="2024-10-22T00:00:00"/>
    <s v="Carousel"/>
    <s v="#AppleDesign, #Innovation"/>
    <n v="7622"/>
    <n v="529"/>
    <n v="720"/>
    <n v="1015"/>
    <n v="71322"/>
    <n v="86819"/>
    <n v="0.10217809465669957"/>
    <s v="MacBook Air M3 Campaign"/>
  </r>
  <r>
    <x v="152"/>
    <x v="3"/>
    <d v="2025-02-16T00:00:00"/>
    <s v="Tweet"/>
    <s v="#AppleEvent, #iPhone16"/>
    <n v="24195"/>
    <n v="888"/>
    <n v="165"/>
    <n v="1559"/>
    <n v="11596"/>
    <n v="249988"/>
    <n v="0.10099684784869674"/>
    <s v="Sustainability Awareness Drive"/>
  </r>
  <r>
    <x v="153"/>
    <x v="3"/>
    <d v="2024-10-02T00:00:00"/>
    <s v="Video"/>
    <s v="#iPhonePhotography, #ShotOniPhone"/>
    <n v="9350"/>
    <n v="1024"/>
    <n v="550"/>
    <n v="2123"/>
    <n v="53916"/>
    <n v="108785"/>
    <n v="0.10041825619340902"/>
    <s v="Sustainability Awareness Drive"/>
  </r>
  <r>
    <x v="154"/>
    <x v="3"/>
    <d v="2024-07-18T00:00:00"/>
    <s v="Video"/>
    <s v="#MacBookProM3"/>
    <n v="11111"/>
    <n v="1222"/>
    <n v="367"/>
    <n v="507"/>
    <n v="14129"/>
    <n v="127163"/>
    <n v="9.9871818060284834E-2"/>
    <s v="MacBook Air M3 Campaign"/>
  </r>
  <r>
    <x v="155"/>
    <x v="2"/>
    <d v="2025-10-07T00:00:00"/>
    <s v="Carousel"/>
    <s v="#AppleWatch, #Health"/>
    <n v="19660"/>
    <n v="1307"/>
    <n v="310"/>
    <n v="2802"/>
    <n v="22171"/>
    <n v="213359"/>
    <n v="9.9723939463533293E-2"/>
    <s v="Apple Event September 2025"/>
  </r>
  <r>
    <x v="156"/>
    <x v="2"/>
    <d v="2025-03-11T00:00:00"/>
    <s v="Video"/>
    <s v="#iPhone16Launch, #AppleEvent"/>
    <n v="20222"/>
    <n v="712"/>
    <n v="604"/>
    <n v="1272"/>
    <n v="71598"/>
    <n v="216422"/>
    <n v="9.9518533235992648E-2"/>
    <s v="Sustainability Awareness Drive"/>
  </r>
  <r>
    <x v="157"/>
    <x v="2"/>
    <d v="2025-09-27T00:00:00"/>
    <s v="Tweet"/>
    <s v="#MacBookAirM3, #AppleInnovation"/>
    <n v="18521"/>
    <n v="1027"/>
    <n v="230"/>
    <n v="1247"/>
    <n v="39588"/>
    <n v="200928"/>
    <n v="9.8433269628921807E-2"/>
    <s v="Apple Event September 2025"/>
  </r>
  <r>
    <x v="158"/>
    <x v="2"/>
    <d v="2024-11-04T00:00:00"/>
    <s v="Video"/>
    <s v="#ShotOniPhone"/>
    <n v="14234"/>
    <n v="1013"/>
    <n v="437"/>
    <n v="338"/>
    <n v="67754"/>
    <n v="160030"/>
    <n v="9.8006623758045364E-2"/>
    <s v="Sustainability Awareness Drive"/>
  </r>
  <r>
    <x v="159"/>
    <x v="0"/>
    <d v="2025-09-16T00:00:00"/>
    <s v="Image"/>
    <s v="#MacBookProM3"/>
    <n v="16043"/>
    <n v="595"/>
    <n v="923"/>
    <n v="1194"/>
    <n v="52613"/>
    <n v="179978"/>
    <n v="9.757303670448611E-2"/>
    <s v="Apple Event September 2025"/>
  </r>
  <r>
    <x v="160"/>
    <x v="2"/>
    <d v="2024-11-14T00:00:00"/>
    <s v="Image"/>
    <s v="#AppleDesign, #Innovation"/>
    <n v="6300"/>
    <n v="1213"/>
    <n v="720"/>
    <n v="1037"/>
    <n v="39569"/>
    <n v="85272"/>
    <n v="9.6549863964724647E-2"/>
    <s v="iPhone 16 Launch"/>
  </r>
  <r>
    <x v="161"/>
    <x v="0"/>
    <d v="2024-06-24T00:00:00"/>
    <s v="Tweet"/>
    <s v="#MacBookAirM3, #AppleInnovation"/>
    <n v="5596"/>
    <n v="1231"/>
    <n v="473"/>
    <n v="2251"/>
    <n v="43705"/>
    <n v="75643"/>
    <n v="9.6505955607260427E-2"/>
    <s v="Apple Watch Ultra 2 Launch"/>
  </r>
  <r>
    <x v="162"/>
    <x v="3"/>
    <d v="2024-08-20T00:00:00"/>
    <s v="Tweet"/>
    <s v="#ShotOniPhone"/>
    <n v="2846"/>
    <n v="792"/>
    <n v="902"/>
    <n v="2469"/>
    <n v="12130"/>
    <n v="47151"/>
    <n v="9.6286399015927546E-2"/>
    <s v="Apple Watch Ultra 2 Launch"/>
  </r>
  <r>
    <x v="163"/>
    <x v="2"/>
    <d v="2024-11-30T00:00:00"/>
    <s v="Video"/>
    <s v="#AppleEvent, #iPhone16"/>
    <n v="14763"/>
    <n v="864"/>
    <n v="336"/>
    <n v="1493"/>
    <n v="33310"/>
    <n v="165932"/>
    <n v="9.6202058674637797E-2"/>
    <s v="iPhone 16 Launch"/>
  </r>
  <r>
    <x v="164"/>
    <x v="2"/>
    <d v="2025-04-05T00:00:00"/>
    <s v="Video"/>
    <s v="#AppleWatch, #Health"/>
    <n v="22384"/>
    <n v="601"/>
    <n v="943"/>
    <n v="515"/>
    <n v="41309"/>
    <n v="249373"/>
    <n v="9.5952649244304716E-2"/>
    <s v="Apple Watch Ultra 2 Launch"/>
  </r>
  <r>
    <x v="165"/>
    <x v="2"/>
    <d v="2024-07-16T00:00:00"/>
    <s v="Tweet"/>
    <s v="#iPhone16Launch, #AppleEvent"/>
    <n v="8767"/>
    <n v="974"/>
    <n v="733"/>
    <n v="1587"/>
    <n v="74927"/>
    <n v="113770"/>
    <n v="9.2062933989628198E-2"/>
    <s v="Apple Watch Ultra 2 Launch"/>
  </r>
  <r>
    <x v="166"/>
    <x v="0"/>
    <d v="2024-12-18T00:00:00"/>
    <s v="Tweet"/>
    <s v="#iPhone16Launch, #AppleEvent"/>
    <n v="14775"/>
    <n v="1220"/>
    <n v="640"/>
    <n v="1547"/>
    <n v="28527"/>
    <n v="183660"/>
    <n v="9.0574975498203203E-2"/>
    <s v="MacBook Air M3 Campaign"/>
  </r>
  <r>
    <x v="167"/>
    <x v="2"/>
    <d v="2024-11-25T00:00:00"/>
    <s v="Video"/>
    <s v="#iPhone16Launch, #AppleEvent"/>
    <n v="17385"/>
    <n v="831"/>
    <n v="568"/>
    <n v="2227"/>
    <n v="49351"/>
    <n v="207450"/>
    <n v="9.0547119787900698E-2"/>
    <s v="Sustainability Awareness Drive"/>
  </r>
  <r>
    <x v="168"/>
    <x v="3"/>
    <d v="2024-07-15T00:00:00"/>
    <s v="Image"/>
    <s v="#AppleEvent, #iPhone16"/>
    <n v="17034"/>
    <n v="231"/>
    <n v="290"/>
    <n v="1387"/>
    <n v="63550"/>
    <n v="198280"/>
    <n v="8.8536413153116805E-2"/>
    <s v="MacBook Air M3 Campaign"/>
  </r>
  <r>
    <x v="169"/>
    <x v="0"/>
    <d v="2025-09-03T00:00:00"/>
    <s v="Image"/>
    <s v="#MacBookAirM3, #AppleInnovation"/>
    <n v="4779"/>
    <n v="1110"/>
    <n v="436"/>
    <n v="1574"/>
    <n v="77167"/>
    <n v="71585"/>
    <n v="8.8356499266606131E-2"/>
    <s v="Apple Event September 2025"/>
  </r>
  <r>
    <x v="170"/>
    <x v="1"/>
    <d v="2025-01-27T00:00:00"/>
    <s v="Carousel"/>
    <s v="#iPhone16Launch, #AppleEvent"/>
    <n v="8949"/>
    <n v="1477"/>
    <n v="424"/>
    <n v="1030"/>
    <n v="58052"/>
    <n v="123310"/>
    <n v="8.7989619657773091E-2"/>
    <s v="Apple Watch Ultra 2 Launch"/>
  </r>
  <r>
    <x v="171"/>
    <x v="0"/>
    <d v="2024-10-21T00:00:00"/>
    <s v="Video"/>
    <s v="#AppleEvent, #iPhone16"/>
    <n v="12015"/>
    <n v="1196"/>
    <n v="998"/>
    <n v="1848"/>
    <n v="44739"/>
    <n v="161750"/>
    <n v="8.7845440494590421E-2"/>
    <s v="MacBook Air M3 Campaign"/>
  </r>
  <r>
    <x v="172"/>
    <x v="2"/>
    <d v="2024-12-24T00:00:00"/>
    <s v="Image"/>
    <s v="#MacBookProM3"/>
    <n v="10512"/>
    <n v="1197"/>
    <n v="544"/>
    <n v="2012"/>
    <n v="10245"/>
    <n v="140102"/>
    <n v="8.745770938316369E-2"/>
    <s v="Apple Watch Ultra 2 Launch"/>
  </r>
  <r>
    <x v="173"/>
    <x v="3"/>
    <d v="2024-07-31T00:00:00"/>
    <s v="Carousel"/>
    <s v="#AppleEvent, #iPadPro"/>
    <n v="13314"/>
    <n v="274"/>
    <n v="626"/>
    <n v="2280"/>
    <n v="14639"/>
    <n v="163008"/>
    <n v="8.7198174322732622E-2"/>
    <s v="iPhone 16 Launch"/>
  </r>
  <r>
    <x v="174"/>
    <x v="0"/>
    <d v="2025-09-10T00:00:00"/>
    <s v="Carousel"/>
    <s v="#MacBookProM3"/>
    <n v="9266"/>
    <n v="999"/>
    <n v="928"/>
    <n v="2700"/>
    <n v="12264"/>
    <n v="128397"/>
    <n v="8.7174933993784898E-2"/>
    <s v="Apple Event September 2025"/>
  </r>
  <r>
    <x v="175"/>
    <x v="2"/>
    <d v="2025-09-12T00:00:00"/>
    <s v="Tweet"/>
    <s v="#AppleDesign, #Innovation"/>
    <n v="17158"/>
    <n v="1192"/>
    <n v="262"/>
    <n v="2016"/>
    <n v="28771"/>
    <n v="216037"/>
    <n v="8.6151909163708074E-2"/>
    <s v="Apple Event September 2025"/>
  </r>
  <r>
    <x v="176"/>
    <x v="3"/>
    <d v="2024-08-17T00:00:00"/>
    <s v="Video"/>
    <s v="#ShotOniPhone"/>
    <n v="19154"/>
    <n v="1064"/>
    <n v="650"/>
    <n v="747"/>
    <n v="42667"/>
    <n v="242332"/>
    <n v="8.6113266097750191E-2"/>
    <s v="Sustainability Awareness Drive"/>
  </r>
  <r>
    <x v="177"/>
    <x v="1"/>
    <d v="2024-06-17T00:00:00"/>
    <s v="Carousel"/>
    <s v="#AppleWatchUltra2, #HealthTech"/>
    <n v="6976"/>
    <n v="1320"/>
    <n v="393"/>
    <n v="2285"/>
    <n v="14049"/>
    <n v="101367"/>
    <n v="8.5718231771681114E-2"/>
    <s v="MacBook Air M3 Campaign"/>
  </r>
  <r>
    <x v="178"/>
    <x v="0"/>
    <d v="2025-02-10T00:00:00"/>
    <s v="Carousel"/>
    <s v="#MacBookAirM3, #AppleInnovation"/>
    <n v="16309"/>
    <n v="1449"/>
    <n v="838"/>
    <n v="2434"/>
    <n v="2940"/>
    <n v="217953"/>
    <n v="8.5321147219813445E-2"/>
    <s v="iPhone 16 Launch"/>
  </r>
  <r>
    <x v="179"/>
    <x v="0"/>
    <d v="2025-09-09T00:00:00"/>
    <s v="Video"/>
    <s v="#AppleWatch, #Health"/>
    <n v="15772"/>
    <n v="288"/>
    <n v="520"/>
    <n v="1585"/>
    <n v="59182"/>
    <n v="194351"/>
    <n v="8.5309568769905988E-2"/>
    <s v="Apple Event September 2025"/>
  </r>
  <r>
    <x v="180"/>
    <x v="3"/>
    <d v="2025-05-01T00:00:00"/>
    <s v="Tweet"/>
    <s v="#iPhone16Launch, #AppleEvent"/>
    <n v="10258"/>
    <n v="527"/>
    <n v="854"/>
    <n v="2068"/>
    <n v="45632"/>
    <n v="136546"/>
    <n v="8.5238674146441498E-2"/>
    <s v="MacBook Air M3 Campaign"/>
  </r>
  <r>
    <x v="181"/>
    <x v="3"/>
    <d v="2025-04-03T00:00:00"/>
    <s v="Image"/>
    <s v="#Sustainability, #AppleEarth"/>
    <n v="10837"/>
    <n v="1004"/>
    <n v="922"/>
    <n v="1108"/>
    <n v="36807"/>
    <n v="150350"/>
    <n v="8.4888593282341204E-2"/>
    <s v="Sustainability Awareness Drive"/>
  </r>
  <r>
    <x v="182"/>
    <x v="3"/>
    <d v="2024-07-13T00:00:00"/>
    <s v="Video"/>
    <s v="#AppleWatch, #Health"/>
    <n v="18639"/>
    <n v="1360"/>
    <n v="898"/>
    <n v="2011"/>
    <n v="42841"/>
    <n v="247779"/>
    <n v="8.4337252148083575E-2"/>
    <s v="iPhone 16 Launch"/>
  </r>
  <r>
    <x v="183"/>
    <x v="1"/>
    <d v="2025-09-25T00:00:00"/>
    <s v="Video"/>
    <s v="#iPhonePhotography, #ShotOniPhone"/>
    <n v="8371"/>
    <n v="960"/>
    <n v="548"/>
    <n v="2936"/>
    <n v="82543"/>
    <n v="119973"/>
    <n v="8.2343527293641069E-2"/>
    <s v="Apple Event September 2025"/>
  </r>
  <r>
    <x v="184"/>
    <x v="3"/>
    <d v="2024-11-04T00:00:00"/>
    <s v="Image"/>
    <s v="#AppleEvent, #iPhone16"/>
    <n v="14015"/>
    <n v="978"/>
    <n v="196"/>
    <n v="2744"/>
    <n v="20190"/>
    <n v="186470"/>
    <n v="8.1455462004611998E-2"/>
    <s v="Sustainability Awareness Drive"/>
  </r>
  <r>
    <x v="185"/>
    <x v="2"/>
    <d v="2025-10-09T00:00:00"/>
    <s v="Carousel"/>
    <s v="#AppleDesign, #Innovation"/>
    <n v="18748"/>
    <n v="634"/>
    <n v="400"/>
    <n v="1667"/>
    <n v="75813"/>
    <n v="244456"/>
    <n v="8.0922538207284747E-2"/>
    <s v="Apple Event September 2025"/>
  </r>
  <r>
    <x v="186"/>
    <x v="0"/>
    <d v="2025-10-08T00:00:00"/>
    <s v="Tweet"/>
    <s v="#AppleEvent, #iPhone16"/>
    <n v="17745"/>
    <n v="414"/>
    <n v="563"/>
    <n v="2733"/>
    <n v="995"/>
    <n v="231648"/>
    <n v="8.0820900676889074E-2"/>
    <s v="Apple Event September 2025"/>
  </r>
  <r>
    <x v="187"/>
    <x v="1"/>
    <d v="2025-03-03T00:00:00"/>
    <s v="Video"/>
    <s v="#AppleWatchUltra2, #HealthTech"/>
    <n v="9561"/>
    <n v="642"/>
    <n v="581"/>
    <n v="2572"/>
    <n v="38552"/>
    <n v="133680"/>
    <n v="8.0670257330939563E-2"/>
    <s v="Apple Watch Ultra 2 Launch"/>
  </r>
  <r>
    <x v="188"/>
    <x v="3"/>
    <d v="2024-08-14T00:00:00"/>
    <s v="Carousel"/>
    <s v="#Sustainability, #AppleEarth"/>
    <n v="10150"/>
    <n v="526"/>
    <n v="888"/>
    <n v="1313"/>
    <n v="51605"/>
    <n v="143409"/>
    <n v="8.0636501195880311E-2"/>
    <s v="Apple Watch Ultra 2 Launch"/>
  </r>
  <r>
    <x v="189"/>
    <x v="1"/>
    <d v="2025-10-14T00:00:00"/>
    <s v="Carousel"/>
    <s v="#iPhonePhotography, #ShotOniPhone"/>
    <n v="9673"/>
    <n v="393"/>
    <n v="846"/>
    <n v="1028"/>
    <n v="55556"/>
    <n v="136652"/>
    <n v="7.9852471972601938E-2"/>
    <s v="Apple Event September 2025"/>
  </r>
  <r>
    <x v="190"/>
    <x v="3"/>
    <d v="2024-06-12T00:00:00"/>
    <s v="Tweet"/>
    <s v="#MacBookAirM3, #AppleInnovation"/>
    <n v="17679"/>
    <n v="690"/>
    <n v="451"/>
    <n v="2195"/>
    <n v="4390"/>
    <n v="235804"/>
    <n v="7.9812047293514959E-2"/>
    <s v="MacBook Air M3 Campaign"/>
  </r>
  <r>
    <x v="191"/>
    <x v="0"/>
    <d v="2024-10-04T00:00:00"/>
    <s v="Video"/>
    <s v="#AppleEvent, #iPhone16"/>
    <n v="15746"/>
    <n v="258"/>
    <n v="839"/>
    <n v="2656"/>
    <n v="66614"/>
    <n v="213724"/>
    <n v="7.8807246729426739E-2"/>
    <s v="Sustainability Awareness Drive"/>
  </r>
  <r>
    <x v="192"/>
    <x v="1"/>
    <d v="2024-06-22T00:00:00"/>
    <s v="Image"/>
    <s v="#AppleWatch, #Health"/>
    <n v="16430"/>
    <n v="488"/>
    <n v="514"/>
    <n v="1436"/>
    <n v="30059"/>
    <n v="223305"/>
    <n v="7.8063634938760881E-2"/>
    <s v="iPhone 16 Launch"/>
  </r>
  <r>
    <x v="193"/>
    <x v="1"/>
    <d v="2025-04-06T00:00:00"/>
    <s v="Tweet"/>
    <s v="#iPhonePhotography, #ShotOniPhone"/>
    <n v="8238"/>
    <n v="766"/>
    <n v="235"/>
    <n v="1273"/>
    <n v="4706"/>
    <n v="119141"/>
    <n v="7.7546772311798629E-2"/>
    <s v="iPhone 16 Launch"/>
  </r>
  <r>
    <x v="194"/>
    <x v="1"/>
    <d v="2024-10-18T00:00:00"/>
    <s v="Carousel"/>
    <s v="#MacBookAirM3, #AppleInnovation"/>
    <n v="6892"/>
    <n v="1184"/>
    <n v="925"/>
    <n v="1062"/>
    <n v="75008"/>
    <n v="116260"/>
    <n v="7.7421297092723204E-2"/>
    <s v="MacBook Air M3 Campaign"/>
  </r>
  <r>
    <x v="195"/>
    <x v="2"/>
    <d v="2024-11-26T00:00:00"/>
    <s v="Video"/>
    <s v="#AppleMusic, #AppleLifestyle"/>
    <n v="14607"/>
    <n v="1458"/>
    <n v="478"/>
    <n v="334"/>
    <n v="49257"/>
    <n v="214668"/>
    <n v="7.7063185942944451E-2"/>
    <s v="iPhone 16 Launch"/>
  </r>
  <r>
    <x v="196"/>
    <x v="1"/>
    <d v="2025-02-02T00:00:00"/>
    <s v="Carousel"/>
    <s v="#AppleEvent, #iPadPro"/>
    <n v="12136"/>
    <n v="1117"/>
    <n v="834"/>
    <n v="892"/>
    <n v="24675"/>
    <n v="183273"/>
    <n v="7.6863476889667326E-2"/>
    <s v="Sustainability Awareness Drive"/>
  </r>
  <r>
    <x v="197"/>
    <x v="3"/>
    <d v="2025-04-06T00:00:00"/>
    <s v="Image"/>
    <s v="#MacBookProM3"/>
    <n v="14941"/>
    <n v="1424"/>
    <n v="238"/>
    <n v="1054"/>
    <n v="20516"/>
    <n v="216048"/>
    <n v="7.6848663260016298E-2"/>
    <s v="MacBook Air M3 Campaign"/>
  </r>
  <r>
    <x v="198"/>
    <x v="0"/>
    <d v="2025-03-18T00:00:00"/>
    <s v="Image"/>
    <s v="#AppleWatch, #Health"/>
    <n v="5818"/>
    <n v="1252"/>
    <n v="687"/>
    <n v="2300"/>
    <n v="25081"/>
    <n v="101212"/>
    <n v="7.6641109749832043E-2"/>
    <s v="MacBook Air M3 Campaign"/>
  </r>
  <r>
    <x v="199"/>
    <x v="1"/>
    <d v="2024-10-05T00:00:00"/>
    <s v="Carousel"/>
    <s v="#MacBookAirM3, #AppleInnovation"/>
    <n v="16388"/>
    <n v="1208"/>
    <n v="417"/>
    <n v="2306"/>
    <n v="16865"/>
    <n v="236733"/>
    <n v="7.6089940988370866E-2"/>
    <s v="Apple Watch Ultra 2 Launch"/>
  </r>
  <r>
    <x v="200"/>
    <x v="1"/>
    <d v="2025-09-24T00:00:00"/>
    <s v="Image"/>
    <s v="#MacBookProM3"/>
    <n v="11795"/>
    <n v="958"/>
    <n v="814"/>
    <n v="301"/>
    <n v="12564"/>
    <n v="179999"/>
    <n v="7.5372640959116444E-2"/>
    <s v="Apple Event September 2025"/>
  </r>
  <r>
    <x v="201"/>
    <x v="0"/>
    <d v="2025-03-08T00:00:00"/>
    <s v="Image"/>
    <s v="#AppleWatchUltra2, #HealthTech"/>
    <n v="5812"/>
    <n v="934"/>
    <n v="302"/>
    <n v="2356"/>
    <n v="37437"/>
    <n v="93551"/>
    <n v="7.5338585370546551E-2"/>
    <s v="Apple Watch Ultra 2 Launch"/>
  </r>
  <r>
    <x v="202"/>
    <x v="1"/>
    <d v="2025-09-10T00:00:00"/>
    <s v="Image"/>
    <s v="#MacBookAirM3, #AppleInnovation"/>
    <n v="13613"/>
    <n v="350"/>
    <n v="809"/>
    <n v="2013"/>
    <n v="20471"/>
    <n v="198038"/>
    <n v="7.4591745018632791E-2"/>
    <s v="Apple Event September 2025"/>
  </r>
  <r>
    <x v="203"/>
    <x v="0"/>
    <d v="2025-05-05T00:00:00"/>
    <s v="Tweet"/>
    <s v="#AppleEvent, #iPhone16"/>
    <n v="10415"/>
    <n v="1388"/>
    <n v="725"/>
    <n v="2462"/>
    <n v="53082"/>
    <n v="168267"/>
    <n v="7.4453101321114656E-2"/>
    <s v="MacBook Air M3 Campaign"/>
  </r>
  <r>
    <x v="204"/>
    <x v="3"/>
    <d v="2025-04-28T00:00:00"/>
    <s v="Carousel"/>
    <s v="#AppleEvent, #iPhone16"/>
    <n v="10659"/>
    <n v="1342"/>
    <n v="408"/>
    <n v="709"/>
    <n v="16309"/>
    <n v="168803"/>
    <n v="7.3511726687321907E-2"/>
    <s v="Sustainability Awareness Drive"/>
  </r>
  <r>
    <x v="205"/>
    <x v="2"/>
    <d v="2025-03-19T00:00:00"/>
    <s v="Carousel"/>
    <s v="#AppleEvent, #iPadPro"/>
    <n v="13475"/>
    <n v="1032"/>
    <n v="295"/>
    <n v="541"/>
    <n v="43666"/>
    <n v="202396"/>
    <n v="7.3133856400324118E-2"/>
    <s v="MacBook Air M3 Campaign"/>
  </r>
  <r>
    <x v="206"/>
    <x v="0"/>
    <d v="2024-08-19T00:00:00"/>
    <s v="Image"/>
    <s v="#AppleWatch, #Health"/>
    <n v="15550"/>
    <n v="204"/>
    <n v="279"/>
    <n v="1646"/>
    <n v="35819"/>
    <n v="219436"/>
    <n v="7.306458375107093E-2"/>
    <s v="Apple Watch Ultra 2 Launch"/>
  </r>
  <r>
    <x v="207"/>
    <x v="3"/>
    <d v="2024-07-03T00:00:00"/>
    <s v="Video"/>
    <s v="#MacBookAirM3, #AppleInnovation"/>
    <n v="12167"/>
    <n v="364"/>
    <n v="160"/>
    <n v="616"/>
    <n v="42228"/>
    <n v="175832"/>
    <n v="7.2176850630146963E-2"/>
    <s v="Sustainability Awareness Drive"/>
  </r>
  <r>
    <x v="208"/>
    <x v="0"/>
    <d v="2025-09-23T00:00:00"/>
    <s v="Image"/>
    <s v="#Sustainability, #AppleEarth"/>
    <n v="10017"/>
    <n v="1357"/>
    <n v="966"/>
    <n v="2871"/>
    <n v="14800"/>
    <n v="171691"/>
    <n v="7.1873307278774071E-2"/>
    <s v="Apple Event September 2025"/>
  </r>
  <r>
    <x v="209"/>
    <x v="1"/>
    <d v="2024-07-10T00:00:00"/>
    <s v="Image"/>
    <s v="#iPhonePhotography, #ShotOniPhone"/>
    <n v="8809"/>
    <n v="1151"/>
    <n v="908"/>
    <n v="883"/>
    <n v="42921"/>
    <n v="151279"/>
    <n v="7.1840771025720687E-2"/>
    <s v="MacBook Air M3 Campaign"/>
  </r>
  <r>
    <x v="210"/>
    <x v="1"/>
    <d v="2025-10-15T00:00:00"/>
    <s v="Image"/>
    <s v="#AppleWatch, #Health"/>
    <n v="8882"/>
    <n v="701"/>
    <n v="421"/>
    <n v="2343"/>
    <n v="13588"/>
    <n v="139304"/>
    <n v="7.1814161833113191E-2"/>
    <s v="Apple Event September 2025"/>
  </r>
  <r>
    <x v="211"/>
    <x v="1"/>
    <d v="2025-09-30T00:00:00"/>
    <s v="Tweet"/>
    <s v="#AppleWatchUltra2, #HealthTech"/>
    <n v="8269"/>
    <n v="250"/>
    <n v="638"/>
    <n v="815"/>
    <n v="41991"/>
    <n v="129393"/>
    <n v="7.0768897853825175E-2"/>
    <s v="Apple Event September 2025"/>
  </r>
  <r>
    <x v="212"/>
    <x v="1"/>
    <d v="2025-04-06T00:00:00"/>
    <s v="Carousel"/>
    <s v="#AppleEvent, #iPhone16"/>
    <n v="15917"/>
    <n v="1479"/>
    <n v="196"/>
    <n v="313"/>
    <n v="48524"/>
    <n v="249684"/>
    <n v="7.0457057720959296E-2"/>
    <s v="iPhone 16 Launch"/>
  </r>
  <r>
    <x v="213"/>
    <x v="3"/>
    <d v="2024-11-06T00:00:00"/>
    <s v="Image"/>
    <s v="#AppleMusic, #AppleLifestyle"/>
    <n v="11865"/>
    <n v="241"/>
    <n v="319"/>
    <n v="703"/>
    <n v="69596"/>
    <n v="177513"/>
    <n v="6.999487361489018E-2"/>
    <s v="iPhone 16 Launch"/>
  </r>
  <r>
    <x v="214"/>
    <x v="3"/>
    <d v="2025-09-25T00:00:00"/>
    <s v="Carousel"/>
    <s v="#iPhonePhotography, #ShotOniPhone"/>
    <n v="12568"/>
    <n v="541"/>
    <n v="273"/>
    <n v="2767"/>
    <n v="22331"/>
    <n v="192747"/>
    <n v="6.9427799135654514E-2"/>
    <s v="Apple Event September 2025"/>
  </r>
  <r>
    <x v="215"/>
    <x v="0"/>
    <d v="2025-09-17T00:00:00"/>
    <s v="Tweet"/>
    <s v="#AppleMusic, #AppleLifestyle"/>
    <n v="15456"/>
    <n v="590"/>
    <n v="555"/>
    <n v="2882"/>
    <n v="49816"/>
    <n v="240422"/>
    <n v="6.9049421433978589E-2"/>
    <s v="Apple Event September 2025"/>
  </r>
  <r>
    <x v="216"/>
    <x v="0"/>
    <d v="2025-01-06T00:00:00"/>
    <s v="Image"/>
    <s v="#AppleDesign, #Innovation"/>
    <n v="11860"/>
    <n v="1448"/>
    <n v="893"/>
    <n v="490"/>
    <n v="23518"/>
    <n v="206205"/>
    <n v="6.8868359157149436E-2"/>
    <s v="Apple Watch Ultra 2 Launch"/>
  </r>
  <r>
    <x v="217"/>
    <x v="3"/>
    <d v="2025-04-01T00:00:00"/>
    <s v="Image"/>
    <s v="#AppleMusic, #AppleLifestyle"/>
    <n v="6432"/>
    <n v="1272"/>
    <n v="498"/>
    <n v="677"/>
    <n v="47305"/>
    <n v="119134"/>
    <n v="6.8846844729464299E-2"/>
    <s v="Apple Watch Ultra 2 Launch"/>
  </r>
  <r>
    <x v="218"/>
    <x v="3"/>
    <d v="2024-09-02T00:00:00"/>
    <s v="Video"/>
    <s v="#AppleEvent, #iPadPro"/>
    <n v="11765"/>
    <n v="693"/>
    <n v="729"/>
    <n v="744"/>
    <n v="97772"/>
    <n v="194243"/>
    <n v="6.7889190344053579E-2"/>
    <s v="Apple Watch Ultra 2 Launch"/>
  </r>
  <r>
    <x v="219"/>
    <x v="2"/>
    <d v="2025-01-18T00:00:00"/>
    <s v="Tweet"/>
    <s v="#iPhonePhotography, #ShotOniPhone"/>
    <n v="12589"/>
    <n v="346"/>
    <n v="459"/>
    <n v="1407"/>
    <n v="29254"/>
    <n v="198059"/>
    <n v="6.7626313371268162E-2"/>
    <s v="Sustainability Awareness Drive"/>
  </r>
  <r>
    <x v="220"/>
    <x v="0"/>
    <d v="2024-11-23T00:00:00"/>
    <s v="Tweet"/>
    <s v="#ShotOniPhone"/>
    <n v="9941"/>
    <n v="1329"/>
    <n v="238"/>
    <n v="869"/>
    <n v="40281"/>
    <n v="172311"/>
    <n v="6.6786217943137702E-2"/>
    <s v="Sustainability Awareness Drive"/>
  </r>
  <r>
    <x v="221"/>
    <x v="2"/>
    <d v="2024-07-02T00:00:00"/>
    <s v="Carousel"/>
    <s v="#AppleMusic, #AppleLifestyle"/>
    <n v="12320"/>
    <n v="1157"/>
    <n v="365"/>
    <n v="584"/>
    <n v="66634"/>
    <n v="210102"/>
    <n v="6.5882285746922925E-2"/>
    <s v="iPhone 16 Launch"/>
  </r>
  <r>
    <x v="222"/>
    <x v="1"/>
    <d v="2024-10-08T00:00:00"/>
    <s v="Tweet"/>
    <s v="#MacBookProM3"/>
    <n v="8738"/>
    <n v="295"/>
    <n v="529"/>
    <n v="442"/>
    <n v="25286"/>
    <n v="147522"/>
    <n v="6.4817450956467515E-2"/>
    <s v="iPhone 16 Launch"/>
  </r>
  <r>
    <x v="223"/>
    <x v="0"/>
    <d v="2025-03-13T00:00:00"/>
    <s v="Carousel"/>
    <s v="#AppleDesign, #Innovation"/>
    <n v="6544"/>
    <n v="749"/>
    <n v="888"/>
    <n v="594"/>
    <n v="18171"/>
    <n v="126475"/>
    <n v="6.4684720300454635E-2"/>
    <s v="Sustainability Awareness Drive"/>
  </r>
  <r>
    <x v="224"/>
    <x v="3"/>
    <d v="2024-06-11T00:00:00"/>
    <s v="Video"/>
    <s v="#MacBookProM3"/>
    <n v="14910"/>
    <n v="778"/>
    <n v="289"/>
    <n v="2541"/>
    <n v="14309"/>
    <n v="247815"/>
    <n v="6.4471480741682297E-2"/>
    <s v="Sustainability Awareness Drive"/>
  </r>
  <r>
    <x v="225"/>
    <x v="1"/>
    <d v="2024-10-09T00:00:00"/>
    <s v="Video"/>
    <s v="#iPhone16Launch, #AppleEvent"/>
    <n v="7240"/>
    <n v="1384"/>
    <n v="954"/>
    <n v="2335"/>
    <n v="6757"/>
    <n v="150448"/>
    <n v="6.3663192598106988E-2"/>
    <s v="Sustainability Awareness Drive"/>
  </r>
  <r>
    <x v="226"/>
    <x v="3"/>
    <d v="2025-02-19T00:00:00"/>
    <s v="Video"/>
    <s v="#iPhone16Launch, #AppleEvent"/>
    <n v="8168"/>
    <n v="512"/>
    <n v="442"/>
    <n v="2343"/>
    <n v="2753"/>
    <n v="143896"/>
    <n v="6.3393006059932172E-2"/>
    <s v="MacBook Air M3 Campaign"/>
  </r>
  <r>
    <x v="227"/>
    <x v="3"/>
    <d v="2024-06-16T00:00:00"/>
    <s v="Tweet"/>
    <s v="#AppleWatchUltra2, #HealthTech"/>
    <n v="12160"/>
    <n v="1405"/>
    <n v="769"/>
    <n v="1980"/>
    <n v="33174"/>
    <n v="226481"/>
    <n v="6.329007731332871E-2"/>
    <s v="Apple Watch Ultra 2 Launch"/>
  </r>
  <r>
    <x v="228"/>
    <x v="2"/>
    <d v="2025-05-06T00:00:00"/>
    <s v="Carousel"/>
    <s v="#AppleWatchUltra2, #HealthTech"/>
    <n v="7287"/>
    <n v="1240"/>
    <n v="686"/>
    <n v="1255"/>
    <n v="15403"/>
    <n v="147971"/>
    <n v="6.2262200025680704E-2"/>
    <s v="Apple Watch Ultra 2 Launch"/>
  </r>
  <r>
    <x v="229"/>
    <x v="1"/>
    <d v="2025-04-19T00:00:00"/>
    <s v="Image"/>
    <s v="#AppleMusic, #AppleLifestyle"/>
    <n v="8881"/>
    <n v="210"/>
    <n v="673"/>
    <n v="1565"/>
    <n v="24847"/>
    <n v="156891"/>
    <n v="6.223429004850501E-2"/>
    <s v="Sustainability Awareness Drive"/>
  </r>
  <r>
    <x v="230"/>
    <x v="2"/>
    <d v="2024-10-22T00:00:00"/>
    <s v="Tweet"/>
    <s v="#AppleMusic, #AppleLifestyle"/>
    <n v="12478"/>
    <n v="484"/>
    <n v="332"/>
    <n v="2734"/>
    <n v="43338"/>
    <n v="213895"/>
    <n v="6.2151990462610156E-2"/>
    <s v="iPhone 16 Launch"/>
  </r>
  <r>
    <x v="231"/>
    <x v="1"/>
    <d v="2025-01-15T00:00:00"/>
    <s v="Tweet"/>
    <s v="#MacBookAirM3, #AppleInnovation"/>
    <n v="11333"/>
    <n v="920"/>
    <n v="294"/>
    <n v="606"/>
    <n v="59490"/>
    <n v="202082"/>
    <n v="6.2088657079799291E-2"/>
    <s v="Sustainability Awareness Drive"/>
  </r>
  <r>
    <x v="232"/>
    <x v="1"/>
    <d v="2024-12-03T00:00:00"/>
    <s v="Image"/>
    <s v="#AppleMusic, #AppleLifestyle"/>
    <n v="2055"/>
    <n v="675"/>
    <n v="257"/>
    <n v="820"/>
    <n v="33534"/>
    <n v="48125"/>
    <n v="6.2067532467532466E-2"/>
    <s v="Apple Watch Ultra 2 Launch"/>
  </r>
  <r>
    <x v="233"/>
    <x v="1"/>
    <d v="2024-10-19T00:00:00"/>
    <s v="Carousel"/>
    <s v="#AppleEvent, #iPadPro"/>
    <n v="6673"/>
    <n v="826"/>
    <n v="321"/>
    <n v="577"/>
    <n v="19262"/>
    <n v="132324"/>
    <n v="5.9097367068710133E-2"/>
    <s v="MacBook Air M3 Campaign"/>
  </r>
  <r>
    <x v="234"/>
    <x v="1"/>
    <d v="2025-03-11T00:00:00"/>
    <s v="Carousel"/>
    <s v="#AppleWatchUltra2, #HealthTech"/>
    <n v="7997"/>
    <n v="1238"/>
    <n v="438"/>
    <n v="1874"/>
    <n v="36272"/>
    <n v="165818"/>
    <n v="5.8335042034037318E-2"/>
    <s v="MacBook Air M3 Campaign"/>
  </r>
  <r>
    <x v="235"/>
    <x v="0"/>
    <d v="2025-09-07T00:00:00"/>
    <s v="Tweet"/>
    <s v="#AppleDesign, #Innovation"/>
    <n v="3015"/>
    <n v="997"/>
    <n v="783"/>
    <n v="617"/>
    <n v="77167"/>
    <n v="82229"/>
    <n v="5.8312760704860814E-2"/>
    <s v="Apple Event September 2025"/>
  </r>
  <r>
    <x v="236"/>
    <x v="3"/>
    <d v="2025-04-17T00:00:00"/>
    <s v="Tweet"/>
    <s v="#AppleWatch, #Health"/>
    <n v="2009"/>
    <n v="1037"/>
    <n v="344"/>
    <n v="2277"/>
    <n v="85743"/>
    <n v="58743"/>
    <n v="5.7709003625963942E-2"/>
    <s v="iPhone 16 Launch"/>
  </r>
  <r>
    <x v="237"/>
    <x v="3"/>
    <d v="2024-07-31T00:00:00"/>
    <s v="Image"/>
    <s v="#AppleEvent, #iPhone16"/>
    <n v="2404"/>
    <n v="774"/>
    <n v="661"/>
    <n v="662"/>
    <n v="12676"/>
    <n v="66916"/>
    <n v="5.7370434574690654E-2"/>
    <s v="Apple Watch Ultra 2 Launch"/>
  </r>
  <r>
    <x v="238"/>
    <x v="3"/>
    <d v="2025-02-06T00:00:00"/>
    <s v="Image"/>
    <s v="#AppleWatchUltra2, #HealthTech"/>
    <n v="2666"/>
    <n v="1136"/>
    <n v="989"/>
    <n v="1710"/>
    <n v="36467"/>
    <n v="83753"/>
    <n v="5.7203921053574198E-2"/>
    <s v="Sustainability Awareness Drive"/>
  </r>
  <r>
    <x v="239"/>
    <x v="2"/>
    <d v="2025-03-04T00:00:00"/>
    <s v="Tweet"/>
    <s v="#ShotOniPhone"/>
    <n v="12344"/>
    <n v="815"/>
    <n v="298"/>
    <n v="2439"/>
    <n v="6259"/>
    <n v="237133"/>
    <n v="5.6748744375519224E-2"/>
    <s v="iPhone 16 Launch"/>
  </r>
  <r>
    <x v="240"/>
    <x v="2"/>
    <d v="2024-09-10T00:00:00"/>
    <s v="Carousel"/>
    <s v="#AppleWatch, #Health"/>
    <n v="6637"/>
    <n v="595"/>
    <n v="161"/>
    <n v="2653"/>
    <n v="19334"/>
    <n v="131155"/>
    <n v="5.6368419046166747E-2"/>
    <s v="Sustainability Awareness Drive"/>
  </r>
  <r>
    <x v="241"/>
    <x v="2"/>
    <d v="2024-06-06T00:00:00"/>
    <s v="Tweet"/>
    <s v="#iPhone16Launch, #AppleEvent"/>
    <n v="11521"/>
    <n v="1071"/>
    <n v="762"/>
    <n v="2539"/>
    <n v="12701"/>
    <n v="238350"/>
    <n v="5.6026851269142017E-2"/>
    <s v="Sustainability Awareness Drive"/>
  </r>
  <r>
    <x v="242"/>
    <x v="2"/>
    <d v="2025-09-18T00:00:00"/>
    <s v="Carousel"/>
    <s v="#AppleEvent, #iPhone16"/>
    <n v="4048"/>
    <n v="677"/>
    <n v="911"/>
    <n v="2429"/>
    <n v="27361"/>
    <n v="101272"/>
    <n v="5.5652105221581483E-2"/>
    <s v="Apple Event September 2025"/>
  </r>
  <r>
    <x v="243"/>
    <x v="1"/>
    <d v="2024-09-09T00:00:00"/>
    <s v="Video"/>
    <s v="#AppleDesign, #Innovation"/>
    <n v="6158"/>
    <n v="277"/>
    <n v="512"/>
    <n v="2189"/>
    <n v="76881"/>
    <n v="124878"/>
    <n v="5.563029516808405E-2"/>
    <s v="iPhone 16 Launch"/>
  </r>
  <r>
    <x v="244"/>
    <x v="2"/>
    <d v="2025-09-26T00:00:00"/>
    <s v="Carousel"/>
    <s v="#ShotOniPhone"/>
    <n v="9043"/>
    <n v="1192"/>
    <n v="810"/>
    <n v="1550"/>
    <n v="5221"/>
    <n v="199476"/>
    <n v="5.5370069582305642E-2"/>
    <s v="Apple Event September 2025"/>
  </r>
  <r>
    <x v="245"/>
    <x v="0"/>
    <d v="2025-03-08T00:00:00"/>
    <s v="Tweet"/>
    <s v="#AppleWatch, #Health"/>
    <n v="10580"/>
    <n v="427"/>
    <n v="790"/>
    <n v="2814"/>
    <n v="24916"/>
    <n v="213312"/>
    <n v="5.530396789678968E-2"/>
    <s v="MacBook Air M3 Campaign"/>
  </r>
  <r>
    <x v="246"/>
    <x v="3"/>
    <d v="2024-10-21T00:00:00"/>
    <s v="Video"/>
    <s v="#AppleEvent, #iPadPro"/>
    <n v="8254"/>
    <n v="1405"/>
    <n v="165"/>
    <n v="2504"/>
    <n v="8081"/>
    <n v="177710"/>
    <n v="5.5281075910190762E-2"/>
    <s v="Apple Watch Ultra 2 Launch"/>
  </r>
  <r>
    <x v="247"/>
    <x v="3"/>
    <d v="2025-05-14T00:00:00"/>
    <s v="Image"/>
    <s v="#AppleEvent, #iPhone16"/>
    <n v="9041"/>
    <n v="1133"/>
    <n v="612"/>
    <n v="1687"/>
    <n v="28102"/>
    <n v="195683"/>
    <n v="5.5119760020032396E-2"/>
    <s v="iPhone 16 Launch"/>
  </r>
  <r>
    <x v="248"/>
    <x v="0"/>
    <d v="2025-09-29T00:00:00"/>
    <s v="Video"/>
    <s v="#iPhonePhotography, #ShotOniPhone"/>
    <n v="7569"/>
    <n v="803"/>
    <n v="804"/>
    <n v="1753"/>
    <n v="43582"/>
    <n v="166945"/>
    <n v="5.4964209769684629E-2"/>
    <s v="Apple Event September 2025"/>
  </r>
  <r>
    <x v="249"/>
    <x v="2"/>
    <d v="2024-10-22T00:00:00"/>
    <s v="Tweet"/>
    <s v="#AppleDesign, #Innovation"/>
    <n v="7750"/>
    <n v="1146"/>
    <n v="415"/>
    <n v="1411"/>
    <n v="85339"/>
    <n v="172439"/>
    <n v="5.3995905798572247E-2"/>
    <s v="Sustainability Awareness Drive"/>
  </r>
  <r>
    <x v="250"/>
    <x v="2"/>
    <d v="2024-11-07T00:00:00"/>
    <s v="Carousel"/>
    <s v="#iPhone16Launch, #AppleEvent"/>
    <n v="11550"/>
    <n v="501"/>
    <n v="646"/>
    <n v="773"/>
    <n v="17841"/>
    <n v="237576"/>
    <n v="5.3443950567397383E-2"/>
    <s v="iPhone 16 Launch"/>
  </r>
  <r>
    <x v="251"/>
    <x v="0"/>
    <d v="2025-02-25T00:00:00"/>
    <s v="Carousel"/>
    <s v="#iPhonePhotography, #ShotOniPhone"/>
    <n v="10702"/>
    <n v="621"/>
    <n v="445"/>
    <n v="2918"/>
    <n v="54808"/>
    <n v="220225"/>
    <n v="5.3436258372119426E-2"/>
    <s v="Apple Watch Ultra 2 Launch"/>
  </r>
  <r>
    <x v="252"/>
    <x v="1"/>
    <d v="2024-07-21T00:00:00"/>
    <s v="Tweet"/>
    <s v="#MacBookAirM3, #AppleInnovation"/>
    <n v="2009"/>
    <n v="1072"/>
    <n v="550"/>
    <n v="1437"/>
    <n v="22982"/>
    <n v="69426"/>
    <n v="5.2300290957278256E-2"/>
    <s v="iPhone 16 Launch"/>
  </r>
  <r>
    <x v="253"/>
    <x v="1"/>
    <d v="2024-11-05T00:00:00"/>
    <s v="Tweet"/>
    <s v="#MacBookProM3"/>
    <n v="8469"/>
    <n v="935"/>
    <n v="211"/>
    <n v="2635"/>
    <n v="21890"/>
    <n v="184539"/>
    <n v="5.2102807536618279E-2"/>
    <s v="MacBook Air M3 Campaign"/>
  </r>
  <r>
    <x v="254"/>
    <x v="1"/>
    <d v="2024-08-30T00:00:00"/>
    <s v="Carousel"/>
    <s v="#MacBookAirM3, #AppleInnovation"/>
    <n v="6804"/>
    <n v="787"/>
    <n v="970"/>
    <n v="1095"/>
    <n v="56343"/>
    <n v="164677"/>
    <n v="5.1986616224487935E-2"/>
    <s v="Apple Watch Ultra 2 Launch"/>
  </r>
  <r>
    <x v="255"/>
    <x v="3"/>
    <d v="2024-12-16T00:00:00"/>
    <s v="Image"/>
    <s v="#AppleEvent, #iPadPro"/>
    <n v="2384"/>
    <n v="1246"/>
    <n v="160"/>
    <n v="2004"/>
    <n v="2701"/>
    <n v="73142"/>
    <n v="5.1817013480626728E-2"/>
    <s v="Apple Watch Ultra 2 Launch"/>
  </r>
  <r>
    <x v="256"/>
    <x v="3"/>
    <d v="2025-02-27T00:00:00"/>
    <s v="Image"/>
    <s v="#AppleMusic, #AppleLifestyle"/>
    <n v="8970"/>
    <n v="331"/>
    <n v="968"/>
    <n v="2296"/>
    <n v="24613"/>
    <n v="198562"/>
    <n v="5.1716844109144754E-2"/>
    <s v="iPhone 16 Launch"/>
  </r>
  <r>
    <x v="257"/>
    <x v="1"/>
    <d v="2025-04-07T00:00:00"/>
    <s v="Carousel"/>
    <s v="#iPhonePhotography, #ShotOniPhone"/>
    <n v="3062"/>
    <n v="1124"/>
    <n v="538"/>
    <n v="2935"/>
    <n v="69749"/>
    <n v="91924"/>
    <n v="5.1390278926069365E-2"/>
    <s v="iPhone 16 Launch"/>
  </r>
  <r>
    <x v="258"/>
    <x v="3"/>
    <d v="2024-10-27T00:00:00"/>
    <s v="Carousel"/>
    <s v="#AppleWatchUltra2, #HealthTech"/>
    <n v="7560"/>
    <n v="1139"/>
    <n v="248"/>
    <n v="1624"/>
    <n v="72237"/>
    <n v="177084"/>
    <n v="5.0524045085947912E-2"/>
    <s v="Sustainability Awareness Drive"/>
  </r>
  <r>
    <x v="259"/>
    <x v="0"/>
    <d v="2025-01-28T00:00:00"/>
    <s v="Carousel"/>
    <s v="#AppleMusic, #AppleLifestyle"/>
    <n v="9943"/>
    <n v="1274"/>
    <n v="336"/>
    <n v="389"/>
    <n v="6145"/>
    <n v="231305"/>
    <n v="4.9947039623008581E-2"/>
    <s v="Apple Watch Ultra 2 Launch"/>
  </r>
  <r>
    <x v="260"/>
    <x v="0"/>
    <d v="2024-12-31T00:00:00"/>
    <s v="Image"/>
    <s v="#AppleWatchUltra2, #HealthTech"/>
    <n v="10717"/>
    <n v="760"/>
    <n v="460"/>
    <n v="1316"/>
    <n v="18164"/>
    <n v="240641"/>
    <n v="4.9605013277039242E-2"/>
    <s v="MacBook Air M3 Campaign"/>
  </r>
  <r>
    <x v="261"/>
    <x v="1"/>
    <d v="2025-03-28T00:00:00"/>
    <s v="Tweet"/>
    <s v="#AppleWatchUltra2, #HealthTech"/>
    <n v="6363"/>
    <n v="1341"/>
    <n v="222"/>
    <n v="2712"/>
    <n v="19987"/>
    <n v="160585"/>
    <n v="4.9357038328611019E-2"/>
    <s v="Sustainability Awareness Drive"/>
  </r>
  <r>
    <x v="262"/>
    <x v="0"/>
    <d v="2024-09-29T00:00:00"/>
    <s v="Carousel"/>
    <s v="#MacBookAirM3, #AppleInnovation"/>
    <n v="10472"/>
    <n v="401"/>
    <n v="668"/>
    <n v="383"/>
    <n v="37571"/>
    <n v="249203"/>
    <n v="4.6311641513143903E-2"/>
    <s v="Sustainability Awareness Drive"/>
  </r>
  <r>
    <x v="263"/>
    <x v="3"/>
    <d v="2024-08-26T00:00:00"/>
    <s v="Carousel"/>
    <s v="#AppleWatch, #Health"/>
    <n v="4193"/>
    <n v="924"/>
    <n v="707"/>
    <n v="2696"/>
    <n v="55075"/>
    <n v="126652"/>
    <n v="4.5984271863057827E-2"/>
    <s v="iPhone 16 Launch"/>
  </r>
  <r>
    <x v="264"/>
    <x v="3"/>
    <d v="2025-04-15T00:00:00"/>
    <s v="Carousel"/>
    <s v="#AppleDesign, #Innovation"/>
    <n v="5419"/>
    <n v="1150"/>
    <n v="656"/>
    <n v="1990"/>
    <n v="410"/>
    <n v="158154"/>
    <n v="4.5683321319726342E-2"/>
    <s v="Sustainability Awareness Drive"/>
  </r>
  <r>
    <x v="265"/>
    <x v="0"/>
    <d v="2024-08-12T00:00:00"/>
    <s v="Carousel"/>
    <s v="#MacBookAirM3, #AppleInnovation"/>
    <n v="8376"/>
    <n v="1154"/>
    <n v="422"/>
    <n v="1907"/>
    <n v="36874"/>
    <n v="218486"/>
    <n v="4.5549829279679245E-2"/>
    <s v="Sustainability Awareness Drive"/>
  </r>
  <r>
    <x v="266"/>
    <x v="2"/>
    <d v="2025-05-09T00:00:00"/>
    <s v="Carousel"/>
    <s v="#AppleWatch, #Health"/>
    <n v="8988"/>
    <n v="228"/>
    <n v="766"/>
    <n v="652"/>
    <n v="63789"/>
    <n v="219785"/>
    <n v="4.541711217781013E-2"/>
    <s v="Sustainability Awareness Drive"/>
  </r>
  <r>
    <x v="267"/>
    <x v="1"/>
    <d v="2025-09-24T00:00:00"/>
    <s v="Tweet"/>
    <s v="#iPhone16Launch, #AppleEvent"/>
    <n v="3342"/>
    <n v="787"/>
    <n v="375"/>
    <n v="907"/>
    <n v="85823"/>
    <n v="99189"/>
    <n v="4.5408260996683103E-2"/>
    <s v="Apple Event September 2025"/>
  </r>
  <r>
    <x v="268"/>
    <x v="2"/>
    <d v="2024-06-03T00:00:00"/>
    <s v="Image"/>
    <s v="#AppleEvent, #iPhone16"/>
    <n v="8941"/>
    <n v="911"/>
    <n v="166"/>
    <n v="1217"/>
    <n v="68817"/>
    <n v="221180"/>
    <n v="4.5293426168731353E-2"/>
    <s v="MacBook Air M3 Campaign"/>
  </r>
  <r>
    <x v="269"/>
    <x v="3"/>
    <d v="2025-10-01T00:00:00"/>
    <s v="Carousel"/>
    <s v="#ShotOniPhone"/>
    <n v="6188"/>
    <n v="774"/>
    <n v="647"/>
    <n v="1830"/>
    <n v="55436"/>
    <n v="175542"/>
    <n v="4.3345752013763089E-2"/>
    <s v="Apple Event September 2025"/>
  </r>
  <r>
    <x v="270"/>
    <x v="3"/>
    <d v="2025-02-17T00:00:00"/>
    <s v="Tweet"/>
    <s v="#MacBookAirM3, #AppleInnovation"/>
    <n v="7989"/>
    <n v="1206"/>
    <n v="376"/>
    <n v="2769"/>
    <n v="27550"/>
    <n v="221749"/>
    <n v="4.3161412227338117E-2"/>
    <s v="Sustainability Awareness Drive"/>
  </r>
  <r>
    <x v="271"/>
    <x v="2"/>
    <d v="2025-04-02T00:00:00"/>
    <s v="Tweet"/>
    <s v="#iPhone16Launch, #AppleEvent"/>
    <n v="6858"/>
    <n v="415"/>
    <n v="366"/>
    <n v="2761"/>
    <n v="2988"/>
    <n v="177348"/>
    <n v="4.3073505198818141E-2"/>
    <s v="Apple Watch Ultra 2 Launch"/>
  </r>
  <r>
    <x v="272"/>
    <x v="3"/>
    <d v="2025-03-25T00:00:00"/>
    <s v="Carousel"/>
    <s v="#AppleDesign, #Innovation"/>
    <n v="5900"/>
    <n v="546"/>
    <n v="592"/>
    <n v="1594"/>
    <n v="38627"/>
    <n v="164398"/>
    <n v="4.2810739790021778E-2"/>
    <s v="MacBook Air M3 Campaign"/>
  </r>
  <r>
    <x v="273"/>
    <x v="0"/>
    <d v="2024-12-29T00:00:00"/>
    <s v="Carousel"/>
    <s v="#MacBookProM3"/>
    <n v="8288"/>
    <n v="1401"/>
    <n v="819"/>
    <n v="1235"/>
    <n v="33446"/>
    <n v="248786"/>
    <n v="4.2237103373984064E-2"/>
    <s v="Apple Watch Ultra 2 Launch"/>
  </r>
  <r>
    <x v="274"/>
    <x v="0"/>
    <d v="2025-01-01T00:00:00"/>
    <s v="Video"/>
    <s v="#AppleMusic, #AppleLifestyle"/>
    <n v="8283"/>
    <n v="720"/>
    <n v="888"/>
    <n v="611"/>
    <n v="52791"/>
    <n v="235229"/>
    <n v="4.2048386891072105E-2"/>
    <s v="Apple Watch Ultra 2 Launch"/>
  </r>
  <r>
    <x v="275"/>
    <x v="3"/>
    <d v="2024-06-24T00:00:00"/>
    <s v="Image"/>
    <s v="#AppleEvent, #iPhone16"/>
    <n v="6632"/>
    <n v="254"/>
    <n v="525"/>
    <n v="1013"/>
    <n v="13838"/>
    <n v="180180"/>
    <n v="4.1131091131091133E-2"/>
    <s v="Apple Watch Ultra 2 Launch"/>
  </r>
  <r>
    <x v="276"/>
    <x v="1"/>
    <d v="2025-09-17T00:00:00"/>
    <s v="Carousel"/>
    <s v="#AppleMusic, #AppleLifestyle"/>
    <n v="2117"/>
    <n v="1133"/>
    <n v="203"/>
    <n v="1173"/>
    <n v="40125"/>
    <n v="85379"/>
    <n v="4.0443200318579509E-2"/>
    <s v="Apple Event September 2025"/>
  </r>
  <r>
    <x v="277"/>
    <x v="1"/>
    <d v="2024-07-31T00:00:00"/>
    <s v="Video"/>
    <s v="#AppleDesign, #Innovation"/>
    <n v="7122"/>
    <n v="628"/>
    <n v="757"/>
    <n v="2313"/>
    <n v="50924"/>
    <n v="210954"/>
    <n v="4.0326327066564277E-2"/>
    <s v="MacBook Air M3 Campaign"/>
  </r>
  <r>
    <x v="278"/>
    <x v="1"/>
    <d v="2025-09-22T00:00:00"/>
    <s v="Video"/>
    <s v="#Sustainability, #AppleEarth"/>
    <n v="8996"/>
    <n v="329"/>
    <n v="378"/>
    <n v="2384"/>
    <n v="39404"/>
    <n v="242724"/>
    <n v="3.9975445361810122E-2"/>
    <s v="Apple Event September 2025"/>
  </r>
  <r>
    <x v="279"/>
    <x v="1"/>
    <d v="2025-09-06T00:00:00"/>
    <s v="Tweet"/>
    <s v="#AppleWatch, #Health"/>
    <n v="7124"/>
    <n v="469"/>
    <n v="851"/>
    <n v="2571"/>
    <n v="33802"/>
    <n v="216313"/>
    <n v="3.9036026498638549E-2"/>
    <s v="Apple Event September 2025"/>
  </r>
  <r>
    <x v="280"/>
    <x v="3"/>
    <d v="2024-08-05T00:00:00"/>
    <s v="Tweet"/>
    <s v="#AppleWatch, #Health"/>
    <n v="4048"/>
    <n v="751"/>
    <n v="930"/>
    <n v="1382"/>
    <n v="16844"/>
    <n v="148177"/>
    <n v="3.8663220337839206E-2"/>
    <s v="iPhone 16 Launch"/>
  </r>
  <r>
    <x v="281"/>
    <x v="0"/>
    <d v="2025-10-03T00:00:00"/>
    <s v="Image"/>
    <s v="#iPhone16Launch, #AppleEvent"/>
    <n v="6777"/>
    <n v="617"/>
    <n v="551"/>
    <n v="2109"/>
    <n v="18559"/>
    <n v="208452"/>
    <n v="3.8114290100358834E-2"/>
    <s v="Apple Event September 2025"/>
  </r>
  <r>
    <x v="282"/>
    <x v="2"/>
    <d v="2025-09-16T00:00:00"/>
    <s v="Tweet"/>
    <s v="#MacBookProM3"/>
    <n v="6809"/>
    <n v="397"/>
    <n v="813"/>
    <n v="1125"/>
    <n v="12206"/>
    <n v="218136"/>
    <n v="3.6761469908680823E-2"/>
    <s v="Apple Event September 2025"/>
  </r>
  <r>
    <x v="283"/>
    <x v="0"/>
    <d v="2025-03-22T00:00:00"/>
    <s v="Video"/>
    <s v="#AppleEvent, #iPhone16"/>
    <n v="3917"/>
    <n v="865"/>
    <n v="759"/>
    <n v="2282"/>
    <n v="56125"/>
    <n v="154014"/>
    <n v="3.5977248821535704E-2"/>
    <s v="Apple Watch Ultra 2 Launch"/>
  </r>
  <r>
    <x v="284"/>
    <x v="2"/>
    <d v="2025-09-18T00:00:00"/>
    <s v="Video"/>
    <s v="#AppleMusic, #AppleLifestyle"/>
    <n v="3828"/>
    <n v="203"/>
    <n v="506"/>
    <n v="2440"/>
    <n v="63650"/>
    <n v="126365"/>
    <n v="3.5903929094290347E-2"/>
    <s v="Apple Event September 2025"/>
  </r>
  <r>
    <x v="285"/>
    <x v="1"/>
    <d v="2025-10-10T00:00:00"/>
    <s v="Carousel"/>
    <s v="#AppleDesign, #Innovation"/>
    <n v="6621"/>
    <n v="922"/>
    <n v="930"/>
    <n v="694"/>
    <n v="839"/>
    <n v="243532"/>
    <n v="3.479214230573395E-2"/>
    <s v="Apple Event September 2025"/>
  </r>
  <r>
    <x v="286"/>
    <x v="3"/>
    <d v="2025-10-12T00:00:00"/>
    <s v="Carousel"/>
    <s v="#AppleWatch, #Health"/>
    <n v="7126"/>
    <n v="484"/>
    <n v="565"/>
    <n v="573"/>
    <n v="7389"/>
    <n v="237096"/>
    <n v="3.4479704423524646E-2"/>
    <s v="Apple Event September 2025"/>
  </r>
  <r>
    <x v="287"/>
    <x v="1"/>
    <d v="2024-07-29T00:00:00"/>
    <s v="Video"/>
    <s v="#AppleWatch, #Health"/>
    <n v="6164"/>
    <n v="326"/>
    <n v="615"/>
    <n v="2806"/>
    <n v="38579"/>
    <n v="206129"/>
    <n v="3.4468706489625425E-2"/>
    <s v="MacBook Air M3 Campaign"/>
  </r>
  <r>
    <x v="288"/>
    <x v="1"/>
    <d v="2024-11-17T00:00:00"/>
    <s v="Carousel"/>
    <s v="#AppleMusic, #AppleLifestyle"/>
    <n v="4219"/>
    <n v="240"/>
    <n v="670"/>
    <n v="815"/>
    <n v="11978"/>
    <n v="159735"/>
    <n v="3.2109431245500357E-2"/>
    <s v="iPhone 16 Launch"/>
  </r>
  <r>
    <x v="289"/>
    <x v="0"/>
    <d v="2024-10-12T00:00:00"/>
    <s v="Image"/>
    <s v="#Sustainability, #AppleEarth"/>
    <n v="6208"/>
    <n v="725"/>
    <n v="309"/>
    <n v="848"/>
    <n v="39319"/>
    <n v="225763"/>
    <n v="3.207788698768177E-2"/>
    <s v="Apple Watch Ultra 2 Launch"/>
  </r>
  <r>
    <x v="290"/>
    <x v="3"/>
    <d v="2024-08-27T00:00:00"/>
    <s v="Image"/>
    <s v="#MacBookProM3"/>
    <n v="6324"/>
    <n v="908"/>
    <n v="375"/>
    <n v="758"/>
    <n v="34850"/>
    <n v="241039"/>
    <n v="3.1559208260903839E-2"/>
    <s v="Apple Watch Ultra 2 Launch"/>
  </r>
  <r>
    <x v="291"/>
    <x v="1"/>
    <d v="2024-12-05T00:00:00"/>
    <s v="Tweet"/>
    <s v="#AppleEvent, #iPhone16"/>
    <n v="4125"/>
    <n v="1364"/>
    <n v="319"/>
    <n v="2848"/>
    <n v="15379"/>
    <n v="188159"/>
    <n v="3.0867510988047343E-2"/>
    <s v="MacBook Air M3 Campaign"/>
  </r>
  <r>
    <x v="292"/>
    <x v="3"/>
    <d v="2024-09-11T00:00:00"/>
    <s v="Image"/>
    <s v="#AppleWatch, #Health"/>
    <n v="3906"/>
    <n v="1187"/>
    <n v="589"/>
    <n v="401"/>
    <n v="52687"/>
    <n v="196498"/>
    <n v="2.8916324848090057E-2"/>
    <s v="Apple Watch Ultra 2 Launch"/>
  </r>
  <r>
    <x v="293"/>
    <x v="1"/>
    <d v="2025-01-12T00:00:00"/>
    <s v="Image"/>
    <s v="#AppleEvent, #iPadPro"/>
    <n v="4590"/>
    <n v="713"/>
    <n v="479"/>
    <n v="2730"/>
    <n v="41050"/>
    <n v="204246"/>
    <n v="2.8308999931455206E-2"/>
    <s v="Sustainability Awareness Drive"/>
  </r>
  <r>
    <x v="294"/>
    <x v="0"/>
    <d v="2024-08-19T00:00:00"/>
    <s v="Video"/>
    <s v="#iPhonePhotography, #ShotOniPhone"/>
    <n v="3605"/>
    <n v="206"/>
    <n v="921"/>
    <n v="852"/>
    <n v="11660"/>
    <n v="182635"/>
    <n v="2.590960111698196E-2"/>
    <s v="iPhone 16 Launch"/>
  </r>
  <r>
    <x v="295"/>
    <x v="1"/>
    <d v="2025-09-15T00:00:00"/>
    <s v="Tweet"/>
    <s v="#MacBookAirM3, #AppleInnovation"/>
    <n v="5636"/>
    <n v="303"/>
    <n v="204"/>
    <n v="2480"/>
    <n v="7377"/>
    <n v="241207"/>
    <n v="2.5467751765081443E-2"/>
    <s v="Apple Event September 2025"/>
  </r>
  <r>
    <x v="296"/>
    <x v="0"/>
    <d v="2024-06-17T00:00:00"/>
    <s v="Image"/>
    <s v="#AppleMusic, #AppleLifestyle"/>
    <n v="3252"/>
    <n v="1043"/>
    <n v="647"/>
    <n v="1545"/>
    <n v="18859"/>
    <n v="222958"/>
    <n v="2.2165609666394567E-2"/>
    <s v="Apple Watch Ultra 2 Launch"/>
  </r>
  <r>
    <x v="297"/>
    <x v="1"/>
    <d v="2024-06-06T00:00:00"/>
    <s v="Carousel"/>
    <s v="#Sustainability, #AppleEarth"/>
    <n v="3531"/>
    <n v="789"/>
    <n v="467"/>
    <n v="1867"/>
    <n v="40816"/>
    <n v="236037"/>
    <n v="2.0280718700881641E-2"/>
    <s v="Sustainability Awareness Drive"/>
  </r>
  <r>
    <x v="298"/>
    <x v="1"/>
    <d v="2024-08-12T00:00:00"/>
    <s v="Video"/>
    <s v="#AppleEvent, #iPadPro"/>
    <n v="3581"/>
    <n v="517"/>
    <n v="880"/>
    <n v="1925"/>
    <n v="18636"/>
    <n v="248611"/>
    <n v="2.0023249172401864E-2"/>
    <s v="iPhone 16 Launch"/>
  </r>
  <r>
    <x v="299"/>
    <x v="0"/>
    <d v="2024-11-28T00:00:00"/>
    <s v="Carousel"/>
    <s v="#AppleEvent, #iPhone16"/>
    <n v="2302"/>
    <n v="347"/>
    <n v="642"/>
    <n v="2175"/>
    <n v="56378"/>
    <n v="198056"/>
    <n v="1.6616512501514722E-2"/>
    <s v="MacBook Air M3 Campaign"/>
  </r>
  <r>
    <x v="300"/>
    <x v="4"/>
    <m/>
    <m/>
    <m/>
    <m/>
    <m/>
    <m/>
    <m/>
    <m/>
    <m/>
    <m/>
    <m/>
  </r>
  <r>
    <x v="300"/>
    <x v="4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s v="A82"/>
    <x v="0"/>
    <d v="2024-07-24T00:00:00"/>
    <x v="0"/>
    <x v="0"/>
    <n v="22914"/>
    <n v="954"/>
    <n v="584"/>
    <n v="1519"/>
    <n v="13637"/>
    <n v="49847"/>
    <n v="0.49054105563022848"/>
    <s v="Apple Watch Ultra 2 Launch"/>
  </r>
  <r>
    <s v="A201"/>
    <x v="1"/>
    <d v="2025-01-15T00:00:00"/>
    <x v="1"/>
    <x v="1"/>
    <n v="20360"/>
    <n v="254"/>
    <n v="726"/>
    <n v="1995"/>
    <n v="14280"/>
    <n v="43726"/>
    <n v="0.48803915290673738"/>
    <s v="iPhone 16 Launch"/>
  </r>
  <r>
    <s v="A121"/>
    <x v="0"/>
    <d v="2024-07-29T00:00:00"/>
    <x v="0"/>
    <x v="2"/>
    <n v="19144"/>
    <n v="1182"/>
    <n v="860"/>
    <n v="1398"/>
    <n v="4185"/>
    <n v="46570"/>
    <n v="0.454928065278076"/>
    <s v="Apple Watch Ultra 2 Launch"/>
  </r>
  <r>
    <s v="A127"/>
    <x v="2"/>
    <d v="2025-01-27T00:00:00"/>
    <x v="2"/>
    <x v="3"/>
    <n v="24415"/>
    <n v="860"/>
    <n v="931"/>
    <n v="320"/>
    <n v="65049"/>
    <n v="62911"/>
    <n v="0.41655672298962027"/>
    <s v="Apple Watch Ultra 2 Launch"/>
  </r>
  <r>
    <s v="A13"/>
    <x v="1"/>
    <d v="2024-11-18T00:00:00"/>
    <x v="3"/>
    <x v="0"/>
    <n v="21255"/>
    <n v="1452"/>
    <n v="625"/>
    <n v="1624"/>
    <n v="21282"/>
    <n v="57778"/>
    <n v="0.40382152376337016"/>
    <s v="MacBook Air M3 Campaign"/>
  </r>
  <r>
    <s v="A123"/>
    <x v="2"/>
    <d v="2024-06-14T00:00:00"/>
    <x v="0"/>
    <x v="3"/>
    <n v="17183"/>
    <n v="1224"/>
    <n v="943"/>
    <n v="2010"/>
    <n v="21481"/>
    <n v="49110"/>
    <n v="0.39401343921808185"/>
    <s v="Sustainability Awareness Drive"/>
  </r>
  <r>
    <s v="A287"/>
    <x v="3"/>
    <d v="2024-08-15T00:00:00"/>
    <x v="0"/>
    <x v="4"/>
    <n v="14977"/>
    <n v="274"/>
    <n v="798"/>
    <n v="458"/>
    <n v="6636"/>
    <n v="43654"/>
    <n v="0.36764099509781462"/>
    <s v="Apple Watch Ultra 2 Launch"/>
  </r>
  <r>
    <s v="A226"/>
    <x v="2"/>
    <d v="2025-09-08T00:00:00"/>
    <x v="1"/>
    <x v="5"/>
    <n v="23785"/>
    <n v="1013"/>
    <n v="468"/>
    <n v="1628"/>
    <n v="8272"/>
    <n v="71348"/>
    <n v="0.35412345125301342"/>
    <s v="Apple Event September 2025"/>
  </r>
  <r>
    <s v="A231"/>
    <x v="2"/>
    <d v="2025-09-09T00:00:00"/>
    <x v="2"/>
    <x v="0"/>
    <n v="19260"/>
    <n v="668"/>
    <n v="994"/>
    <n v="934"/>
    <n v="20509"/>
    <n v="61636"/>
    <n v="0.33944448049841003"/>
    <s v="Apple Event September 2025"/>
  </r>
  <r>
    <s v="A185"/>
    <x v="3"/>
    <d v="2025-01-11T00:00:00"/>
    <x v="2"/>
    <x v="6"/>
    <n v="21181"/>
    <n v="1242"/>
    <n v="963"/>
    <n v="1689"/>
    <n v="49329"/>
    <n v="69165"/>
    <n v="0.33811899081905589"/>
    <s v="Apple Watch Ultra 2 Launch"/>
  </r>
  <r>
    <s v="A106"/>
    <x v="2"/>
    <d v="2025-02-04T00:00:00"/>
    <x v="3"/>
    <x v="5"/>
    <n v="23833"/>
    <n v="555"/>
    <n v="523"/>
    <n v="1330"/>
    <n v="69141"/>
    <n v="73997"/>
    <n v="0.33664878305877266"/>
    <s v="iPhone 16 Launch"/>
  </r>
  <r>
    <s v="A174"/>
    <x v="0"/>
    <d v="2024-06-22T00:00:00"/>
    <x v="3"/>
    <x v="2"/>
    <n v="13479"/>
    <n v="1189"/>
    <n v="695"/>
    <n v="416"/>
    <n v="30229"/>
    <n v="45704"/>
    <n v="0.33614125678277612"/>
    <s v="Apple Watch Ultra 2 Launch"/>
  </r>
  <r>
    <s v="A254"/>
    <x v="3"/>
    <d v="2025-01-14T00:00:00"/>
    <x v="3"/>
    <x v="3"/>
    <n v="24350"/>
    <n v="460"/>
    <n v="666"/>
    <n v="814"/>
    <n v="21120"/>
    <n v="76914"/>
    <n v="0.33122708479600593"/>
    <s v="Apple Watch Ultra 2 Launch"/>
  </r>
  <r>
    <s v="A223"/>
    <x v="2"/>
    <d v="2024-11-12T00:00:00"/>
    <x v="0"/>
    <x v="7"/>
    <n v="17913"/>
    <n v="1311"/>
    <n v="859"/>
    <n v="405"/>
    <n v="59842"/>
    <n v="62612"/>
    <n v="0.32075321024723696"/>
    <s v="Sustainability Awareness Drive"/>
  </r>
  <r>
    <s v="A164"/>
    <x v="0"/>
    <d v="2025-02-27T00:00:00"/>
    <x v="2"/>
    <x v="6"/>
    <n v="16178"/>
    <n v="1048"/>
    <n v="871"/>
    <n v="2553"/>
    <n v="39025"/>
    <n v="59508"/>
    <n v="0.30411037171472743"/>
    <s v="Apple Watch Ultra 2 Launch"/>
  </r>
  <r>
    <s v="A151"/>
    <x v="1"/>
    <d v="2024-07-26T00:00:00"/>
    <x v="0"/>
    <x v="8"/>
    <n v="18282"/>
    <n v="224"/>
    <n v="962"/>
    <n v="890"/>
    <n v="35105"/>
    <n v="64089"/>
    <n v="0.30376507669022768"/>
    <s v="iPhone 16 Launch"/>
  </r>
  <r>
    <s v="A140"/>
    <x v="3"/>
    <d v="2024-07-15T00:00:00"/>
    <x v="1"/>
    <x v="0"/>
    <n v="14891"/>
    <n v="674"/>
    <n v="521"/>
    <n v="1091"/>
    <n v="18101"/>
    <n v="53669"/>
    <n v="0.29972609886526674"/>
    <s v="Apple Watch Ultra 2 Launch"/>
  </r>
  <r>
    <s v="A83"/>
    <x v="3"/>
    <d v="2024-10-15T00:00:00"/>
    <x v="3"/>
    <x v="1"/>
    <n v="17781"/>
    <n v="993"/>
    <n v="627"/>
    <n v="2187"/>
    <n v="9609"/>
    <n v="66155"/>
    <n v="0.29326581513113142"/>
    <s v="iPhone 16 Launch"/>
  </r>
  <r>
    <s v="A196"/>
    <x v="2"/>
    <d v="2025-09-18T00:00:00"/>
    <x v="1"/>
    <x v="8"/>
    <n v="10152"/>
    <n v="1445"/>
    <n v="526"/>
    <n v="513"/>
    <n v="18959"/>
    <n v="43712"/>
    <n v="0.27733803074670571"/>
    <s v="Apple Event September 2025"/>
  </r>
  <r>
    <s v="A136"/>
    <x v="3"/>
    <d v="2025-10-02T00:00:00"/>
    <x v="3"/>
    <x v="7"/>
    <n v="12161"/>
    <n v="736"/>
    <n v="876"/>
    <n v="1233"/>
    <n v="21337"/>
    <n v="50225"/>
    <n v="0.27422598307615731"/>
    <s v="Apple Event September 2025"/>
  </r>
  <r>
    <s v="A5"/>
    <x v="1"/>
    <d v="2025-09-04T00:00:00"/>
    <x v="0"/>
    <x v="2"/>
    <n v="21708"/>
    <n v="435"/>
    <n v="317"/>
    <n v="1213"/>
    <n v="70701"/>
    <n v="83585"/>
    <n v="0.26870850032900639"/>
    <s v="Apple Event September 2025"/>
  </r>
  <r>
    <s v="A80"/>
    <x v="0"/>
    <d v="2024-06-13T00:00:00"/>
    <x v="2"/>
    <x v="2"/>
    <n v="14173"/>
    <n v="294"/>
    <n v="257"/>
    <n v="1288"/>
    <n v="39466"/>
    <n v="55563"/>
    <n v="0.26499649047027696"/>
    <s v="MacBook Air M3 Campaign"/>
  </r>
  <r>
    <s v="A150"/>
    <x v="0"/>
    <d v="2024-08-22T00:00:00"/>
    <x v="0"/>
    <x v="9"/>
    <n v="16124"/>
    <n v="863"/>
    <n v="337"/>
    <n v="819"/>
    <n v="85788"/>
    <n v="68625"/>
    <n v="0.25244444444444447"/>
    <s v="iPhone 16 Launch"/>
  </r>
  <r>
    <s v="A220"/>
    <x v="1"/>
    <d v="2024-06-02T00:00:00"/>
    <x v="0"/>
    <x v="6"/>
    <n v="14199"/>
    <n v="1206"/>
    <n v="954"/>
    <n v="2009"/>
    <n v="8"/>
    <n v="65537"/>
    <n v="0.24961472145505592"/>
    <s v="Sustainability Awareness Drive"/>
  </r>
  <r>
    <s v="A21"/>
    <x v="2"/>
    <d v="2025-09-08T00:00:00"/>
    <x v="3"/>
    <x v="9"/>
    <n v="22309"/>
    <n v="773"/>
    <n v="854"/>
    <n v="2387"/>
    <n v="72396"/>
    <n v="97056"/>
    <n v="0.24662050774810418"/>
    <s v="Apple Event September 2025"/>
  </r>
  <r>
    <s v="A244"/>
    <x v="3"/>
    <d v="2025-09-13T00:00:00"/>
    <x v="0"/>
    <x v="9"/>
    <n v="15046"/>
    <n v="281"/>
    <n v="515"/>
    <n v="550"/>
    <n v="22583"/>
    <n v="64596"/>
    <n v="0.24524738373893121"/>
    <s v="Apple Event September 2025"/>
  </r>
  <r>
    <s v="A76"/>
    <x v="2"/>
    <d v="2024-11-07T00:00:00"/>
    <x v="3"/>
    <x v="1"/>
    <n v="17254"/>
    <n v="246"/>
    <n v="952"/>
    <n v="871"/>
    <n v="14957"/>
    <n v="75946"/>
    <n v="0.24296210465330631"/>
    <s v="MacBook Air M3 Campaign"/>
  </r>
  <r>
    <s v="A216"/>
    <x v="3"/>
    <d v="2024-07-29T00:00:00"/>
    <x v="1"/>
    <x v="2"/>
    <n v="22590"/>
    <n v="1462"/>
    <n v="966"/>
    <n v="2463"/>
    <n v="29689"/>
    <n v="103449"/>
    <n v="0.24183897379385011"/>
    <s v="Sustainability Awareness Drive"/>
  </r>
  <r>
    <s v="A51"/>
    <x v="1"/>
    <d v="2024-06-13T00:00:00"/>
    <x v="3"/>
    <x v="5"/>
    <n v="23164"/>
    <n v="1122"/>
    <n v="900"/>
    <n v="888"/>
    <n v="36938"/>
    <n v="104674"/>
    <n v="0.24061371496264594"/>
    <s v="Apple Watch Ultra 2 Launch"/>
  </r>
  <r>
    <s v="A6"/>
    <x v="0"/>
    <d v="2025-09-05T00:00:00"/>
    <x v="2"/>
    <x v="1"/>
    <n v="14677"/>
    <n v="533"/>
    <n v="759"/>
    <n v="753"/>
    <n v="23275"/>
    <n v="66958"/>
    <n v="0.23849278652289496"/>
    <s v="Apple Event September 2025"/>
  </r>
  <r>
    <s v="A289"/>
    <x v="3"/>
    <d v="2024-11-28T00:00:00"/>
    <x v="3"/>
    <x v="0"/>
    <n v="18644"/>
    <n v="1369"/>
    <n v="887"/>
    <n v="1256"/>
    <n v="43415"/>
    <n v="88368"/>
    <n v="0.23651095419156257"/>
    <s v="Sustainability Awareness Drive"/>
  </r>
  <r>
    <s v="A186"/>
    <x v="3"/>
    <d v="2024-08-24T00:00:00"/>
    <x v="0"/>
    <x v="7"/>
    <n v="24890"/>
    <n v="217"/>
    <n v="178"/>
    <n v="906"/>
    <n v="54826"/>
    <n v="107203"/>
    <n v="0.23586093672751696"/>
    <s v="Sustainability Awareness Drive"/>
  </r>
  <r>
    <s v="A61"/>
    <x v="1"/>
    <d v="2024-09-05T00:00:00"/>
    <x v="3"/>
    <x v="8"/>
    <n v="16489"/>
    <n v="395"/>
    <n v="350"/>
    <n v="2364"/>
    <n v="43239"/>
    <n v="73397"/>
    <n v="0.23480523727127811"/>
    <s v="MacBook Air M3 Campaign"/>
  </r>
  <r>
    <s v="A286"/>
    <x v="1"/>
    <d v="2025-09-19T00:00:00"/>
    <x v="1"/>
    <x v="5"/>
    <n v="22128"/>
    <n v="1004"/>
    <n v="690"/>
    <n v="2048"/>
    <n v="19443"/>
    <n v="103646"/>
    <n v="0.22984003241803833"/>
    <s v="Apple Event September 2025"/>
  </r>
  <r>
    <s v="A105"/>
    <x v="2"/>
    <d v="2024-06-14T00:00:00"/>
    <x v="3"/>
    <x v="10"/>
    <n v="21856"/>
    <n v="1203"/>
    <n v="634"/>
    <n v="2807"/>
    <n v="3647"/>
    <n v="104178"/>
    <n v="0.22742805582752595"/>
    <s v="iPhone 16 Launch"/>
  </r>
  <r>
    <s v="A119"/>
    <x v="0"/>
    <d v="2025-02-07T00:00:00"/>
    <x v="3"/>
    <x v="11"/>
    <n v="20290"/>
    <n v="619"/>
    <n v="927"/>
    <n v="1186"/>
    <n v="8924"/>
    <n v="96503"/>
    <n v="0.22627275835984373"/>
    <s v="MacBook Air M3 Campaign"/>
  </r>
  <r>
    <s v="A170"/>
    <x v="2"/>
    <d v="2025-04-28T00:00:00"/>
    <x v="3"/>
    <x v="9"/>
    <n v="15013"/>
    <n v="1286"/>
    <n v="599"/>
    <n v="2001"/>
    <n v="67839"/>
    <n v="76059"/>
    <n v="0.22216963147030594"/>
    <s v="Apple Watch Ultra 2 Launch"/>
  </r>
  <r>
    <s v="A46"/>
    <x v="0"/>
    <d v="2025-05-02T00:00:00"/>
    <x v="1"/>
    <x v="3"/>
    <n v="17444"/>
    <n v="1402"/>
    <n v="218"/>
    <n v="725"/>
    <n v="8710"/>
    <n v="85893"/>
    <n v="0.22195056640238436"/>
    <s v="MacBook Air M3 Campaign"/>
  </r>
  <r>
    <s v="A187"/>
    <x v="2"/>
    <d v="2024-12-22T00:00:00"/>
    <x v="1"/>
    <x v="11"/>
    <n v="7870"/>
    <n v="968"/>
    <n v="626"/>
    <n v="465"/>
    <n v="27184"/>
    <n v="44114"/>
    <n v="0.2145350682323072"/>
    <s v="MacBook Air M3 Campaign"/>
  </r>
  <r>
    <s v="A190"/>
    <x v="2"/>
    <d v="2024-10-04T00:00:00"/>
    <x v="2"/>
    <x v="0"/>
    <n v="21729"/>
    <n v="1209"/>
    <n v="897"/>
    <n v="1624"/>
    <n v="38771"/>
    <n v="113297"/>
    <n v="0.21037626768581694"/>
    <s v="iPhone 16 Launch"/>
  </r>
  <r>
    <s v="A251"/>
    <x v="2"/>
    <d v="2025-09-15T00:00:00"/>
    <x v="2"/>
    <x v="0"/>
    <n v="18389"/>
    <n v="670"/>
    <n v="655"/>
    <n v="321"/>
    <n v="21869"/>
    <n v="96088"/>
    <n v="0.2051660977437349"/>
    <s v="Apple Event September 2025"/>
  </r>
  <r>
    <s v="A74"/>
    <x v="2"/>
    <d v="2024-10-28T00:00:00"/>
    <x v="3"/>
    <x v="4"/>
    <n v="21198"/>
    <n v="1484"/>
    <n v="174"/>
    <n v="1293"/>
    <n v="16330"/>
    <n v="111635"/>
    <n v="0.20473865723115511"/>
    <s v="iPhone 16 Launch"/>
  </r>
  <r>
    <s v="A42"/>
    <x v="1"/>
    <d v="2025-03-05T00:00:00"/>
    <x v="3"/>
    <x v="3"/>
    <n v="12916"/>
    <n v="1262"/>
    <n v="772"/>
    <n v="856"/>
    <n v="11496"/>
    <n v="75046"/>
    <n v="0.19921115049436347"/>
    <s v="Sustainability Awareness Drive"/>
  </r>
  <r>
    <s v="A246"/>
    <x v="2"/>
    <d v="2024-10-11T00:00:00"/>
    <x v="3"/>
    <x v="10"/>
    <n v="19447"/>
    <n v="1014"/>
    <n v="256"/>
    <n v="2354"/>
    <n v="5472"/>
    <n v="104106"/>
    <n v="0.19899909707413599"/>
    <s v="Apple Watch Ultra 2 Launch"/>
  </r>
  <r>
    <s v="A260"/>
    <x v="1"/>
    <d v="2025-02-12T00:00:00"/>
    <x v="0"/>
    <x v="6"/>
    <n v="15234"/>
    <n v="1276"/>
    <n v="670"/>
    <n v="1860"/>
    <n v="60397"/>
    <n v="86413"/>
    <n v="0.19881267864788862"/>
    <s v="MacBook Air M3 Campaign"/>
  </r>
  <r>
    <s v="A93"/>
    <x v="2"/>
    <d v="2024-12-11T00:00:00"/>
    <x v="3"/>
    <x v="10"/>
    <n v="22645"/>
    <n v="545"/>
    <n v="972"/>
    <n v="321"/>
    <n v="8396"/>
    <n v="121537"/>
    <n v="0.19880365649966678"/>
    <s v="MacBook Air M3 Campaign"/>
  </r>
  <r>
    <s v="A163"/>
    <x v="0"/>
    <d v="2025-04-08T00:00:00"/>
    <x v="0"/>
    <x v="2"/>
    <n v="15568"/>
    <n v="1166"/>
    <n v="546"/>
    <n v="826"/>
    <n v="21836"/>
    <n v="87055"/>
    <n v="0.19849520418126471"/>
    <s v="Apple Watch Ultra 2 Launch"/>
  </r>
  <r>
    <s v="A300"/>
    <x v="0"/>
    <d v="2025-09-26T00:00:00"/>
    <x v="0"/>
    <x v="10"/>
    <n v="21216"/>
    <n v="226"/>
    <n v="187"/>
    <n v="1573"/>
    <n v="62688"/>
    <n v="111031"/>
    <n v="0.19480145184678152"/>
    <s v="Apple Event September 2025"/>
  </r>
  <r>
    <s v="A68"/>
    <x v="3"/>
    <d v="2024-12-08T00:00:00"/>
    <x v="0"/>
    <x v="6"/>
    <n v="10427"/>
    <n v="1014"/>
    <n v="166"/>
    <n v="1649"/>
    <n v="15145"/>
    <n v="59816"/>
    <n v="0.19404507155276179"/>
    <s v="Sustainability Awareness Drive"/>
  </r>
  <r>
    <s v="A126"/>
    <x v="0"/>
    <d v="2025-03-28T00:00:00"/>
    <x v="2"/>
    <x v="5"/>
    <n v="13637"/>
    <n v="1135"/>
    <n v="540"/>
    <n v="1288"/>
    <n v="45183"/>
    <n v="79062"/>
    <n v="0.19367079001290127"/>
    <s v="MacBook Air M3 Campaign"/>
  </r>
  <r>
    <s v="A129"/>
    <x v="0"/>
    <d v="2024-07-21T00:00:00"/>
    <x v="2"/>
    <x v="4"/>
    <n v="11911"/>
    <n v="1360"/>
    <n v="778"/>
    <n v="1168"/>
    <n v="16483"/>
    <n v="72556"/>
    <n v="0.19362974805667346"/>
    <s v="Sustainability Awareness Drive"/>
  </r>
  <r>
    <s v="A97"/>
    <x v="2"/>
    <d v="2024-08-13T00:00:00"/>
    <x v="3"/>
    <x v="11"/>
    <n v="6854"/>
    <n v="417"/>
    <n v="467"/>
    <n v="1003"/>
    <n v="61333"/>
    <n v="40281"/>
    <n v="0.19210049402944315"/>
    <s v="Apple Watch Ultra 2 Launch"/>
  </r>
  <r>
    <s v="A47"/>
    <x v="0"/>
    <d v="2025-02-24T00:00:00"/>
    <x v="1"/>
    <x v="10"/>
    <n v="24984"/>
    <n v="753"/>
    <n v="461"/>
    <n v="2710"/>
    <n v="20792"/>
    <n v="141520"/>
    <n v="0.18511871113623515"/>
    <s v="Sustainability Awareness Drive"/>
  </r>
  <r>
    <s v="A152"/>
    <x v="1"/>
    <d v="2025-10-04T00:00:00"/>
    <x v="0"/>
    <x v="11"/>
    <n v="12488"/>
    <n v="1403"/>
    <n v="247"/>
    <n v="1350"/>
    <n v="28370"/>
    <n v="76487"/>
    <n v="0.18484186855282597"/>
    <s v="Apple Event September 2025"/>
  </r>
  <r>
    <s v="A230"/>
    <x v="3"/>
    <d v="2024-07-15T00:00:00"/>
    <x v="0"/>
    <x v="1"/>
    <n v="12554"/>
    <n v="381"/>
    <n v="211"/>
    <n v="2286"/>
    <n v="50567"/>
    <n v="72779"/>
    <n v="0.18062902760411656"/>
    <s v="Apple Watch Ultra 2 Launch"/>
  </r>
  <r>
    <s v="A148"/>
    <x v="1"/>
    <d v="2025-04-15T00:00:00"/>
    <x v="0"/>
    <x v="10"/>
    <n v="20977"/>
    <n v="1402"/>
    <n v="301"/>
    <n v="1284"/>
    <n v="24620"/>
    <n v="128009"/>
    <n v="0.17717504237983267"/>
    <s v="Apple Watch Ultra 2 Launch"/>
  </r>
  <r>
    <s v="A139"/>
    <x v="1"/>
    <d v="2024-10-29T00:00:00"/>
    <x v="1"/>
    <x v="3"/>
    <n v="23969"/>
    <n v="1433"/>
    <n v="372"/>
    <n v="1092"/>
    <n v="32147"/>
    <n v="145823"/>
    <n v="0.17674852389540743"/>
    <s v="Sustainability Awareness Drive"/>
  </r>
  <r>
    <s v="A23"/>
    <x v="2"/>
    <d v="2024-11-06T00:00:00"/>
    <x v="3"/>
    <x v="3"/>
    <n v="8938"/>
    <n v="800"/>
    <n v="842"/>
    <n v="2072"/>
    <n v="31736"/>
    <n v="59975"/>
    <n v="0.17640683618174238"/>
    <s v="iPhone 16 Launch"/>
  </r>
  <r>
    <s v="A125"/>
    <x v="3"/>
    <d v="2024-09-08T00:00:00"/>
    <x v="3"/>
    <x v="2"/>
    <n v="8090"/>
    <n v="570"/>
    <n v="399"/>
    <n v="1862"/>
    <n v="34088"/>
    <n v="52115"/>
    <n v="0.17382711311522595"/>
    <s v="Apple Watch Ultra 2 Launch"/>
  </r>
  <r>
    <s v="A91"/>
    <x v="0"/>
    <d v="2025-09-24T00:00:00"/>
    <x v="1"/>
    <x v="0"/>
    <n v="12209"/>
    <n v="222"/>
    <n v="479"/>
    <n v="2748"/>
    <n v="24615"/>
    <n v="74707"/>
    <n v="0.17280843829895459"/>
    <s v="Apple Event September 2025"/>
  </r>
  <r>
    <s v="A44"/>
    <x v="0"/>
    <d v="2025-03-02T00:00:00"/>
    <x v="0"/>
    <x v="9"/>
    <n v="22562"/>
    <n v="778"/>
    <n v="907"/>
    <n v="1354"/>
    <n v="34475"/>
    <n v="141459"/>
    <n v="0.17140655596321194"/>
    <s v="iPhone 16 Launch"/>
  </r>
  <r>
    <s v="A276"/>
    <x v="0"/>
    <d v="2024-06-07T00:00:00"/>
    <x v="0"/>
    <x v="4"/>
    <n v="8233"/>
    <n v="436"/>
    <n v="269"/>
    <n v="2037"/>
    <n v="8875"/>
    <n v="52289"/>
    <n v="0.17093461339861157"/>
    <s v="Apple Watch Ultra 2 Launch"/>
  </r>
  <r>
    <s v="A160"/>
    <x v="0"/>
    <d v="2024-08-24T00:00:00"/>
    <x v="1"/>
    <x v="9"/>
    <n v="22527"/>
    <n v="865"/>
    <n v="646"/>
    <n v="992"/>
    <n v="18654"/>
    <n v="141376"/>
    <n v="0.17002885921231325"/>
    <s v="MacBook Air M3 Campaign"/>
  </r>
  <r>
    <s v="A158"/>
    <x v="2"/>
    <d v="2024-08-11T00:00:00"/>
    <x v="3"/>
    <x v="6"/>
    <n v="14394"/>
    <n v="1202"/>
    <n v="188"/>
    <n v="1259"/>
    <n v="21925"/>
    <n v="94061"/>
    <n v="0.1678059982351878"/>
    <s v="iPhone 16 Launch"/>
  </r>
  <r>
    <s v="A202"/>
    <x v="0"/>
    <d v="2025-09-21T00:00:00"/>
    <x v="2"/>
    <x v="11"/>
    <n v="19680"/>
    <n v="999"/>
    <n v="838"/>
    <n v="891"/>
    <n v="29576"/>
    <n v="129152"/>
    <n v="0.16660214321110009"/>
    <s v="Apple Event September 2025"/>
  </r>
  <r>
    <s v="A73"/>
    <x v="3"/>
    <d v="2025-09-21T00:00:00"/>
    <x v="0"/>
    <x v="2"/>
    <n v="23103"/>
    <n v="1380"/>
    <n v="191"/>
    <n v="1547"/>
    <n v="77798"/>
    <n v="148856"/>
    <n v="0.16575751061428495"/>
    <s v="Apple Event September 2025"/>
  </r>
  <r>
    <s v="A221"/>
    <x v="1"/>
    <d v="2025-03-23T00:00:00"/>
    <x v="3"/>
    <x v="0"/>
    <n v="17728"/>
    <n v="1487"/>
    <n v="210"/>
    <n v="2469"/>
    <n v="30565"/>
    <n v="117576"/>
    <n v="0.16521228822208614"/>
    <s v="Apple Watch Ultra 2 Launch"/>
  </r>
  <r>
    <s v="A285"/>
    <x v="2"/>
    <d v="2024-07-18T00:00:00"/>
    <x v="0"/>
    <x v="2"/>
    <n v="16594"/>
    <n v="809"/>
    <n v="784"/>
    <n v="1655"/>
    <n v="35505"/>
    <n v="112588"/>
    <n v="0.16153586527871533"/>
    <s v="Sustainability Awareness Drive"/>
  </r>
  <r>
    <s v="A62"/>
    <x v="1"/>
    <d v="2025-09-20T00:00:00"/>
    <x v="2"/>
    <x v="3"/>
    <n v="18633"/>
    <n v="797"/>
    <n v="303"/>
    <n v="659"/>
    <n v="7"/>
    <n v="122189"/>
    <n v="0.16149571565361859"/>
    <s v="Apple Event September 2025"/>
  </r>
  <r>
    <s v="A75"/>
    <x v="3"/>
    <d v="2024-08-01T00:00:00"/>
    <x v="2"/>
    <x v="7"/>
    <n v="21758"/>
    <n v="1380"/>
    <n v="188"/>
    <n v="1735"/>
    <n v="20998"/>
    <n v="147803"/>
    <n v="0.15781817689762725"/>
    <s v="MacBook Air M3 Campaign"/>
  </r>
  <r>
    <s v="A189"/>
    <x v="1"/>
    <d v="2025-03-24T00:00:00"/>
    <x v="2"/>
    <x v="1"/>
    <n v="10172"/>
    <n v="1398"/>
    <n v="394"/>
    <n v="2358"/>
    <n v="59610"/>
    <n v="76321"/>
    <n v="0.15675895231980713"/>
    <s v="iPhone 16 Launch"/>
  </r>
  <r>
    <s v="A50"/>
    <x v="2"/>
    <d v="2024-07-03T00:00:00"/>
    <x v="1"/>
    <x v="0"/>
    <n v="14338"/>
    <n v="1454"/>
    <n v="697"/>
    <n v="2703"/>
    <n v="21288"/>
    <n v="107649"/>
    <n v="0.1531737405828201"/>
    <s v="iPhone 16 Launch"/>
  </r>
  <r>
    <s v="A132"/>
    <x v="3"/>
    <d v="2025-03-04T00:00:00"/>
    <x v="0"/>
    <x v="6"/>
    <n v="5266"/>
    <n v="316"/>
    <n v="837"/>
    <n v="2276"/>
    <n v="20967"/>
    <n v="41969"/>
    <n v="0.1529462222116324"/>
    <s v="MacBook Air M3 Campaign"/>
  </r>
  <r>
    <s v="A40"/>
    <x v="1"/>
    <d v="2025-09-14T00:00:00"/>
    <x v="3"/>
    <x v="5"/>
    <n v="19844"/>
    <n v="1020"/>
    <n v="247"/>
    <n v="2354"/>
    <n v="37792"/>
    <n v="138317"/>
    <n v="0.15262765965138053"/>
    <s v="Apple Event September 2025"/>
  </r>
  <r>
    <s v="A77"/>
    <x v="0"/>
    <d v="2025-03-04T00:00:00"/>
    <x v="3"/>
    <x v="10"/>
    <n v="13470"/>
    <n v="523"/>
    <n v="280"/>
    <n v="2682"/>
    <n v="8538"/>
    <n v="95204"/>
    <n v="0.14992017142136885"/>
    <s v="Apple Watch Ultra 2 Launch"/>
  </r>
  <r>
    <s v="A264"/>
    <x v="3"/>
    <d v="2025-01-30T00:00:00"/>
    <x v="1"/>
    <x v="9"/>
    <n v="12954"/>
    <n v="913"/>
    <n v="722"/>
    <n v="1049"/>
    <n v="475"/>
    <n v="97716"/>
    <n v="0.14930001228048631"/>
    <s v="Apple Watch Ultra 2 Launch"/>
  </r>
  <r>
    <s v="A108"/>
    <x v="0"/>
    <d v="2025-09-28T00:00:00"/>
    <x v="3"/>
    <x v="5"/>
    <n v="21963"/>
    <n v="1356"/>
    <n v="349"/>
    <n v="1206"/>
    <n v="51755"/>
    <n v="159273"/>
    <n v="0.14860020216860359"/>
    <s v="Apple Event September 2025"/>
  </r>
  <r>
    <s v="A248"/>
    <x v="3"/>
    <d v="2025-09-14T00:00:00"/>
    <x v="3"/>
    <x v="3"/>
    <n v="12787"/>
    <n v="945"/>
    <n v="974"/>
    <n v="1407"/>
    <n v="4037"/>
    <n v="99182"/>
    <n v="0.14827287209372669"/>
    <s v="Apple Event September 2025"/>
  </r>
  <r>
    <s v="A104"/>
    <x v="0"/>
    <d v="2025-03-23T00:00:00"/>
    <x v="2"/>
    <x v="7"/>
    <n v="24711"/>
    <n v="882"/>
    <n v="876"/>
    <n v="2728"/>
    <n v="32015"/>
    <n v="180272"/>
    <n v="0.1468281263867933"/>
    <s v="iPhone 16 Launch"/>
  </r>
  <r>
    <s v="A242"/>
    <x v="1"/>
    <d v="2025-09-12T00:00:00"/>
    <x v="0"/>
    <x v="0"/>
    <n v="15918"/>
    <n v="1114"/>
    <n v="392"/>
    <n v="1641"/>
    <n v="28044"/>
    <n v="118714"/>
    <n v="0.14677291642097814"/>
    <s v="Apple Event September 2025"/>
  </r>
  <r>
    <s v="A155"/>
    <x v="3"/>
    <d v="2024-12-21T00:00:00"/>
    <x v="2"/>
    <x v="2"/>
    <n v="12453"/>
    <n v="376"/>
    <n v="320"/>
    <n v="2546"/>
    <n v="22617"/>
    <n v="90138"/>
    <n v="0.14587632297144379"/>
    <s v="Sustainability Awareness Drive"/>
  </r>
  <r>
    <s v="A232"/>
    <x v="0"/>
    <d v="2025-04-29T00:00:00"/>
    <x v="3"/>
    <x v="5"/>
    <n v="16277"/>
    <n v="1109"/>
    <n v="375"/>
    <n v="2225"/>
    <n v="1044"/>
    <n v="121889"/>
    <n v="0.14571454356012437"/>
    <s v="iPhone 16 Launch"/>
  </r>
  <r>
    <s v="A224"/>
    <x v="0"/>
    <d v="2025-09-07T00:00:00"/>
    <x v="1"/>
    <x v="11"/>
    <n v="4472"/>
    <n v="1301"/>
    <n v="956"/>
    <n v="1186"/>
    <n v="3363"/>
    <n v="46471"/>
    <n v="0.14479998278496267"/>
    <s v="Apple Event September 2025"/>
  </r>
  <r>
    <s v="A67"/>
    <x v="0"/>
    <d v="2025-03-29T00:00:00"/>
    <x v="0"/>
    <x v="5"/>
    <n v="19461"/>
    <n v="1382"/>
    <n v="445"/>
    <n v="1307"/>
    <n v="84691"/>
    <n v="151453"/>
    <n v="0.14055845707909384"/>
    <s v="iPhone 16 Launch"/>
  </r>
  <r>
    <s v="A203"/>
    <x v="1"/>
    <d v="2024-11-21T00:00:00"/>
    <x v="2"/>
    <x v="5"/>
    <n v="8229"/>
    <n v="977"/>
    <n v="152"/>
    <n v="1633"/>
    <n v="71447"/>
    <n v="67723"/>
    <n v="0.13818052950991538"/>
    <s v="MacBook Air M3 Campaign"/>
  </r>
  <r>
    <s v="A184"/>
    <x v="1"/>
    <d v="2025-10-13T00:00:00"/>
    <x v="0"/>
    <x v="3"/>
    <n v="19302"/>
    <n v="1367"/>
    <n v="188"/>
    <n v="637"/>
    <n v="31404"/>
    <n v="154044"/>
    <n v="0.13539638025499209"/>
    <s v="Apple Event September 2025"/>
  </r>
  <r>
    <s v="A88"/>
    <x v="3"/>
    <d v="2024-07-07T00:00:00"/>
    <x v="1"/>
    <x v="6"/>
    <n v="24625"/>
    <n v="749"/>
    <n v="193"/>
    <n v="1340"/>
    <n v="4890"/>
    <n v="189381"/>
    <n v="0.13500298340382616"/>
    <s v="Apple Watch Ultra 2 Launch"/>
  </r>
  <r>
    <s v="A39"/>
    <x v="3"/>
    <d v="2025-09-13T00:00:00"/>
    <x v="3"/>
    <x v="0"/>
    <n v="17106"/>
    <n v="702"/>
    <n v="459"/>
    <n v="999"/>
    <n v="59627"/>
    <n v="136059"/>
    <n v="0.13425793222058077"/>
    <s v="Apple Event September 2025"/>
  </r>
  <r>
    <s v="A168"/>
    <x v="1"/>
    <d v="2024-11-12T00:00:00"/>
    <x v="2"/>
    <x v="6"/>
    <n v="19022"/>
    <n v="541"/>
    <n v="575"/>
    <n v="2063"/>
    <n v="42743"/>
    <n v="150169"/>
    <n v="0.13410224480418728"/>
    <s v="Apple Watch Ultra 2 Launch"/>
  </r>
  <r>
    <s v="A60"/>
    <x v="3"/>
    <d v="2025-01-28T00:00:00"/>
    <x v="1"/>
    <x v="5"/>
    <n v="9239"/>
    <n v="1477"/>
    <n v="631"/>
    <n v="1556"/>
    <n v="11580"/>
    <n v="84738"/>
    <n v="0.13390686586891359"/>
    <s v="Sustainability Awareness Drive"/>
  </r>
  <r>
    <s v="A147"/>
    <x v="1"/>
    <d v="2024-10-21T00:00:00"/>
    <x v="1"/>
    <x v="10"/>
    <n v="20777"/>
    <n v="962"/>
    <n v="308"/>
    <n v="2777"/>
    <n v="25529"/>
    <n v="165354"/>
    <n v="0.13333212380710477"/>
    <s v="Apple Watch Ultra 2 Launch"/>
  </r>
  <r>
    <s v="A72"/>
    <x v="2"/>
    <d v="2025-03-03T00:00:00"/>
    <x v="3"/>
    <x v="3"/>
    <n v="24928"/>
    <n v="214"/>
    <n v="765"/>
    <n v="1556"/>
    <n v="5239"/>
    <n v="194571"/>
    <n v="0.13314933880177415"/>
    <s v="MacBook Air M3 Campaign"/>
  </r>
  <r>
    <s v="A265"/>
    <x v="1"/>
    <d v="2025-02-20T00:00:00"/>
    <x v="3"/>
    <x v="10"/>
    <n v="15703"/>
    <n v="1381"/>
    <n v="639"/>
    <n v="984"/>
    <n v="10967"/>
    <n v="133747"/>
    <n v="0.13251138343289942"/>
    <s v="MacBook Air M3 Campaign"/>
  </r>
  <r>
    <s v="A7"/>
    <x v="3"/>
    <d v="2024-06-24T00:00:00"/>
    <x v="3"/>
    <x v="0"/>
    <n v="7713"/>
    <n v="575"/>
    <n v="417"/>
    <n v="336"/>
    <n v="61660"/>
    <n v="66017"/>
    <n v="0.13185997546086614"/>
    <s v="iPhone 16 Launch"/>
  </r>
  <r>
    <s v="A100"/>
    <x v="3"/>
    <d v="2025-09-25T00:00:00"/>
    <x v="2"/>
    <x v="1"/>
    <n v="20564"/>
    <n v="1433"/>
    <n v="488"/>
    <n v="1015"/>
    <n v="24333"/>
    <n v="172130"/>
    <n v="0.13062801371056759"/>
    <s v="Apple Event September 2025"/>
  </r>
  <r>
    <s v="A294"/>
    <x v="2"/>
    <d v="2024-06-19T00:00:00"/>
    <x v="3"/>
    <x v="9"/>
    <n v="20444"/>
    <n v="233"/>
    <n v="189"/>
    <n v="2879"/>
    <n v="28185"/>
    <n v="159891"/>
    <n v="0.13050140408153055"/>
    <s v="iPhone 16 Launch"/>
  </r>
  <r>
    <s v="A1"/>
    <x v="1"/>
    <d v="2024-12-23T00:00:00"/>
    <x v="2"/>
    <x v="2"/>
    <n v="24516"/>
    <n v="976"/>
    <n v="974"/>
    <n v="2675"/>
    <n v="23275"/>
    <n v="202932"/>
    <n v="0.13041807107799658"/>
    <s v="Apple Watch Ultra 2 Launch"/>
  </r>
  <r>
    <s v="A84"/>
    <x v="0"/>
    <d v="2024-12-09T00:00:00"/>
    <x v="2"/>
    <x v="6"/>
    <n v="15051"/>
    <n v="268"/>
    <n v="251"/>
    <n v="783"/>
    <n v="34154"/>
    <n v="119671"/>
    <n v="0.13010670922779954"/>
    <s v="iPhone 16 Launch"/>
  </r>
  <r>
    <s v="A53"/>
    <x v="1"/>
    <d v="2025-02-24T00:00:00"/>
    <x v="2"/>
    <x v="3"/>
    <n v="23949"/>
    <n v="356"/>
    <n v="616"/>
    <n v="1847"/>
    <n v="3144"/>
    <n v="192999"/>
    <n v="0.12912502137316773"/>
    <s v="iPhone 16 Launch"/>
  </r>
  <r>
    <s v="A138"/>
    <x v="3"/>
    <d v="2025-03-29T00:00:00"/>
    <x v="3"/>
    <x v="7"/>
    <n v="23508"/>
    <n v="585"/>
    <n v="743"/>
    <n v="2155"/>
    <n v="3704"/>
    <n v="194268"/>
    <n v="0.1278440093067309"/>
    <s v="iPhone 16 Launch"/>
  </r>
  <r>
    <s v="A194"/>
    <x v="1"/>
    <d v="2024-10-02T00:00:00"/>
    <x v="0"/>
    <x v="0"/>
    <n v="5086"/>
    <n v="1336"/>
    <n v="897"/>
    <n v="1715"/>
    <n v="60592"/>
    <n v="57772"/>
    <n v="0.12668766876687668"/>
    <s v="Sustainability Awareness Drive"/>
  </r>
  <r>
    <s v="A135"/>
    <x v="1"/>
    <d v="2024-11-28T00:00:00"/>
    <x v="3"/>
    <x v="10"/>
    <n v="19055"/>
    <n v="443"/>
    <n v="976"/>
    <n v="869"/>
    <n v="75437"/>
    <n v="161863"/>
    <n v="0.12648968572187591"/>
    <s v="Sustainability Awareness Drive"/>
  </r>
  <r>
    <s v="A205"/>
    <x v="0"/>
    <d v="2025-09-23T00:00:00"/>
    <x v="1"/>
    <x v="3"/>
    <n v="17147"/>
    <n v="286"/>
    <n v="291"/>
    <n v="2439"/>
    <n v="45631"/>
    <n v="140494"/>
    <n v="0.12615485358805359"/>
    <s v="Apple Event September 2025"/>
  </r>
  <r>
    <s v="A24"/>
    <x v="0"/>
    <d v="2025-01-23T00:00:00"/>
    <x v="0"/>
    <x v="10"/>
    <n v="23168"/>
    <n v="1265"/>
    <n v="441"/>
    <n v="1612"/>
    <n v="66615"/>
    <n v="197795"/>
    <n v="0.12575646502692181"/>
    <s v="iPhone 16 Launch"/>
  </r>
  <r>
    <s v="A271"/>
    <x v="2"/>
    <d v="2024-10-17T00:00:00"/>
    <x v="0"/>
    <x v="7"/>
    <n v="18608"/>
    <n v="1338"/>
    <n v="365"/>
    <n v="2289"/>
    <n v="20785"/>
    <n v="161999"/>
    <n v="0.12537731714393299"/>
    <s v="Apple Watch Ultra 2 Launch"/>
  </r>
  <r>
    <s v="A131"/>
    <x v="0"/>
    <d v="2024-10-21T00:00:00"/>
    <x v="2"/>
    <x v="10"/>
    <n v="20271"/>
    <n v="512"/>
    <n v="286"/>
    <n v="1982"/>
    <n v="43225"/>
    <n v="168335"/>
    <n v="0.12516113701844536"/>
    <s v="iPhone 16 Launch"/>
  </r>
  <r>
    <s v="A36"/>
    <x v="3"/>
    <d v="2025-04-19T00:00:00"/>
    <x v="3"/>
    <x v="8"/>
    <n v="20384"/>
    <n v="344"/>
    <n v="956"/>
    <n v="655"/>
    <n v="67621"/>
    <n v="175720"/>
    <n v="0.12340086501251991"/>
    <s v="Sustainability Awareness Drive"/>
  </r>
  <r>
    <s v="A144"/>
    <x v="0"/>
    <d v="2024-10-28T00:00:00"/>
    <x v="3"/>
    <x v="9"/>
    <n v="8981"/>
    <n v="1138"/>
    <n v="764"/>
    <n v="2555"/>
    <n v="92810"/>
    <n v="88320"/>
    <n v="0.1232223731884058"/>
    <s v="MacBook Air M3 Campaign"/>
  </r>
  <r>
    <s v="A157"/>
    <x v="1"/>
    <d v="2024-07-23T00:00:00"/>
    <x v="0"/>
    <x v="9"/>
    <n v="24877"/>
    <n v="262"/>
    <n v="513"/>
    <n v="648"/>
    <n v="47544"/>
    <n v="208280"/>
    <n v="0.12316112924908777"/>
    <s v="Sustainability Awareness Drive"/>
  </r>
  <r>
    <s v="A109"/>
    <x v="2"/>
    <d v="2024-08-08T00:00:00"/>
    <x v="3"/>
    <x v="5"/>
    <n v="24355"/>
    <n v="1087"/>
    <n v="686"/>
    <n v="2426"/>
    <n v="24963"/>
    <n v="212307"/>
    <n v="0.1230670679723231"/>
    <s v="Apple Watch Ultra 2 Launch"/>
  </r>
  <r>
    <s v="A217"/>
    <x v="0"/>
    <d v="2025-09-26T00:00:00"/>
    <x v="3"/>
    <x v="2"/>
    <n v="16369"/>
    <n v="1452"/>
    <n v="493"/>
    <n v="1217"/>
    <n v="91440"/>
    <n v="149834"/>
    <n v="0.12222859965027964"/>
    <s v="Apple Event September 2025"/>
  </r>
  <r>
    <s v="A66"/>
    <x v="2"/>
    <d v="2024-07-26T00:00:00"/>
    <x v="1"/>
    <x v="5"/>
    <n v="12176"/>
    <n v="1005"/>
    <n v="862"/>
    <n v="974"/>
    <n v="2285"/>
    <n v="116619"/>
    <n v="0.12041777068916729"/>
    <s v="iPhone 16 Launch"/>
  </r>
  <r>
    <s v="A228"/>
    <x v="2"/>
    <d v="2024-07-01T00:00:00"/>
    <x v="0"/>
    <x v="7"/>
    <n v="3761"/>
    <n v="651"/>
    <n v="493"/>
    <n v="2294"/>
    <n v="71696"/>
    <n v="41177"/>
    <n v="0.11911989702989532"/>
    <s v="Apple Watch Ultra 2 Launch"/>
  </r>
  <r>
    <s v="A234"/>
    <x v="0"/>
    <d v="2024-06-01T00:00:00"/>
    <x v="2"/>
    <x v="0"/>
    <n v="19844"/>
    <n v="1022"/>
    <n v="860"/>
    <n v="2570"/>
    <n v="23719"/>
    <n v="182628"/>
    <n v="0.11896313818253498"/>
    <s v="Sustainability Awareness Drive"/>
  </r>
  <r>
    <s v="A107"/>
    <x v="2"/>
    <d v="2024-06-21T00:00:00"/>
    <x v="0"/>
    <x v="4"/>
    <n v="21216"/>
    <n v="1207"/>
    <n v="859"/>
    <n v="328"/>
    <n v="91296"/>
    <n v="196683"/>
    <n v="0.1183732198512327"/>
    <s v="Sustainability Awareness Drive"/>
  </r>
  <r>
    <s v="A63"/>
    <x v="3"/>
    <d v="2024-07-31T00:00:00"/>
    <x v="2"/>
    <x v="2"/>
    <n v="12357"/>
    <n v="716"/>
    <n v="599"/>
    <n v="999"/>
    <n v="89591"/>
    <n v="116367"/>
    <n v="0.11749035379446063"/>
    <s v="Apple Watch Ultra 2 Launch"/>
  </r>
  <r>
    <s v="A204"/>
    <x v="3"/>
    <d v="2025-09-22T00:00:00"/>
    <x v="3"/>
    <x v="1"/>
    <n v="18509"/>
    <n v="361"/>
    <n v="578"/>
    <n v="1409"/>
    <n v="10569"/>
    <n v="166969"/>
    <n v="0.11647671124580011"/>
    <s v="Apple Event September 2025"/>
  </r>
  <r>
    <s v="A250"/>
    <x v="1"/>
    <d v="2024-06-22T00:00:00"/>
    <x v="1"/>
    <x v="5"/>
    <n v="7342"/>
    <n v="906"/>
    <n v="902"/>
    <n v="1199"/>
    <n v="68488"/>
    <n v="79310"/>
    <n v="0.1153700668263775"/>
    <s v="Apple Watch Ultra 2 Launch"/>
  </r>
  <r>
    <s v="A95"/>
    <x v="2"/>
    <d v="2024-11-08T00:00:00"/>
    <x v="1"/>
    <x v="4"/>
    <n v="23499"/>
    <n v="562"/>
    <n v="964"/>
    <n v="2557"/>
    <n v="56890"/>
    <n v="218686"/>
    <n v="0.11443347996671026"/>
    <s v="iPhone 16 Launch"/>
  </r>
  <r>
    <s v="A143"/>
    <x v="0"/>
    <d v="2024-10-02T00:00:00"/>
    <x v="2"/>
    <x v="7"/>
    <n v="15716"/>
    <n v="839"/>
    <n v="639"/>
    <n v="2839"/>
    <n v="349"/>
    <n v="150677"/>
    <n v="0.11411164278556117"/>
    <s v="Sustainability Awareness Drive"/>
  </r>
  <r>
    <s v="A98"/>
    <x v="0"/>
    <d v="2024-06-10T00:00:00"/>
    <x v="0"/>
    <x v="0"/>
    <n v="21561"/>
    <n v="340"/>
    <n v="741"/>
    <n v="986"/>
    <n v="24826"/>
    <n v="198492"/>
    <n v="0.11407008846704149"/>
    <s v="Apple Watch Ultra 2 Launch"/>
  </r>
  <r>
    <s v="A161"/>
    <x v="1"/>
    <d v="2025-10-06T00:00:00"/>
    <x v="0"/>
    <x v="7"/>
    <n v="22028"/>
    <n v="355"/>
    <n v="665"/>
    <n v="1859"/>
    <n v="50565"/>
    <n v="202962"/>
    <n v="0.11355820301337197"/>
    <s v="Apple Event September 2025"/>
  </r>
  <r>
    <s v="A27"/>
    <x v="2"/>
    <d v="2024-09-17T00:00:00"/>
    <x v="1"/>
    <x v="10"/>
    <n v="20017"/>
    <n v="495"/>
    <n v="178"/>
    <n v="2683"/>
    <n v="32244"/>
    <n v="182633"/>
    <n v="0.11328730295182141"/>
    <s v="Apple Watch Ultra 2 Launch"/>
  </r>
  <r>
    <s v="A128"/>
    <x v="3"/>
    <d v="2025-01-10T00:00:00"/>
    <x v="3"/>
    <x v="9"/>
    <n v="14647"/>
    <n v="1168"/>
    <n v="484"/>
    <n v="2650"/>
    <n v="27217"/>
    <n v="144061"/>
    <n v="0.11313957281984714"/>
    <s v="iPhone 16 Launch"/>
  </r>
  <r>
    <s v="A159"/>
    <x v="3"/>
    <d v="2025-10-05T00:00:00"/>
    <x v="1"/>
    <x v="0"/>
    <n v="21262"/>
    <n v="861"/>
    <n v="676"/>
    <n v="2263"/>
    <n v="12085"/>
    <n v="201731"/>
    <n v="0.11301683925623726"/>
    <s v="Apple Event September 2025"/>
  </r>
  <r>
    <s v="A195"/>
    <x v="1"/>
    <d v="2024-08-15T00:00:00"/>
    <x v="2"/>
    <x v="10"/>
    <n v="15503"/>
    <n v="313"/>
    <n v="388"/>
    <n v="1078"/>
    <n v="11500"/>
    <n v="143754"/>
    <n v="0.1127203416948398"/>
    <s v="iPhone 16 Launch"/>
  </r>
  <r>
    <s v="A71"/>
    <x v="2"/>
    <d v="2024-09-02T00:00:00"/>
    <x v="3"/>
    <x v="4"/>
    <n v="12040"/>
    <n v="1147"/>
    <n v="210"/>
    <n v="885"/>
    <n v="30360"/>
    <n v="119530"/>
    <n v="0.1120806492094035"/>
    <s v="iPhone 16 Launch"/>
  </r>
  <r>
    <s v="A92"/>
    <x v="0"/>
    <d v="2024-10-21T00:00:00"/>
    <x v="1"/>
    <x v="6"/>
    <n v="19715"/>
    <n v="1014"/>
    <n v="718"/>
    <n v="1185"/>
    <n v="37625"/>
    <n v="191409"/>
    <n v="0.11204802282024356"/>
    <s v="Apple Watch Ultra 2 Launch"/>
  </r>
  <r>
    <s v="A225"/>
    <x v="2"/>
    <d v="2024-06-20T00:00:00"/>
    <x v="0"/>
    <x v="5"/>
    <n v="21123"/>
    <n v="1343"/>
    <n v="589"/>
    <n v="727"/>
    <n v="87833"/>
    <n v="206703"/>
    <n v="0.11153684271636116"/>
    <s v="Apple Watch Ultra 2 Launch"/>
  </r>
  <r>
    <s v="A19"/>
    <x v="0"/>
    <d v="2024-06-23T00:00:00"/>
    <x v="1"/>
    <x v="3"/>
    <n v="16512"/>
    <n v="1050"/>
    <n v="971"/>
    <n v="1891"/>
    <n v="15865"/>
    <n v="166503"/>
    <n v="0.1113073037723044"/>
    <s v="iPhone 16 Launch"/>
  </r>
  <r>
    <s v="A3"/>
    <x v="3"/>
    <d v="2025-05-12T00:00:00"/>
    <x v="1"/>
    <x v="7"/>
    <n v="19308"/>
    <n v="1318"/>
    <n v="795"/>
    <n v="1499"/>
    <n v="52307"/>
    <n v="193087"/>
    <n v="0.11093962825047776"/>
    <s v="Sustainability Awareness Drive"/>
  </r>
  <r>
    <s v="A146"/>
    <x v="1"/>
    <d v="2024-06-05T00:00:00"/>
    <x v="1"/>
    <x v="9"/>
    <n v="18907"/>
    <n v="1075"/>
    <n v="675"/>
    <n v="1383"/>
    <n v="17875"/>
    <n v="186649"/>
    <n v="0.11067297440650634"/>
    <s v="Apple Watch Ultra 2 Launch"/>
  </r>
  <r>
    <s v="A284"/>
    <x v="1"/>
    <d v="2024-09-17T00:00:00"/>
    <x v="0"/>
    <x v="0"/>
    <n v="20410"/>
    <n v="1332"/>
    <n v="472"/>
    <n v="1202"/>
    <n v="9418"/>
    <n v="200806"/>
    <n v="0.11062418453631864"/>
    <s v="Apple Watch Ultra 2 Launch"/>
  </r>
  <r>
    <s v="A235"/>
    <x v="0"/>
    <d v="2024-12-22T00:00:00"/>
    <x v="1"/>
    <x v="4"/>
    <n v="20117"/>
    <n v="1143"/>
    <n v="713"/>
    <n v="1739"/>
    <n v="34444"/>
    <n v="198670"/>
    <n v="0.11060049328031409"/>
    <s v="MacBook Air M3 Campaign"/>
  </r>
  <r>
    <s v="A282"/>
    <x v="0"/>
    <d v="2024-10-03T00:00:00"/>
    <x v="2"/>
    <x v="4"/>
    <n v="22618"/>
    <n v="641"/>
    <n v="416"/>
    <n v="1530"/>
    <n v="18395"/>
    <n v="215211"/>
    <n v="0.1100083174187193"/>
    <s v="MacBook Air M3 Campaign"/>
  </r>
  <r>
    <s v="A258"/>
    <x v="2"/>
    <d v="2024-08-05T00:00:00"/>
    <x v="0"/>
    <x v="2"/>
    <n v="20935"/>
    <n v="1104"/>
    <n v="876"/>
    <n v="1270"/>
    <n v="21454"/>
    <n v="208722"/>
    <n v="0.10978718103506099"/>
    <s v="Sustainability Awareness Drive"/>
  </r>
  <r>
    <s v="A153"/>
    <x v="3"/>
    <d v="2025-01-01T00:00:00"/>
    <x v="0"/>
    <x v="6"/>
    <n v="24574"/>
    <n v="909"/>
    <n v="280"/>
    <n v="2009"/>
    <n v="6221"/>
    <n v="236910"/>
    <n v="0.10874593727575872"/>
    <s v="MacBook Air M3 Campaign"/>
  </r>
  <r>
    <s v="A33"/>
    <x v="0"/>
    <d v="2025-09-11T00:00:00"/>
    <x v="3"/>
    <x v="10"/>
    <n v="10175"/>
    <n v="342"/>
    <n v="825"/>
    <n v="2904"/>
    <n v="15954"/>
    <n v="104324"/>
    <n v="0.10871899083624094"/>
    <s v="Apple Event September 2025"/>
  </r>
  <r>
    <s v="A183"/>
    <x v="2"/>
    <d v="2024-12-17T00:00:00"/>
    <x v="2"/>
    <x v="5"/>
    <n v="20030"/>
    <n v="485"/>
    <n v="888"/>
    <n v="1643"/>
    <n v="4322"/>
    <n v="196995"/>
    <n v="0.10864742759968526"/>
    <s v="Sustainability Awareness Drive"/>
  </r>
  <r>
    <s v="A52"/>
    <x v="2"/>
    <d v="2025-09-19T00:00:00"/>
    <x v="2"/>
    <x v="5"/>
    <n v="19100"/>
    <n v="619"/>
    <n v="297"/>
    <n v="2312"/>
    <n v="9730"/>
    <n v="184832"/>
    <n v="0.10829293628808864"/>
    <s v="Apple Event September 2025"/>
  </r>
  <r>
    <s v="A199"/>
    <x v="3"/>
    <d v="2025-09-20T00:00:00"/>
    <x v="2"/>
    <x v="5"/>
    <n v="12267"/>
    <n v="1487"/>
    <n v="489"/>
    <n v="2748"/>
    <n v="34685"/>
    <n v="131736"/>
    <n v="0.1081177506528208"/>
    <s v="Apple Event September 2025"/>
  </r>
  <r>
    <s v="A262"/>
    <x v="2"/>
    <d v="2025-01-18T00:00:00"/>
    <x v="1"/>
    <x v="9"/>
    <n v="22673"/>
    <n v="1053"/>
    <n v="169"/>
    <n v="1566"/>
    <n v="9417"/>
    <n v="221187"/>
    <n v="0.10803076130152314"/>
    <s v="iPhone 16 Launch"/>
  </r>
  <r>
    <s v="A268"/>
    <x v="0"/>
    <d v="2025-04-13T00:00:00"/>
    <x v="3"/>
    <x v="8"/>
    <n v="24700"/>
    <n v="327"/>
    <n v="999"/>
    <n v="994"/>
    <n v="59400"/>
    <n v="243502"/>
    <n v="0.10688207899729776"/>
    <s v="Sustainability Awareness Drive"/>
  </r>
  <r>
    <s v="A180"/>
    <x v="1"/>
    <d v="2025-10-11T00:00:00"/>
    <x v="3"/>
    <x v="5"/>
    <n v="15623"/>
    <n v="869"/>
    <n v="423"/>
    <n v="371"/>
    <n v="47579"/>
    <n v="158516"/>
    <n v="0.10670847106916652"/>
    <s v="Apple Event September 2025"/>
  </r>
  <r>
    <s v="A214"/>
    <x v="1"/>
    <d v="2024-12-23T00:00:00"/>
    <x v="0"/>
    <x v="7"/>
    <n v="18616"/>
    <n v="1277"/>
    <n v="734"/>
    <n v="2249"/>
    <n v="3399"/>
    <n v="193515"/>
    <n v="0.10659122031883833"/>
    <s v="iPhone 16 Launch"/>
  </r>
  <r>
    <s v="A272"/>
    <x v="0"/>
    <d v="2025-03-27T00:00:00"/>
    <x v="1"/>
    <x v="9"/>
    <n v="14819"/>
    <n v="1432"/>
    <n v="152"/>
    <n v="961"/>
    <n v="39154"/>
    <n v="154793"/>
    <n v="0.10596732410380315"/>
    <s v="iPhone 16 Launch"/>
  </r>
  <r>
    <s v="A198"/>
    <x v="0"/>
    <d v="2025-09-19T00:00:00"/>
    <x v="3"/>
    <x v="4"/>
    <n v="14772"/>
    <n v="1030"/>
    <n v="508"/>
    <n v="1876"/>
    <n v="8882"/>
    <n v="155142"/>
    <n v="0.10512949426976577"/>
    <s v="Apple Event September 2025"/>
  </r>
  <r>
    <s v="A296"/>
    <x v="0"/>
    <d v="2025-02-11T00:00:00"/>
    <x v="3"/>
    <x v="11"/>
    <n v="3619"/>
    <n v="1376"/>
    <n v="410"/>
    <n v="2499"/>
    <n v="58146"/>
    <n v="52149"/>
    <n v="0.10364532397553165"/>
    <s v="Apple Watch Ultra 2 Launch"/>
  </r>
  <r>
    <s v="A240"/>
    <x v="0"/>
    <d v="2025-09-11T00:00:00"/>
    <x v="0"/>
    <x v="0"/>
    <n v="21901"/>
    <n v="1308"/>
    <n v="724"/>
    <n v="2183"/>
    <n v="15996"/>
    <n v="230961"/>
    <n v="0.10362355549205277"/>
    <s v="Apple Event September 2025"/>
  </r>
  <r>
    <s v="A243"/>
    <x v="0"/>
    <d v="2025-03-06T00:00:00"/>
    <x v="1"/>
    <x v="10"/>
    <n v="22119"/>
    <n v="899"/>
    <n v="642"/>
    <n v="410"/>
    <n v="49490"/>
    <n v="229420"/>
    <n v="0.10312963124400662"/>
    <s v="iPhone 16 Launch"/>
  </r>
  <r>
    <s v="A290"/>
    <x v="0"/>
    <d v="2025-09-20T00:00:00"/>
    <x v="2"/>
    <x v="1"/>
    <n v="24422"/>
    <n v="327"/>
    <n v="481"/>
    <n v="2371"/>
    <n v="35340"/>
    <n v="245244"/>
    <n v="0.10287713460879777"/>
    <s v="Apple Event September 2025"/>
  </r>
  <r>
    <s v="A237"/>
    <x v="2"/>
    <d v="2024-10-22T00:00:00"/>
    <x v="3"/>
    <x v="7"/>
    <n v="7622"/>
    <n v="529"/>
    <n v="720"/>
    <n v="1015"/>
    <n v="71322"/>
    <n v="86819"/>
    <n v="0.10217809465669957"/>
    <s v="MacBook Air M3 Campaign"/>
  </r>
  <r>
    <s v="A166"/>
    <x v="3"/>
    <d v="2025-02-16T00:00:00"/>
    <x v="1"/>
    <x v="3"/>
    <n v="24195"/>
    <n v="888"/>
    <n v="165"/>
    <n v="1559"/>
    <n v="11596"/>
    <n v="249988"/>
    <n v="0.10099684784869674"/>
    <s v="Sustainability Awareness Drive"/>
  </r>
  <r>
    <s v="A122"/>
    <x v="3"/>
    <d v="2024-10-02T00:00:00"/>
    <x v="0"/>
    <x v="9"/>
    <n v="9350"/>
    <n v="1024"/>
    <n v="550"/>
    <n v="2123"/>
    <n v="53916"/>
    <n v="108785"/>
    <n v="0.10041825619340902"/>
    <s v="Sustainability Awareness Drive"/>
  </r>
  <r>
    <s v="A249"/>
    <x v="3"/>
    <d v="2024-07-18T00:00:00"/>
    <x v="0"/>
    <x v="8"/>
    <n v="11111"/>
    <n v="1222"/>
    <n v="367"/>
    <n v="507"/>
    <n v="14129"/>
    <n v="127163"/>
    <n v="9.9871818060284834E-2"/>
    <s v="MacBook Air M3 Campaign"/>
  </r>
  <r>
    <s v="A165"/>
    <x v="2"/>
    <d v="2025-10-07T00:00:00"/>
    <x v="3"/>
    <x v="5"/>
    <n v="19660"/>
    <n v="1307"/>
    <n v="310"/>
    <n v="2802"/>
    <n v="22171"/>
    <n v="213359"/>
    <n v="9.9723939463533293E-2"/>
    <s v="Apple Event September 2025"/>
  </r>
  <r>
    <s v="A10"/>
    <x v="2"/>
    <d v="2025-03-11T00:00:00"/>
    <x v="0"/>
    <x v="10"/>
    <n v="20222"/>
    <n v="712"/>
    <n v="604"/>
    <n v="1272"/>
    <n v="71598"/>
    <n v="216422"/>
    <n v="9.9518533235992648E-2"/>
    <s v="Sustainability Awareness Drive"/>
  </r>
  <r>
    <s v="A103"/>
    <x v="2"/>
    <d v="2025-09-27T00:00:00"/>
    <x v="1"/>
    <x v="6"/>
    <n v="18521"/>
    <n v="1027"/>
    <n v="230"/>
    <n v="1247"/>
    <n v="39588"/>
    <n v="200928"/>
    <n v="9.8433269628921807E-2"/>
    <s v="Apple Event September 2025"/>
  </r>
  <r>
    <s v="A118"/>
    <x v="2"/>
    <d v="2024-11-04T00:00:00"/>
    <x v="0"/>
    <x v="1"/>
    <n v="14234"/>
    <n v="1013"/>
    <n v="437"/>
    <n v="338"/>
    <n v="67754"/>
    <n v="160030"/>
    <n v="9.8006623758045364E-2"/>
    <s v="Sustainability Awareness Drive"/>
  </r>
  <r>
    <s v="A253"/>
    <x v="0"/>
    <d v="2025-09-16T00:00:00"/>
    <x v="2"/>
    <x v="8"/>
    <n v="16043"/>
    <n v="595"/>
    <n v="923"/>
    <n v="1194"/>
    <n v="52613"/>
    <n v="179978"/>
    <n v="9.757303670448611E-2"/>
    <s v="Apple Event September 2025"/>
  </r>
  <r>
    <s v="A114"/>
    <x v="2"/>
    <d v="2024-11-14T00:00:00"/>
    <x v="2"/>
    <x v="7"/>
    <n v="6300"/>
    <n v="1213"/>
    <n v="720"/>
    <n v="1037"/>
    <n v="39569"/>
    <n v="85272"/>
    <n v="9.6549863964724647E-2"/>
    <s v="iPhone 16 Launch"/>
  </r>
  <r>
    <s v="A208"/>
    <x v="0"/>
    <d v="2024-06-24T00:00:00"/>
    <x v="1"/>
    <x v="6"/>
    <n v="5596"/>
    <n v="1231"/>
    <n v="473"/>
    <n v="2251"/>
    <n v="43705"/>
    <n v="75643"/>
    <n v="9.6505955607260427E-2"/>
    <s v="Apple Watch Ultra 2 Launch"/>
  </r>
  <r>
    <s v="A263"/>
    <x v="3"/>
    <d v="2024-08-20T00:00:00"/>
    <x v="1"/>
    <x v="1"/>
    <n v="2846"/>
    <n v="792"/>
    <n v="902"/>
    <n v="2469"/>
    <n v="12130"/>
    <n v="47151"/>
    <n v="9.6286399015927546E-2"/>
    <s v="Apple Watch Ultra 2 Launch"/>
  </r>
  <r>
    <s v="A35"/>
    <x v="2"/>
    <d v="2024-11-30T00:00:00"/>
    <x v="0"/>
    <x v="3"/>
    <n v="14763"/>
    <n v="864"/>
    <n v="336"/>
    <n v="1493"/>
    <n v="33310"/>
    <n v="165932"/>
    <n v="9.6202058674637797E-2"/>
    <s v="iPhone 16 Launch"/>
  </r>
  <r>
    <s v="A26"/>
    <x v="2"/>
    <d v="2025-04-05T00:00:00"/>
    <x v="0"/>
    <x v="5"/>
    <n v="22384"/>
    <n v="601"/>
    <n v="943"/>
    <n v="515"/>
    <n v="41309"/>
    <n v="249373"/>
    <n v="9.5952649244304716E-2"/>
    <s v="Apple Watch Ultra 2 Launch"/>
  </r>
  <r>
    <s v="A238"/>
    <x v="2"/>
    <d v="2024-07-16T00:00:00"/>
    <x v="1"/>
    <x v="10"/>
    <n v="8767"/>
    <n v="974"/>
    <n v="733"/>
    <n v="1587"/>
    <n v="74927"/>
    <n v="113770"/>
    <n v="9.2062933989628198E-2"/>
    <s v="Apple Watch Ultra 2 Launch"/>
  </r>
  <r>
    <s v="A56"/>
    <x v="0"/>
    <d v="2024-12-18T00:00:00"/>
    <x v="1"/>
    <x v="10"/>
    <n v="14775"/>
    <n v="1220"/>
    <n v="640"/>
    <n v="1547"/>
    <n v="28527"/>
    <n v="183660"/>
    <n v="9.0574975498203203E-2"/>
    <s v="MacBook Air M3 Campaign"/>
  </r>
  <r>
    <s v="A266"/>
    <x v="2"/>
    <d v="2024-11-25T00:00:00"/>
    <x v="0"/>
    <x v="10"/>
    <n v="17385"/>
    <n v="831"/>
    <n v="568"/>
    <n v="2227"/>
    <n v="49351"/>
    <n v="207450"/>
    <n v="9.0547119787900698E-2"/>
    <s v="Sustainability Awareness Drive"/>
  </r>
  <r>
    <s v="A179"/>
    <x v="3"/>
    <d v="2024-07-15T00:00:00"/>
    <x v="2"/>
    <x v="3"/>
    <n v="17034"/>
    <n v="231"/>
    <n v="290"/>
    <n v="1387"/>
    <n v="63550"/>
    <n v="198280"/>
    <n v="8.8536413153116805E-2"/>
    <s v="MacBook Air M3 Campaign"/>
  </r>
  <r>
    <s v="A2"/>
    <x v="0"/>
    <d v="2025-09-03T00:00:00"/>
    <x v="2"/>
    <x v="6"/>
    <n v="4779"/>
    <n v="1110"/>
    <n v="436"/>
    <n v="1574"/>
    <n v="77167"/>
    <n v="71585"/>
    <n v="8.8356499266606131E-2"/>
    <s v="Apple Event September 2025"/>
  </r>
  <r>
    <s v="A86"/>
    <x v="1"/>
    <d v="2025-01-27T00:00:00"/>
    <x v="3"/>
    <x v="10"/>
    <n v="8949"/>
    <n v="1477"/>
    <n v="424"/>
    <n v="1030"/>
    <n v="58052"/>
    <n v="123310"/>
    <n v="8.7989619657773091E-2"/>
    <s v="Apple Watch Ultra 2 Launch"/>
  </r>
  <r>
    <s v="A57"/>
    <x v="0"/>
    <d v="2024-10-21T00:00:00"/>
    <x v="0"/>
    <x v="3"/>
    <n v="12015"/>
    <n v="1196"/>
    <n v="998"/>
    <n v="1848"/>
    <n v="44739"/>
    <n v="161750"/>
    <n v="8.7845440494590421E-2"/>
    <s v="MacBook Air M3 Campaign"/>
  </r>
  <r>
    <s v="A297"/>
    <x v="2"/>
    <d v="2024-12-24T00:00:00"/>
    <x v="2"/>
    <x v="8"/>
    <n v="10512"/>
    <n v="1197"/>
    <n v="544"/>
    <n v="2012"/>
    <n v="10245"/>
    <n v="140102"/>
    <n v="8.745770938316369E-2"/>
    <s v="Apple Watch Ultra 2 Launch"/>
  </r>
  <r>
    <s v="A137"/>
    <x v="3"/>
    <d v="2024-07-31T00:00:00"/>
    <x v="3"/>
    <x v="4"/>
    <n v="13314"/>
    <n v="274"/>
    <n v="626"/>
    <n v="2280"/>
    <n v="14639"/>
    <n v="163008"/>
    <n v="8.7198174322732622E-2"/>
    <s v="iPhone 16 Launch"/>
  </r>
  <r>
    <s v="A29"/>
    <x v="0"/>
    <d v="2025-09-10T00:00:00"/>
    <x v="3"/>
    <x v="8"/>
    <n v="9266"/>
    <n v="999"/>
    <n v="928"/>
    <n v="2700"/>
    <n v="12264"/>
    <n v="128397"/>
    <n v="8.7174933993784898E-2"/>
    <s v="Apple Event September 2025"/>
  </r>
  <r>
    <s v="A34"/>
    <x v="2"/>
    <d v="2025-09-12T00:00:00"/>
    <x v="1"/>
    <x v="7"/>
    <n v="17158"/>
    <n v="1192"/>
    <n v="262"/>
    <n v="2016"/>
    <n v="28771"/>
    <n v="216037"/>
    <n v="8.6151909163708074E-2"/>
    <s v="Apple Event September 2025"/>
  </r>
  <r>
    <s v="A64"/>
    <x v="3"/>
    <d v="2024-08-17T00:00:00"/>
    <x v="0"/>
    <x v="1"/>
    <n v="19154"/>
    <n v="1064"/>
    <n v="650"/>
    <n v="747"/>
    <n v="42667"/>
    <n v="242332"/>
    <n v="8.6113266097750191E-2"/>
    <s v="Sustainability Awareness Drive"/>
  </r>
  <r>
    <s v="A55"/>
    <x v="1"/>
    <d v="2024-06-17T00:00:00"/>
    <x v="3"/>
    <x v="2"/>
    <n v="6976"/>
    <n v="1320"/>
    <n v="393"/>
    <n v="2285"/>
    <n v="14049"/>
    <n v="101367"/>
    <n v="8.5718231771681114E-2"/>
    <s v="MacBook Air M3 Campaign"/>
  </r>
  <r>
    <s v="A259"/>
    <x v="0"/>
    <d v="2025-02-10T00:00:00"/>
    <x v="3"/>
    <x v="6"/>
    <n v="16309"/>
    <n v="1449"/>
    <n v="838"/>
    <n v="2434"/>
    <n v="2940"/>
    <n v="217953"/>
    <n v="8.5321147219813445E-2"/>
    <s v="iPhone 16 Launch"/>
  </r>
  <r>
    <s v="A25"/>
    <x v="0"/>
    <d v="2025-09-09T00:00:00"/>
    <x v="0"/>
    <x v="5"/>
    <n v="15772"/>
    <n v="288"/>
    <n v="520"/>
    <n v="1585"/>
    <n v="59182"/>
    <n v="194351"/>
    <n v="8.5309568769905988E-2"/>
    <s v="Apple Event September 2025"/>
  </r>
  <r>
    <s v="A213"/>
    <x v="3"/>
    <d v="2025-05-01T00:00:00"/>
    <x v="1"/>
    <x v="10"/>
    <n v="10258"/>
    <n v="527"/>
    <n v="854"/>
    <n v="2068"/>
    <n v="45632"/>
    <n v="136546"/>
    <n v="8.5238674146441498E-2"/>
    <s v="MacBook Air M3 Campaign"/>
  </r>
  <r>
    <s v="A255"/>
    <x v="3"/>
    <d v="2025-04-03T00:00:00"/>
    <x v="2"/>
    <x v="11"/>
    <n v="10837"/>
    <n v="1004"/>
    <n v="922"/>
    <n v="1108"/>
    <n v="36807"/>
    <n v="150350"/>
    <n v="8.4888593282341204E-2"/>
    <s v="Sustainability Awareness Drive"/>
  </r>
  <r>
    <s v="A8"/>
    <x v="3"/>
    <d v="2024-07-13T00:00:00"/>
    <x v="0"/>
    <x v="5"/>
    <n v="18639"/>
    <n v="1360"/>
    <n v="898"/>
    <n v="2011"/>
    <n v="42841"/>
    <n v="247779"/>
    <n v="8.4337252148083575E-2"/>
    <s v="iPhone 16 Launch"/>
  </r>
  <r>
    <s v="A215"/>
    <x v="1"/>
    <d v="2025-09-25T00:00:00"/>
    <x v="0"/>
    <x v="9"/>
    <n v="8371"/>
    <n v="960"/>
    <n v="548"/>
    <n v="2936"/>
    <n v="82543"/>
    <n v="119973"/>
    <n v="8.2343527293641069E-2"/>
    <s v="Apple Event September 2025"/>
  </r>
  <r>
    <s v="A117"/>
    <x v="3"/>
    <d v="2024-11-04T00:00:00"/>
    <x v="2"/>
    <x v="3"/>
    <n v="14015"/>
    <n v="978"/>
    <n v="196"/>
    <n v="2744"/>
    <n v="20190"/>
    <n v="186470"/>
    <n v="8.1455462004611998E-2"/>
    <s v="Sustainability Awareness Drive"/>
  </r>
  <r>
    <s v="A176"/>
    <x v="2"/>
    <d v="2025-10-09T00:00:00"/>
    <x v="3"/>
    <x v="7"/>
    <n v="18748"/>
    <n v="634"/>
    <n v="400"/>
    <n v="1667"/>
    <n v="75813"/>
    <n v="244456"/>
    <n v="8.0922538207284747E-2"/>
    <s v="Apple Event September 2025"/>
  </r>
  <r>
    <s v="A175"/>
    <x v="0"/>
    <d v="2025-10-08T00:00:00"/>
    <x v="1"/>
    <x v="3"/>
    <n v="17745"/>
    <n v="414"/>
    <n v="563"/>
    <n v="2733"/>
    <n v="995"/>
    <n v="231648"/>
    <n v="8.0820900676889074E-2"/>
    <s v="Apple Event September 2025"/>
  </r>
  <r>
    <s v="A212"/>
    <x v="1"/>
    <d v="2025-03-03T00:00:00"/>
    <x v="0"/>
    <x v="2"/>
    <n v="9561"/>
    <n v="642"/>
    <n v="581"/>
    <n v="2572"/>
    <n v="38552"/>
    <n v="133680"/>
    <n v="8.0670257330939563E-2"/>
    <s v="Apple Watch Ultra 2 Launch"/>
  </r>
  <r>
    <s v="A172"/>
    <x v="3"/>
    <d v="2024-08-14T00:00:00"/>
    <x v="3"/>
    <x v="11"/>
    <n v="10150"/>
    <n v="526"/>
    <n v="888"/>
    <n v="1313"/>
    <n v="51605"/>
    <n v="143409"/>
    <n v="8.0636501195880311E-2"/>
    <s v="Apple Watch Ultra 2 Launch"/>
  </r>
  <r>
    <s v="A191"/>
    <x v="1"/>
    <d v="2025-10-14T00:00:00"/>
    <x v="3"/>
    <x v="9"/>
    <n v="9673"/>
    <n v="393"/>
    <n v="846"/>
    <n v="1028"/>
    <n v="55556"/>
    <n v="136652"/>
    <n v="7.9852471972601938E-2"/>
    <s v="Apple Event September 2025"/>
  </r>
  <r>
    <s v="A227"/>
    <x v="3"/>
    <d v="2024-06-12T00:00:00"/>
    <x v="1"/>
    <x v="6"/>
    <n v="17679"/>
    <n v="690"/>
    <n v="451"/>
    <n v="2195"/>
    <n v="4390"/>
    <n v="235804"/>
    <n v="7.9812047293514959E-2"/>
    <s v="MacBook Air M3 Campaign"/>
  </r>
  <r>
    <s v="A267"/>
    <x v="0"/>
    <d v="2024-10-04T00:00:00"/>
    <x v="0"/>
    <x v="3"/>
    <n v="15746"/>
    <n v="258"/>
    <n v="839"/>
    <n v="2656"/>
    <n v="66614"/>
    <n v="213724"/>
    <n v="7.8807246729426739E-2"/>
    <s v="Sustainability Awareness Drive"/>
  </r>
  <r>
    <s v="A59"/>
    <x v="1"/>
    <d v="2024-06-22T00:00:00"/>
    <x v="2"/>
    <x v="5"/>
    <n v="16430"/>
    <n v="488"/>
    <n v="514"/>
    <n v="1436"/>
    <n v="30059"/>
    <n v="223305"/>
    <n v="7.8063634938760881E-2"/>
    <s v="iPhone 16 Launch"/>
  </r>
  <r>
    <s v="A124"/>
    <x v="1"/>
    <d v="2025-04-06T00:00:00"/>
    <x v="1"/>
    <x v="9"/>
    <n v="8238"/>
    <n v="766"/>
    <n v="235"/>
    <n v="1273"/>
    <n v="4706"/>
    <n v="119141"/>
    <n v="7.7546772311798629E-2"/>
    <s v="iPhone 16 Launch"/>
  </r>
  <r>
    <s v="A101"/>
    <x v="1"/>
    <d v="2024-10-18T00:00:00"/>
    <x v="3"/>
    <x v="6"/>
    <n v="6892"/>
    <n v="1184"/>
    <n v="925"/>
    <n v="1062"/>
    <n v="75008"/>
    <n v="116260"/>
    <n v="7.7421297092723204E-2"/>
    <s v="MacBook Air M3 Campaign"/>
  </r>
  <r>
    <s v="A278"/>
    <x v="2"/>
    <d v="2024-11-26T00:00:00"/>
    <x v="0"/>
    <x v="0"/>
    <n v="14607"/>
    <n v="1458"/>
    <n v="478"/>
    <n v="334"/>
    <n v="49257"/>
    <n v="214668"/>
    <n v="7.7063185942944451E-2"/>
    <s v="iPhone 16 Launch"/>
  </r>
  <r>
    <s v="A11"/>
    <x v="1"/>
    <d v="2025-02-02T00:00:00"/>
    <x v="3"/>
    <x v="4"/>
    <n v="12136"/>
    <n v="1117"/>
    <n v="834"/>
    <n v="892"/>
    <n v="24675"/>
    <n v="183273"/>
    <n v="7.6863476889667326E-2"/>
    <s v="Sustainability Awareness Drive"/>
  </r>
  <r>
    <s v="A277"/>
    <x v="3"/>
    <d v="2025-04-06T00:00:00"/>
    <x v="2"/>
    <x v="8"/>
    <n v="14941"/>
    <n v="1424"/>
    <n v="238"/>
    <n v="1054"/>
    <n v="20516"/>
    <n v="216048"/>
    <n v="7.6848663260016298E-2"/>
    <s v="MacBook Air M3 Campaign"/>
  </r>
  <r>
    <s v="A116"/>
    <x v="0"/>
    <d v="2025-03-18T00:00:00"/>
    <x v="2"/>
    <x v="5"/>
    <n v="5818"/>
    <n v="1252"/>
    <n v="687"/>
    <n v="2300"/>
    <n v="25081"/>
    <n v="101212"/>
    <n v="7.6641109749832043E-2"/>
    <s v="MacBook Air M3 Campaign"/>
  </r>
  <r>
    <s v="A112"/>
    <x v="1"/>
    <d v="2024-10-05T00:00:00"/>
    <x v="3"/>
    <x v="6"/>
    <n v="16388"/>
    <n v="1208"/>
    <n v="417"/>
    <n v="2306"/>
    <n v="16865"/>
    <n v="236733"/>
    <n v="7.6089940988370866E-2"/>
    <s v="Apple Watch Ultra 2 Launch"/>
  </r>
  <r>
    <s v="A211"/>
    <x v="1"/>
    <d v="2025-09-24T00:00:00"/>
    <x v="2"/>
    <x v="8"/>
    <n v="11795"/>
    <n v="958"/>
    <n v="814"/>
    <n v="301"/>
    <n v="12564"/>
    <n v="179999"/>
    <n v="7.5372640959116444E-2"/>
    <s v="Apple Event September 2025"/>
  </r>
  <r>
    <s v="A233"/>
    <x v="0"/>
    <d v="2025-03-08T00:00:00"/>
    <x v="2"/>
    <x v="2"/>
    <n v="5812"/>
    <n v="934"/>
    <n v="302"/>
    <n v="2356"/>
    <n v="37437"/>
    <n v="93551"/>
    <n v="7.5338585370546551E-2"/>
    <s v="Apple Watch Ultra 2 Launch"/>
  </r>
  <r>
    <s v="A239"/>
    <x v="1"/>
    <d v="2025-09-10T00:00:00"/>
    <x v="2"/>
    <x v="6"/>
    <n v="13613"/>
    <n v="350"/>
    <n v="809"/>
    <n v="2013"/>
    <n v="20471"/>
    <n v="198038"/>
    <n v="7.4591745018632791E-2"/>
    <s v="Apple Event September 2025"/>
  </r>
  <r>
    <s v="A17"/>
    <x v="0"/>
    <d v="2025-05-05T00:00:00"/>
    <x v="1"/>
    <x v="3"/>
    <n v="10415"/>
    <n v="1388"/>
    <n v="725"/>
    <n v="2462"/>
    <n v="53082"/>
    <n v="168267"/>
    <n v="7.4453101321114656E-2"/>
    <s v="MacBook Air M3 Campaign"/>
  </r>
  <r>
    <s v="A252"/>
    <x v="3"/>
    <d v="2025-04-28T00:00:00"/>
    <x v="3"/>
    <x v="3"/>
    <n v="10659"/>
    <n v="1342"/>
    <n v="408"/>
    <n v="709"/>
    <n v="16309"/>
    <n v="168803"/>
    <n v="7.3511726687321907E-2"/>
    <s v="Sustainability Awareness Drive"/>
  </r>
  <r>
    <s v="A209"/>
    <x v="2"/>
    <d v="2025-03-19T00:00:00"/>
    <x v="3"/>
    <x v="4"/>
    <n v="13475"/>
    <n v="1032"/>
    <n v="295"/>
    <n v="541"/>
    <n v="43666"/>
    <n v="202396"/>
    <n v="7.3133856400324118E-2"/>
    <s v="MacBook Air M3 Campaign"/>
  </r>
  <r>
    <s v="A18"/>
    <x v="0"/>
    <d v="2024-08-19T00:00:00"/>
    <x v="2"/>
    <x v="5"/>
    <n v="15550"/>
    <n v="204"/>
    <n v="279"/>
    <n v="1646"/>
    <n v="35819"/>
    <n v="219436"/>
    <n v="7.306458375107093E-2"/>
    <s v="Apple Watch Ultra 2 Launch"/>
  </r>
  <r>
    <s v="A229"/>
    <x v="3"/>
    <d v="2024-07-03T00:00:00"/>
    <x v="0"/>
    <x v="6"/>
    <n v="12167"/>
    <n v="364"/>
    <n v="160"/>
    <n v="616"/>
    <n v="42228"/>
    <n v="175832"/>
    <n v="7.2176850630146963E-2"/>
    <s v="Sustainability Awareness Drive"/>
  </r>
  <r>
    <s v="A89"/>
    <x v="0"/>
    <d v="2025-09-23T00:00:00"/>
    <x v="2"/>
    <x v="11"/>
    <n v="10017"/>
    <n v="1357"/>
    <n v="966"/>
    <n v="2871"/>
    <n v="14800"/>
    <n v="171691"/>
    <n v="7.1873307278774071E-2"/>
    <s v="Apple Event September 2025"/>
  </r>
  <r>
    <s v="A177"/>
    <x v="1"/>
    <d v="2024-07-10T00:00:00"/>
    <x v="2"/>
    <x v="9"/>
    <n v="8809"/>
    <n v="1151"/>
    <n v="908"/>
    <n v="883"/>
    <n v="42921"/>
    <n v="151279"/>
    <n v="7.1840771025720687E-2"/>
    <s v="MacBook Air M3 Campaign"/>
  </r>
  <r>
    <s v="A192"/>
    <x v="1"/>
    <d v="2025-10-15T00:00:00"/>
    <x v="2"/>
    <x v="5"/>
    <n v="8882"/>
    <n v="701"/>
    <n v="421"/>
    <n v="2343"/>
    <n v="13588"/>
    <n v="139304"/>
    <n v="7.1814161833113191E-2"/>
    <s v="Apple Event September 2025"/>
  </r>
  <r>
    <s v="A115"/>
    <x v="1"/>
    <d v="2025-09-30T00:00:00"/>
    <x v="1"/>
    <x v="2"/>
    <n v="8269"/>
    <n v="250"/>
    <n v="638"/>
    <n v="815"/>
    <n v="41991"/>
    <n v="129393"/>
    <n v="7.0768897853825175E-2"/>
    <s v="Apple Event September 2025"/>
  </r>
  <r>
    <s v="A257"/>
    <x v="1"/>
    <d v="2025-04-06T00:00:00"/>
    <x v="3"/>
    <x v="3"/>
    <n v="15917"/>
    <n v="1479"/>
    <n v="196"/>
    <n v="313"/>
    <n v="48524"/>
    <n v="249684"/>
    <n v="7.0457057720959296E-2"/>
    <s v="iPhone 16 Launch"/>
  </r>
  <r>
    <s v="A291"/>
    <x v="3"/>
    <d v="2024-11-06T00:00:00"/>
    <x v="2"/>
    <x v="0"/>
    <n v="11865"/>
    <n v="241"/>
    <n v="319"/>
    <n v="703"/>
    <n v="69596"/>
    <n v="177513"/>
    <n v="6.999487361489018E-2"/>
    <s v="iPhone 16 Launch"/>
  </r>
  <r>
    <s v="A299"/>
    <x v="3"/>
    <d v="2025-09-25T00:00:00"/>
    <x v="3"/>
    <x v="9"/>
    <n v="12568"/>
    <n v="541"/>
    <n v="273"/>
    <n v="2767"/>
    <n v="22331"/>
    <n v="192747"/>
    <n v="6.9427799135654514E-2"/>
    <s v="Apple Event September 2025"/>
  </r>
  <r>
    <s v="A45"/>
    <x v="0"/>
    <d v="2025-09-17T00:00:00"/>
    <x v="1"/>
    <x v="0"/>
    <n v="15456"/>
    <n v="590"/>
    <n v="555"/>
    <n v="2882"/>
    <n v="49816"/>
    <n v="240422"/>
    <n v="6.9049421433978589E-2"/>
    <s v="Apple Event September 2025"/>
  </r>
  <r>
    <s v="A37"/>
    <x v="0"/>
    <d v="2025-01-06T00:00:00"/>
    <x v="2"/>
    <x v="7"/>
    <n v="11860"/>
    <n v="1448"/>
    <n v="893"/>
    <n v="490"/>
    <n v="23518"/>
    <n v="206205"/>
    <n v="6.8868359157149436E-2"/>
    <s v="Apple Watch Ultra 2 Launch"/>
  </r>
  <r>
    <s v="A162"/>
    <x v="3"/>
    <d v="2025-04-01T00:00:00"/>
    <x v="2"/>
    <x v="0"/>
    <n v="6432"/>
    <n v="1272"/>
    <n v="498"/>
    <n v="677"/>
    <n v="47305"/>
    <n v="119134"/>
    <n v="6.8846844729464299E-2"/>
    <s v="Apple Watch Ultra 2 Launch"/>
  </r>
  <r>
    <s v="A279"/>
    <x v="3"/>
    <d v="2024-09-02T00:00:00"/>
    <x v="0"/>
    <x v="4"/>
    <n v="11765"/>
    <n v="693"/>
    <n v="729"/>
    <n v="744"/>
    <n v="97772"/>
    <n v="194243"/>
    <n v="6.7889190344053579E-2"/>
    <s v="Apple Watch Ultra 2 Launch"/>
  </r>
  <r>
    <s v="A241"/>
    <x v="2"/>
    <d v="2025-01-18T00:00:00"/>
    <x v="1"/>
    <x v="9"/>
    <n v="12589"/>
    <n v="346"/>
    <n v="459"/>
    <n v="1407"/>
    <n v="29254"/>
    <n v="198059"/>
    <n v="6.7626313371268162E-2"/>
    <s v="Sustainability Awareness Drive"/>
  </r>
  <r>
    <s v="A111"/>
    <x v="0"/>
    <d v="2024-11-23T00:00:00"/>
    <x v="1"/>
    <x v="1"/>
    <n v="9941"/>
    <n v="1329"/>
    <n v="238"/>
    <n v="869"/>
    <n v="40281"/>
    <n v="172311"/>
    <n v="6.6786217943137702E-2"/>
    <s v="Sustainability Awareness Drive"/>
  </r>
  <r>
    <s v="A99"/>
    <x v="2"/>
    <d v="2024-07-02T00:00:00"/>
    <x v="3"/>
    <x v="0"/>
    <n v="12320"/>
    <n v="1157"/>
    <n v="365"/>
    <n v="584"/>
    <n v="66634"/>
    <n v="210102"/>
    <n v="6.5882285746922925E-2"/>
    <s v="iPhone 16 Launch"/>
  </r>
  <r>
    <s v="A222"/>
    <x v="1"/>
    <d v="2024-10-08T00:00:00"/>
    <x v="1"/>
    <x v="8"/>
    <n v="8738"/>
    <n v="295"/>
    <n v="529"/>
    <n v="442"/>
    <n v="25286"/>
    <n v="147522"/>
    <n v="6.4817450956467515E-2"/>
    <s v="iPhone 16 Launch"/>
  </r>
  <r>
    <s v="A54"/>
    <x v="0"/>
    <d v="2025-03-13T00:00:00"/>
    <x v="3"/>
    <x v="7"/>
    <n v="6544"/>
    <n v="749"/>
    <n v="888"/>
    <n v="594"/>
    <n v="18171"/>
    <n v="126475"/>
    <n v="6.4684720300454635E-2"/>
    <s v="Sustainability Awareness Drive"/>
  </r>
  <r>
    <s v="A218"/>
    <x v="3"/>
    <d v="2024-06-11T00:00:00"/>
    <x v="0"/>
    <x v="8"/>
    <n v="14910"/>
    <n v="778"/>
    <n v="289"/>
    <n v="2541"/>
    <n v="14309"/>
    <n v="247815"/>
    <n v="6.4471480741682297E-2"/>
    <s v="Sustainability Awareness Drive"/>
  </r>
  <r>
    <s v="A154"/>
    <x v="1"/>
    <d v="2024-10-09T00:00:00"/>
    <x v="0"/>
    <x v="10"/>
    <n v="7240"/>
    <n v="1384"/>
    <n v="954"/>
    <n v="2335"/>
    <n v="6757"/>
    <n v="150448"/>
    <n v="6.3663192598106988E-2"/>
    <s v="Sustainability Awareness Drive"/>
  </r>
  <r>
    <s v="A210"/>
    <x v="3"/>
    <d v="2025-02-19T00:00:00"/>
    <x v="0"/>
    <x v="10"/>
    <n v="8168"/>
    <n v="512"/>
    <n v="442"/>
    <n v="2343"/>
    <n v="2753"/>
    <n v="143896"/>
    <n v="6.3393006059932172E-2"/>
    <s v="MacBook Air M3 Campaign"/>
  </r>
  <r>
    <s v="A149"/>
    <x v="3"/>
    <d v="2024-06-16T00:00:00"/>
    <x v="1"/>
    <x v="2"/>
    <n v="12160"/>
    <n v="1405"/>
    <n v="769"/>
    <n v="1980"/>
    <n v="33174"/>
    <n v="226481"/>
    <n v="6.329007731332871E-2"/>
    <s v="Apple Watch Ultra 2 Launch"/>
  </r>
  <r>
    <s v="A295"/>
    <x v="2"/>
    <d v="2025-05-06T00:00:00"/>
    <x v="3"/>
    <x v="2"/>
    <n v="7287"/>
    <n v="1240"/>
    <n v="686"/>
    <n v="1255"/>
    <n v="15403"/>
    <n v="147971"/>
    <n v="6.2262200025680704E-2"/>
    <s v="Apple Watch Ultra 2 Launch"/>
  </r>
  <r>
    <s v="A85"/>
    <x v="1"/>
    <d v="2025-04-19T00:00:00"/>
    <x v="2"/>
    <x v="0"/>
    <n v="8881"/>
    <n v="210"/>
    <n v="673"/>
    <n v="1565"/>
    <n v="24847"/>
    <n v="156891"/>
    <n v="6.223429004850501E-2"/>
    <s v="Sustainability Awareness Drive"/>
  </r>
  <r>
    <s v="A156"/>
    <x v="2"/>
    <d v="2024-10-22T00:00:00"/>
    <x v="1"/>
    <x v="0"/>
    <n v="12478"/>
    <n v="484"/>
    <n v="332"/>
    <n v="2734"/>
    <n v="43338"/>
    <n v="213895"/>
    <n v="6.2151990462610156E-2"/>
    <s v="iPhone 16 Launch"/>
  </r>
  <r>
    <s v="A270"/>
    <x v="1"/>
    <d v="2025-01-15T00:00:00"/>
    <x v="1"/>
    <x v="6"/>
    <n v="11333"/>
    <n v="920"/>
    <n v="294"/>
    <n v="606"/>
    <n v="59490"/>
    <n v="202082"/>
    <n v="6.2088657079799291E-2"/>
    <s v="Sustainability Awareness Drive"/>
  </r>
  <r>
    <s v="A169"/>
    <x v="1"/>
    <d v="2024-12-03T00:00:00"/>
    <x v="2"/>
    <x v="0"/>
    <n v="2055"/>
    <n v="675"/>
    <n v="257"/>
    <n v="820"/>
    <n v="33534"/>
    <n v="48125"/>
    <n v="6.2067532467532466E-2"/>
    <s v="Apple Watch Ultra 2 Launch"/>
  </r>
  <r>
    <s v="A81"/>
    <x v="1"/>
    <d v="2024-10-19T00:00:00"/>
    <x v="3"/>
    <x v="4"/>
    <n v="6673"/>
    <n v="826"/>
    <n v="321"/>
    <n v="577"/>
    <n v="19262"/>
    <n v="132324"/>
    <n v="5.9097367068710133E-2"/>
    <s v="MacBook Air M3 Campaign"/>
  </r>
  <r>
    <s v="A48"/>
    <x v="1"/>
    <d v="2025-03-11T00:00:00"/>
    <x v="3"/>
    <x v="2"/>
    <n v="7997"/>
    <n v="1238"/>
    <n v="438"/>
    <n v="1874"/>
    <n v="36272"/>
    <n v="165818"/>
    <n v="5.8335042034037318E-2"/>
    <s v="MacBook Air M3 Campaign"/>
  </r>
  <r>
    <s v="A15"/>
    <x v="0"/>
    <d v="2025-09-07T00:00:00"/>
    <x v="1"/>
    <x v="7"/>
    <n v="3015"/>
    <n v="997"/>
    <n v="783"/>
    <n v="617"/>
    <n v="77167"/>
    <n v="82229"/>
    <n v="5.8312760704860814E-2"/>
    <s v="Apple Event September 2025"/>
  </r>
  <r>
    <s v="A288"/>
    <x v="3"/>
    <d v="2025-04-17T00:00:00"/>
    <x v="1"/>
    <x v="5"/>
    <n v="2009"/>
    <n v="1037"/>
    <n v="344"/>
    <n v="2277"/>
    <n v="85743"/>
    <n v="58743"/>
    <n v="5.7709003625963942E-2"/>
    <s v="iPhone 16 Launch"/>
  </r>
  <r>
    <s v="A32"/>
    <x v="3"/>
    <d v="2024-07-31T00:00:00"/>
    <x v="2"/>
    <x v="3"/>
    <n v="2404"/>
    <n v="774"/>
    <n v="661"/>
    <n v="662"/>
    <n v="12676"/>
    <n v="66916"/>
    <n v="5.7370434574690654E-2"/>
    <s v="Apple Watch Ultra 2 Launch"/>
  </r>
  <r>
    <s v="A133"/>
    <x v="3"/>
    <d v="2025-02-06T00:00:00"/>
    <x v="2"/>
    <x v="2"/>
    <n v="2666"/>
    <n v="1136"/>
    <n v="989"/>
    <n v="1710"/>
    <n v="36467"/>
    <n v="83753"/>
    <n v="5.7203921053574198E-2"/>
    <s v="Sustainability Awareness Drive"/>
  </r>
  <r>
    <s v="A28"/>
    <x v="2"/>
    <d v="2025-03-04T00:00:00"/>
    <x v="1"/>
    <x v="1"/>
    <n v="12344"/>
    <n v="815"/>
    <n v="298"/>
    <n v="2439"/>
    <n v="6259"/>
    <n v="237133"/>
    <n v="5.6748744375519224E-2"/>
    <s v="iPhone 16 Launch"/>
  </r>
  <r>
    <s v="A96"/>
    <x v="2"/>
    <d v="2024-09-10T00:00:00"/>
    <x v="3"/>
    <x v="5"/>
    <n v="6637"/>
    <n v="595"/>
    <n v="161"/>
    <n v="2653"/>
    <n v="19334"/>
    <n v="131155"/>
    <n v="5.6368419046166747E-2"/>
    <s v="Sustainability Awareness Drive"/>
  </r>
  <r>
    <s v="A87"/>
    <x v="2"/>
    <d v="2024-06-06T00:00:00"/>
    <x v="1"/>
    <x v="10"/>
    <n v="11521"/>
    <n v="1071"/>
    <n v="762"/>
    <n v="2539"/>
    <n v="12701"/>
    <n v="238350"/>
    <n v="5.6026851269142017E-2"/>
    <s v="Sustainability Awareness Drive"/>
  </r>
  <r>
    <s v="A49"/>
    <x v="2"/>
    <d v="2025-09-18T00:00:00"/>
    <x v="3"/>
    <x v="3"/>
    <n v="4048"/>
    <n v="677"/>
    <n v="911"/>
    <n v="2429"/>
    <n v="27361"/>
    <n v="101272"/>
    <n v="5.5652105221581483E-2"/>
    <s v="Apple Event September 2025"/>
  </r>
  <r>
    <s v="A20"/>
    <x v="1"/>
    <d v="2024-09-09T00:00:00"/>
    <x v="0"/>
    <x v="7"/>
    <n v="6158"/>
    <n v="277"/>
    <n v="512"/>
    <n v="2189"/>
    <n v="76881"/>
    <n v="124878"/>
    <n v="5.563029516808405E-2"/>
    <s v="iPhone 16 Launch"/>
  </r>
  <r>
    <s v="A102"/>
    <x v="2"/>
    <d v="2025-09-26T00:00:00"/>
    <x v="3"/>
    <x v="1"/>
    <n v="9043"/>
    <n v="1192"/>
    <n v="810"/>
    <n v="1550"/>
    <n v="5221"/>
    <n v="199476"/>
    <n v="5.5370069582305642E-2"/>
    <s v="Apple Event September 2025"/>
  </r>
  <r>
    <s v="A69"/>
    <x v="0"/>
    <d v="2025-03-08T00:00:00"/>
    <x v="1"/>
    <x v="5"/>
    <n v="10580"/>
    <n v="427"/>
    <n v="790"/>
    <n v="2814"/>
    <n v="24916"/>
    <n v="213312"/>
    <n v="5.530396789678968E-2"/>
    <s v="MacBook Air M3 Campaign"/>
  </r>
  <r>
    <s v="A120"/>
    <x v="3"/>
    <d v="2024-10-21T00:00:00"/>
    <x v="0"/>
    <x v="4"/>
    <n v="8254"/>
    <n v="1405"/>
    <n v="165"/>
    <n v="2504"/>
    <n v="8081"/>
    <n v="177710"/>
    <n v="5.5281075910190762E-2"/>
    <s v="Apple Watch Ultra 2 Launch"/>
  </r>
  <r>
    <s v="A293"/>
    <x v="3"/>
    <d v="2025-05-14T00:00:00"/>
    <x v="2"/>
    <x v="3"/>
    <n v="9041"/>
    <n v="1133"/>
    <n v="612"/>
    <n v="1687"/>
    <n v="28102"/>
    <n v="195683"/>
    <n v="5.5119760020032396E-2"/>
    <s v="iPhone 16 Launch"/>
  </r>
  <r>
    <s v="A113"/>
    <x v="0"/>
    <d v="2025-09-29T00:00:00"/>
    <x v="0"/>
    <x v="9"/>
    <n v="7569"/>
    <n v="803"/>
    <n v="804"/>
    <n v="1753"/>
    <n v="43582"/>
    <n v="166945"/>
    <n v="5.4964209769684629E-2"/>
    <s v="Apple Event September 2025"/>
  </r>
  <r>
    <s v="A197"/>
    <x v="2"/>
    <d v="2024-10-22T00:00:00"/>
    <x v="1"/>
    <x v="7"/>
    <n v="7750"/>
    <n v="1146"/>
    <n v="415"/>
    <n v="1411"/>
    <n v="85339"/>
    <n v="172439"/>
    <n v="5.3995905798572247E-2"/>
    <s v="Sustainability Awareness Drive"/>
  </r>
  <r>
    <s v="A94"/>
    <x v="2"/>
    <d v="2024-11-07T00:00:00"/>
    <x v="3"/>
    <x v="10"/>
    <n v="11550"/>
    <n v="501"/>
    <n v="646"/>
    <n v="773"/>
    <n v="17841"/>
    <n v="237576"/>
    <n v="5.3443950567397383E-2"/>
    <s v="iPhone 16 Launch"/>
  </r>
  <r>
    <s v="A30"/>
    <x v="0"/>
    <d v="2025-02-25T00:00:00"/>
    <x v="3"/>
    <x v="9"/>
    <n v="10702"/>
    <n v="621"/>
    <n v="445"/>
    <n v="2918"/>
    <n v="54808"/>
    <n v="220225"/>
    <n v="5.3436258372119426E-2"/>
    <s v="Apple Watch Ultra 2 Launch"/>
  </r>
  <r>
    <s v="A12"/>
    <x v="1"/>
    <d v="2024-07-21T00:00:00"/>
    <x v="1"/>
    <x v="6"/>
    <n v="2009"/>
    <n v="1072"/>
    <n v="550"/>
    <n v="1437"/>
    <n v="22982"/>
    <n v="69426"/>
    <n v="5.2300290957278256E-2"/>
    <s v="iPhone 16 Launch"/>
  </r>
  <r>
    <s v="A269"/>
    <x v="1"/>
    <d v="2024-11-05T00:00:00"/>
    <x v="1"/>
    <x v="8"/>
    <n v="8469"/>
    <n v="935"/>
    <n v="211"/>
    <n v="2635"/>
    <n v="21890"/>
    <n v="184539"/>
    <n v="5.2102807536618279E-2"/>
    <s v="MacBook Air M3 Campaign"/>
  </r>
  <r>
    <s v="A9"/>
    <x v="1"/>
    <d v="2024-08-30T00:00:00"/>
    <x v="3"/>
    <x v="6"/>
    <n v="6804"/>
    <n v="787"/>
    <n v="970"/>
    <n v="1095"/>
    <n v="56343"/>
    <n v="164677"/>
    <n v="5.1986616224487935E-2"/>
    <s v="Apple Watch Ultra 2 Launch"/>
  </r>
  <r>
    <s v="A31"/>
    <x v="3"/>
    <d v="2024-12-16T00:00:00"/>
    <x v="2"/>
    <x v="4"/>
    <n v="2384"/>
    <n v="1246"/>
    <n v="160"/>
    <n v="2004"/>
    <n v="2701"/>
    <n v="73142"/>
    <n v="5.1817013480626728E-2"/>
    <s v="Apple Watch Ultra 2 Launch"/>
  </r>
  <r>
    <s v="A22"/>
    <x v="3"/>
    <d v="2025-02-27T00:00:00"/>
    <x v="2"/>
    <x v="0"/>
    <n v="8970"/>
    <n v="331"/>
    <n v="968"/>
    <n v="2296"/>
    <n v="24613"/>
    <n v="198562"/>
    <n v="5.1716844109144754E-2"/>
    <s v="iPhone 16 Launch"/>
  </r>
  <r>
    <s v="A200"/>
    <x v="1"/>
    <d v="2025-04-07T00:00:00"/>
    <x v="3"/>
    <x v="9"/>
    <n v="3062"/>
    <n v="1124"/>
    <n v="538"/>
    <n v="2935"/>
    <n v="69749"/>
    <n v="91924"/>
    <n v="5.1390278926069365E-2"/>
    <s v="iPhone 16 Launch"/>
  </r>
  <r>
    <s v="A261"/>
    <x v="3"/>
    <d v="2024-10-27T00:00:00"/>
    <x v="3"/>
    <x v="2"/>
    <n v="7560"/>
    <n v="1139"/>
    <n v="248"/>
    <n v="1624"/>
    <n v="72237"/>
    <n v="177084"/>
    <n v="5.0524045085947912E-2"/>
    <s v="Sustainability Awareness Drive"/>
  </r>
  <r>
    <s v="A219"/>
    <x v="0"/>
    <d v="2025-01-28T00:00:00"/>
    <x v="3"/>
    <x v="0"/>
    <n v="9943"/>
    <n v="1274"/>
    <n v="336"/>
    <n v="389"/>
    <n v="6145"/>
    <n v="231305"/>
    <n v="4.9947039623008581E-2"/>
    <s v="Apple Watch Ultra 2 Launch"/>
  </r>
  <r>
    <s v="A171"/>
    <x v="0"/>
    <d v="2024-12-31T00:00:00"/>
    <x v="2"/>
    <x v="2"/>
    <n v="10717"/>
    <n v="760"/>
    <n v="460"/>
    <n v="1316"/>
    <n v="18164"/>
    <n v="240641"/>
    <n v="4.9605013277039242E-2"/>
    <s v="MacBook Air M3 Campaign"/>
  </r>
  <r>
    <s v="A65"/>
    <x v="1"/>
    <d v="2025-03-28T00:00:00"/>
    <x v="1"/>
    <x v="2"/>
    <n v="6363"/>
    <n v="1341"/>
    <n v="222"/>
    <n v="2712"/>
    <n v="19987"/>
    <n v="160585"/>
    <n v="4.9357038328611019E-2"/>
    <s v="Sustainability Awareness Drive"/>
  </r>
  <r>
    <s v="A130"/>
    <x v="0"/>
    <d v="2024-09-29T00:00:00"/>
    <x v="3"/>
    <x v="6"/>
    <n v="10472"/>
    <n v="401"/>
    <n v="668"/>
    <n v="383"/>
    <n v="37571"/>
    <n v="249203"/>
    <n v="4.6311641513143903E-2"/>
    <s v="Sustainability Awareness Drive"/>
  </r>
  <r>
    <s v="A16"/>
    <x v="3"/>
    <d v="2024-08-26T00:00:00"/>
    <x v="3"/>
    <x v="5"/>
    <n v="4193"/>
    <n v="924"/>
    <n v="707"/>
    <n v="2696"/>
    <n v="55075"/>
    <n v="126652"/>
    <n v="4.5984271863057827E-2"/>
    <s v="iPhone 16 Launch"/>
  </r>
  <r>
    <s v="A58"/>
    <x v="3"/>
    <d v="2025-04-15T00:00:00"/>
    <x v="3"/>
    <x v="7"/>
    <n v="5419"/>
    <n v="1150"/>
    <n v="656"/>
    <n v="1990"/>
    <n v="410"/>
    <n v="158154"/>
    <n v="4.5683321319726342E-2"/>
    <s v="Sustainability Awareness Drive"/>
  </r>
  <r>
    <s v="A145"/>
    <x v="0"/>
    <d v="2024-08-12T00:00:00"/>
    <x v="3"/>
    <x v="6"/>
    <n v="8376"/>
    <n v="1154"/>
    <n v="422"/>
    <n v="1907"/>
    <n v="36874"/>
    <n v="218486"/>
    <n v="4.5549829279679245E-2"/>
    <s v="Sustainability Awareness Drive"/>
  </r>
  <r>
    <s v="A283"/>
    <x v="2"/>
    <d v="2025-05-09T00:00:00"/>
    <x v="3"/>
    <x v="5"/>
    <n v="8988"/>
    <n v="228"/>
    <n v="766"/>
    <n v="652"/>
    <n v="63789"/>
    <n v="219785"/>
    <n v="4.541711217781013E-2"/>
    <s v="Sustainability Awareness Drive"/>
  </r>
  <r>
    <s v="A298"/>
    <x v="1"/>
    <d v="2025-09-24T00:00:00"/>
    <x v="1"/>
    <x v="10"/>
    <n v="3342"/>
    <n v="787"/>
    <n v="375"/>
    <n v="907"/>
    <n v="85823"/>
    <n v="99189"/>
    <n v="4.5408260996683103E-2"/>
    <s v="Apple Event September 2025"/>
  </r>
  <r>
    <s v="A90"/>
    <x v="2"/>
    <d v="2024-06-03T00:00:00"/>
    <x v="2"/>
    <x v="3"/>
    <n v="8941"/>
    <n v="911"/>
    <n v="166"/>
    <n v="1217"/>
    <n v="68817"/>
    <n v="221180"/>
    <n v="4.5293426168731353E-2"/>
    <s v="MacBook Air M3 Campaign"/>
  </r>
  <r>
    <s v="A134"/>
    <x v="3"/>
    <d v="2025-10-01T00:00:00"/>
    <x v="3"/>
    <x v="1"/>
    <n v="6188"/>
    <n v="774"/>
    <n v="647"/>
    <n v="1830"/>
    <n v="55436"/>
    <n v="175542"/>
    <n v="4.3345752013763089E-2"/>
    <s v="Apple Event September 2025"/>
  </r>
  <r>
    <s v="A38"/>
    <x v="3"/>
    <d v="2025-02-17T00:00:00"/>
    <x v="1"/>
    <x v="6"/>
    <n v="7989"/>
    <n v="1206"/>
    <n v="376"/>
    <n v="2769"/>
    <n v="27550"/>
    <n v="221749"/>
    <n v="4.3161412227338117E-2"/>
    <s v="Sustainability Awareness Drive"/>
  </r>
  <r>
    <s v="A70"/>
    <x v="2"/>
    <d v="2025-04-02T00:00:00"/>
    <x v="1"/>
    <x v="10"/>
    <n v="6858"/>
    <n v="415"/>
    <n v="366"/>
    <n v="2761"/>
    <n v="2988"/>
    <n v="177348"/>
    <n v="4.3073505198818141E-2"/>
    <s v="Apple Watch Ultra 2 Launch"/>
  </r>
  <r>
    <s v="A142"/>
    <x v="3"/>
    <d v="2025-03-25T00:00:00"/>
    <x v="3"/>
    <x v="7"/>
    <n v="5900"/>
    <n v="546"/>
    <n v="592"/>
    <n v="1594"/>
    <n v="38627"/>
    <n v="164398"/>
    <n v="4.2810739790021778E-2"/>
    <s v="MacBook Air M3 Campaign"/>
  </r>
  <r>
    <s v="A207"/>
    <x v="0"/>
    <d v="2024-12-29T00:00:00"/>
    <x v="3"/>
    <x v="8"/>
    <n v="8288"/>
    <n v="1401"/>
    <n v="819"/>
    <n v="1235"/>
    <n v="33446"/>
    <n v="248786"/>
    <n v="4.2237103373984064E-2"/>
    <s v="Apple Watch Ultra 2 Launch"/>
  </r>
  <r>
    <s v="A274"/>
    <x v="0"/>
    <d v="2025-01-01T00:00:00"/>
    <x v="0"/>
    <x v="0"/>
    <n v="8283"/>
    <n v="720"/>
    <n v="888"/>
    <n v="611"/>
    <n v="52791"/>
    <n v="235229"/>
    <n v="4.2048386891072105E-2"/>
    <s v="Apple Watch Ultra 2 Launch"/>
  </r>
  <r>
    <s v="A206"/>
    <x v="3"/>
    <d v="2024-06-24T00:00:00"/>
    <x v="2"/>
    <x v="3"/>
    <n v="6632"/>
    <n v="254"/>
    <n v="525"/>
    <n v="1013"/>
    <n v="13838"/>
    <n v="180180"/>
    <n v="4.1131091131091133E-2"/>
    <s v="Apple Watch Ultra 2 Launch"/>
  </r>
  <r>
    <s v="A256"/>
    <x v="1"/>
    <d v="2025-09-17T00:00:00"/>
    <x v="3"/>
    <x v="0"/>
    <n v="2117"/>
    <n v="1133"/>
    <n v="203"/>
    <n v="1173"/>
    <n v="40125"/>
    <n v="85379"/>
    <n v="4.0443200318579509E-2"/>
    <s v="Apple Event September 2025"/>
  </r>
  <r>
    <s v="A182"/>
    <x v="1"/>
    <d v="2024-07-31T00:00:00"/>
    <x v="0"/>
    <x v="7"/>
    <n v="7122"/>
    <n v="628"/>
    <n v="757"/>
    <n v="2313"/>
    <n v="50924"/>
    <n v="210954"/>
    <n v="4.0326327066564277E-2"/>
    <s v="MacBook Air M3 Campaign"/>
  </r>
  <r>
    <s v="A79"/>
    <x v="1"/>
    <d v="2025-09-22T00:00:00"/>
    <x v="0"/>
    <x v="11"/>
    <n v="8996"/>
    <n v="329"/>
    <n v="378"/>
    <n v="2384"/>
    <n v="39404"/>
    <n v="242724"/>
    <n v="3.9975445361810122E-2"/>
    <s v="Apple Event September 2025"/>
  </r>
  <r>
    <s v="A14"/>
    <x v="1"/>
    <d v="2025-09-06T00:00:00"/>
    <x v="1"/>
    <x v="5"/>
    <n v="7124"/>
    <n v="469"/>
    <n v="851"/>
    <n v="2571"/>
    <n v="33802"/>
    <n v="216313"/>
    <n v="3.9036026498638549E-2"/>
    <s v="Apple Event September 2025"/>
  </r>
  <r>
    <s v="A275"/>
    <x v="3"/>
    <d v="2024-08-05T00:00:00"/>
    <x v="1"/>
    <x v="5"/>
    <n v="4048"/>
    <n v="751"/>
    <n v="930"/>
    <n v="1382"/>
    <n v="16844"/>
    <n v="148177"/>
    <n v="3.8663220337839206E-2"/>
    <s v="iPhone 16 Launch"/>
  </r>
  <r>
    <s v="A141"/>
    <x v="0"/>
    <d v="2025-10-03T00:00:00"/>
    <x v="2"/>
    <x v="10"/>
    <n v="6777"/>
    <n v="617"/>
    <n v="551"/>
    <n v="2109"/>
    <n v="18559"/>
    <n v="208452"/>
    <n v="3.8114290100358834E-2"/>
    <s v="Apple Event September 2025"/>
  </r>
  <r>
    <s v="A43"/>
    <x v="2"/>
    <d v="2025-09-16T00:00:00"/>
    <x v="1"/>
    <x v="8"/>
    <n v="6809"/>
    <n v="397"/>
    <n v="813"/>
    <n v="1125"/>
    <n v="12206"/>
    <n v="218136"/>
    <n v="3.6761469908680823E-2"/>
    <s v="Apple Event September 2025"/>
  </r>
  <r>
    <s v="A281"/>
    <x v="0"/>
    <d v="2025-03-22T00:00:00"/>
    <x v="0"/>
    <x v="3"/>
    <n v="3917"/>
    <n v="865"/>
    <n v="759"/>
    <n v="2282"/>
    <n v="56125"/>
    <n v="154014"/>
    <n v="3.5977248821535704E-2"/>
    <s v="Apple Watch Ultra 2 Launch"/>
  </r>
  <r>
    <s v="A280"/>
    <x v="2"/>
    <d v="2025-09-18T00:00:00"/>
    <x v="0"/>
    <x v="0"/>
    <n v="3828"/>
    <n v="203"/>
    <n v="506"/>
    <n v="2440"/>
    <n v="63650"/>
    <n v="126365"/>
    <n v="3.5903929094290347E-2"/>
    <s v="Apple Event September 2025"/>
  </r>
  <r>
    <s v="A178"/>
    <x v="1"/>
    <d v="2025-10-10T00:00:00"/>
    <x v="3"/>
    <x v="7"/>
    <n v="6621"/>
    <n v="922"/>
    <n v="930"/>
    <n v="694"/>
    <n v="839"/>
    <n v="243532"/>
    <n v="3.479214230573395E-2"/>
    <s v="Apple Event September 2025"/>
  </r>
  <r>
    <s v="A181"/>
    <x v="3"/>
    <d v="2025-10-12T00:00:00"/>
    <x v="3"/>
    <x v="5"/>
    <n v="7126"/>
    <n v="484"/>
    <n v="565"/>
    <n v="573"/>
    <n v="7389"/>
    <n v="237096"/>
    <n v="3.4479704423524646E-2"/>
    <s v="Apple Event September 2025"/>
  </r>
  <r>
    <s v="A110"/>
    <x v="1"/>
    <d v="2024-07-29T00:00:00"/>
    <x v="0"/>
    <x v="5"/>
    <n v="6164"/>
    <n v="326"/>
    <n v="615"/>
    <n v="2806"/>
    <n v="38579"/>
    <n v="206129"/>
    <n v="3.4468706489625425E-2"/>
    <s v="MacBook Air M3 Campaign"/>
  </r>
  <r>
    <s v="A292"/>
    <x v="1"/>
    <d v="2024-11-17T00:00:00"/>
    <x v="3"/>
    <x v="0"/>
    <n v="4219"/>
    <n v="240"/>
    <n v="670"/>
    <n v="815"/>
    <n v="11978"/>
    <n v="159735"/>
    <n v="3.2109431245500357E-2"/>
    <s v="iPhone 16 Launch"/>
  </r>
  <r>
    <s v="A273"/>
    <x v="0"/>
    <d v="2024-10-12T00:00:00"/>
    <x v="2"/>
    <x v="11"/>
    <n v="6208"/>
    <n v="725"/>
    <n v="309"/>
    <n v="848"/>
    <n v="39319"/>
    <n v="225763"/>
    <n v="3.207788698768177E-2"/>
    <s v="Apple Watch Ultra 2 Launch"/>
  </r>
  <r>
    <s v="A247"/>
    <x v="3"/>
    <d v="2024-08-27T00:00:00"/>
    <x v="2"/>
    <x v="8"/>
    <n v="6324"/>
    <n v="908"/>
    <n v="375"/>
    <n v="758"/>
    <n v="34850"/>
    <n v="241039"/>
    <n v="3.1559208260903839E-2"/>
    <s v="Apple Watch Ultra 2 Launch"/>
  </r>
  <r>
    <s v="A173"/>
    <x v="1"/>
    <d v="2024-12-05T00:00:00"/>
    <x v="1"/>
    <x v="3"/>
    <n v="4125"/>
    <n v="1364"/>
    <n v="319"/>
    <n v="2848"/>
    <n v="15379"/>
    <n v="188159"/>
    <n v="3.0867510988047343E-2"/>
    <s v="MacBook Air M3 Campaign"/>
  </r>
  <r>
    <s v="A193"/>
    <x v="3"/>
    <d v="2024-09-11T00:00:00"/>
    <x v="2"/>
    <x v="5"/>
    <n v="3906"/>
    <n v="1187"/>
    <n v="589"/>
    <n v="401"/>
    <n v="52687"/>
    <n v="196498"/>
    <n v="2.8916324848090057E-2"/>
    <s v="Apple Watch Ultra 2 Launch"/>
  </r>
  <r>
    <s v="A245"/>
    <x v="1"/>
    <d v="2025-01-12T00:00:00"/>
    <x v="2"/>
    <x v="4"/>
    <n v="4590"/>
    <n v="713"/>
    <n v="479"/>
    <n v="2730"/>
    <n v="41050"/>
    <n v="204246"/>
    <n v="2.8308999931455206E-2"/>
    <s v="Sustainability Awareness Drive"/>
  </r>
  <r>
    <s v="A236"/>
    <x v="0"/>
    <d v="2024-08-19T00:00:00"/>
    <x v="0"/>
    <x v="9"/>
    <n v="3605"/>
    <n v="206"/>
    <n v="921"/>
    <n v="852"/>
    <n v="11660"/>
    <n v="182635"/>
    <n v="2.590960111698196E-2"/>
    <s v="iPhone 16 Launch"/>
  </r>
  <r>
    <s v="A41"/>
    <x v="1"/>
    <d v="2025-09-15T00:00:00"/>
    <x v="1"/>
    <x v="6"/>
    <n v="5636"/>
    <n v="303"/>
    <n v="204"/>
    <n v="2480"/>
    <n v="7377"/>
    <n v="241207"/>
    <n v="2.5467751765081443E-2"/>
    <s v="Apple Event September 2025"/>
  </r>
  <r>
    <s v="A78"/>
    <x v="0"/>
    <d v="2024-06-17T00:00:00"/>
    <x v="2"/>
    <x v="0"/>
    <n v="3252"/>
    <n v="1043"/>
    <n v="647"/>
    <n v="1545"/>
    <n v="18859"/>
    <n v="222958"/>
    <n v="2.2165609666394567E-2"/>
    <s v="Apple Watch Ultra 2 Launch"/>
  </r>
  <r>
    <s v="A188"/>
    <x v="1"/>
    <d v="2024-06-06T00:00:00"/>
    <x v="3"/>
    <x v="11"/>
    <n v="3531"/>
    <n v="789"/>
    <n v="467"/>
    <n v="1867"/>
    <n v="40816"/>
    <n v="236037"/>
    <n v="2.0280718700881641E-2"/>
    <s v="Sustainability Awareness Drive"/>
  </r>
  <r>
    <s v="A4"/>
    <x v="1"/>
    <d v="2024-08-12T00:00:00"/>
    <x v="0"/>
    <x v="4"/>
    <n v="3581"/>
    <n v="517"/>
    <n v="880"/>
    <n v="1925"/>
    <n v="18636"/>
    <n v="248611"/>
    <n v="2.0023249172401864E-2"/>
    <s v="iPhone 16 Launch"/>
  </r>
  <r>
    <s v="A167"/>
    <x v="0"/>
    <d v="2024-11-28T00:00:00"/>
    <x v="3"/>
    <x v="3"/>
    <n v="2302"/>
    <n v="347"/>
    <n v="642"/>
    <n v="2175"/>
    <n v="56378"/>
    <n v="198056"/>
    <n v="1.6616512501514722E-2"/>
    <s v="MacBook Air M3 Campaign"/>
  </r>
  <r>
    <m/>
    <x v="4"/>
    <m/>
    <x v="4"/>
    <x v="12"/>
    <m/>
    <m/>
    <m/>
    <m/>
    <m/>
    <m/>
    <m/>
    <m/>
  </r>
  <r>
    <m/>
    <x v="4"/>
    <m/>
    <x v="4"/>
    <x v="12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82"/>
    <x v="0"/>
    <d v="2024-07-24T00:00:00"/>
    <x v="0"/>
    <x v="0"/>
    <n v="22914"/>
    <n v="954"/>
    <n v="584"/>
    <x v="0"/>
    <n v="13637"/>
    <n v="49847"/>
    <x v="0"/>
    <x v="0"/>
  </r>
  <r>
    <s v="A201"/>
    <x v="1"/>
    <d v="2025-01-15T00:00:00"/>
    <x v="1"/>
    <x v="1"/>
    <n v="20360"/>
    <n v="254"/>
    <n v="726"/>
    <x v="1"/>
    <n v="14280"/>
    <n v="43726"/>
    <x v="1"/>
    <x v="1"/>
  </r>
  <r>
    <s v="A121"/>
    <x v="0"/>
    <d v="2024-07-29T00:00:00"/>
    <x v="0"/>
    <x v="2"/>
    <n v="19144"/>
    <n v="1182"/>
    <n v="860"/>
    <x v="2"/>
    <n v="4185"/>
    <n v="46570"/>
    <x v="2"/>
    <x v="0"/>
  </r>
  <r>
    <s v="A127"/>
    <x v="2"/>
    <d v="2025-01-27T00:00:00"/>
    <x v="2"/>
    <x v="3"/>
    <n v="24415"/>
    <n v="860"/>
    <n v="931"/>
    <x v="3"/>
    <n v="65049"/>
    <n v="62911"/>
    <x v="3"/>
    <x v="0"/>
  </r>
  <r>
    <s v="A13"/>
    <x v="1"/>
    <d v="2024-11-18T00:00:00"/>
    <x v="3"/>
    <x v="0"/>
    <n v="21255"/>
    <n v="1452"/>
    <n v="625"/>
    <x v="4"/>
    <n v="21282"/>
    <n v="57778"/>
    <x v="4"/>
    <x v="2"/>
  </r>
  <r>
    <s v="A123"/>
    <x v="2"/>
    <d v="2024-06-14T00:00:00"/>
    <x v="0"/>
    <x v="3"/>
    <n v="17183"/>
    <n v="1224"/>
    <n v="943"/>
    <x v="5"/>
    <n v="21481"/>
    <n v="49110"/>
    <x v="5"/>
    <x v="3"/>
  </r>
  <r>
    <s v="A287"/>
    <x v="3"/>
    <d v="2024-08-15T00:00:00"/>
    <x v="0"/>
    <x v="4"/>
    <n v="14977"/>
    <n v="274"/>
    <n v="798"/>
    <x v="6"/>
    <n v="6636"/>
    <n v="43654"/>
    <x v="6"/>
    <x v="0"/>
  </r>
  <r>
    <s v="A226"/>
    <x v="2"/>
    <d v="2025-09-08T00:00:00"/>
    <x v="1"/>
    <x v="5"/>
    <n v="23785"/>
    <n v="1013"/>
    <n v="468"/>
    <x v="7"/>
    <n v="8272"/>
    <n v="71348"/>
    <x v="7"/>
    <x v="4"/>
  </r>
  <r>
    <s v="A231"/>
    <x v="2"/>
    <d v="2025-09-09T00:00:00"/>
    <x v="2"/>
    <x v="0"/>
    <n v="19260"/>
    <n v="668"/>
    <n v="994"/>
    <x v="8"/>
    <n v="20509"/>
    <n v="61636"/>
    <x v="8"/>
    <x v="4"/>
  </r>
  <r>
    <s v="A185"/>
    <x v="3"/>
    <d v="2025-01-11T00:00:00"/>
    <x v="2"/>
    <x v="6"/>
    <n v="21181"/>
    <n v="1242"/>
    <n v="963"/>
    <x v="9"/>
    <n v="49329"/>
    <n v="69165"/>
    <x v="9"/>
    <x v="0"/>
  </r>
  <r>
    <s v="A106"/>
    <x v="2"/>
    <d v="2025-02-04T00:00:00"/>
    <x v="3"/>
    <x v="5"/>
    <n v="23833"/>
    <n v="555"/>
    <n v="523"/>
    <x v="10"/>
    <n v="69141"/>
    <n v="73997"/>
    <x v="10"/>
    <x v="1"/>
  </r>
  <r>
    <s v="A174"/>
    <x v="0"/>
    <d v="2024-06-22T00:00:00"/>
    <x v="3"/>
    <x v="2"/>
    <n v="13479"/>
    <n v="1189"/>
    <n v="695"/>
    <x v="11"/>
    <n v="30229"/>
    <n v="45704"/>
    <x v="11"/>
    <x v="0"/>
  </r>
  <r>
    <s v="A254"/>
    <x v="3"/>
    <d v="2025-01-14T00:00:00"/>
    <x v="3"/>
    <x v="3"/>
    <n v="24350"/>
    <n v="460"/>
    <n v="666"/>
    <x v="12"/>
    <n v="21120"/>
    <n v="76914"/>
    <x v="12"/>
    <x v="0"/>
  </r>
  <r>
    <s v="A223"/>
    <x v="2"/>
    <d v="2024-11-12T00:00:00"/>
    <x v="0"/>
    <x v="7"/>
    <n v="17913"/>
    <n v="1311"/>
    <n v="859"/>
    <x v="13"/>
    <n v="59842"/>
    <n v="62612"/>
    <x v="13"/>
    <x v="3"/>
  </r>
  <r>
    <s v="A164"/>
    <x v="0"/>
    <d v="2025-02-27T00:00:00"/>
    <x v="2"/>
    <x v="6"/>
    <n v="16178"/>
    <n v="1048"/>
    <n v="871"/>
    <x v="14"/>
    <n v="39025"/>
    <n v="59508"/>
    <x v="14"/>
    <x v="0"/>
  </r>
  <r>
    <s v="A151"/>
    <x v="1"/>
    <d v="2024-07-26T00:00:00"/>
    <x v="0"/>
    <x v="8"/>
    <n v="18282"/>
    <n v="224"/>
    <n v="962"/>
    <x v="15"/>
    <n v="35105"/>
    <n v="64089"/>
    <x v="15"/>
    <x v="1"/>
  </r>
  <r>
    <s v="A140"/>
    <x v="3"/>
    <d v="2024-07-15T00:00:00"/>
    <x v="1"/>
    <x v="0"/>
    <n v="14891"/>
    <n v="674"/>
    <n v="521"/>
    <x v="16"/>
    <n v="18101"/>
    <n v="53669"/>
    <x v="16"/>
    <x v="0"/>
  </r>
  <r>
    <s v="A83"/>
    <x v="3"/>
    <d v="2024-10-15T00:00:00"/>
    <x v="3"/>
    <x v="1"/>
    <n v="17781"/>
    <n v="993"/>
    <n v="627"/>
    <x v="17"/>
    <n v="9609"/>
    <n v="66155"/>
    <x v="17"/>
    <x v="1"/>
  </r>
  <r>
    <s v="A196"/>
    <x v="2"/>
    <d v="2025-09-18T00:00:00"/>
    <x v="1"/>
    <x v="8"/>
    <n v="10152"/>
    <n v="1445"/>
    <n v="526"/>
    <x v="18"/>
    <n v="18959"/>
    <n v="43712"/>
    <x v="18"/>
    <x v="4"/>
  </r>
  <r>
    <s v="A136"/>
    <x v="3"/>
    <d v="2025-10-02T00:00:00"/>
    <x v="3"/>
    <x v="7"/>
    <n v="12161"/>
    <n v="736"/>
    <n v="876"/>
    <x v="19"/>
    <n v="21337"/>
    <n v="50225"/>
    <x v="19"/>
    <x v="4"/>
  </r>
  <r>
    <s v="A5"/>
    <x v="1"/>
    <d v="2025-09-04T00:00:00"/>
    <x v="0"/>
    <x v="2"/>
    <n v="21708"/>
    <n v="435"/>
    <n v="317"/>
    <x v="20"/>
    <n v="70701"/>
    <n v="83585"/>
    <x v="20"/>
    <x v="4"/>
  </r>
  <r>
    <s v="A80"/>
    <x v="0"/>
    <d v="2024-06-13T00:00:00"/>
    <x v="2"/>
    <x v="2"/>
    <n v="14173"/>
    <n v="294"/>
    <n v="257"/>
    <x v="21"/>
    <n v="39466"/>
    <n v="55563"/>
    <x v="21"/>
    <x v="2"/>
  </r>
  <r>
    <s v="A150"/>
    <x v="0"/>
    <d v="2024-08-22T00:00:00"/>
    <x v="0"/>
    <x v="9"/>
    <n v="16124"/>
    <n v="863"/>
    <n v="337"/>
    <x v="22"/>
    <n v="85788"/>
    <n v="68625"/>
    <x v="22"/>
    <x v="1"/>
  </r>
  <r>
    <s v="A220"/>
    <x v="1"/>
    <d v="2024-06-02T00:00:00"/>
    <x v="0"/>
    <x v="6"/>
    <n v="14199"/>
    <n v="1206"/>
    <n v="954"/>
    <x v="23"/>
    <n v="8"/>
    <n v="65537"/>
    <x v="23"/>
    <x v="3"/>
  </r>
  <r>
    <s v="A21"/>
    <x v="2"/>
    <d v="2025-09-08T00:00:00"/>
    <x v="3"/>
    <x v="9"/>
    <n v="22309"/>
    <n v="773"/>
    <n v="854"/>
    <x v="24"/>
    <n v="72396"/>
    <n v="97056"/>
    <x v="24"/>
    <x v="4"/>
  </r>
  <r>
    <s v="A244"/>
    <x v="3"/>
    <d v="2025-09-13T00:00:00"/>
    <x v="0"/>
    <x v="9"/>
    <n v="15046"/>
    <n v="281"/>
    <n v="515"/>
    <x v="25"/>
    <n v="22583"/>
    <n v="64596"/>
    <x v="25"/>
    <x v="4"/>
  </r>
  <r>
    <s v="A76"/>
    <x v="2"/>
    <d v="2024-11-07T00:00:00"/>
    <x v="3"/>
    <x v="1"/>
    <n v="17254"/>
    <n v="246"/>
    <n v="952"/>
    <x v="26"/>
    <n v="14957"/>
    <n v="75946"/>
    <x v="26"/>
    <x v="2"/>
  </r>
  <r>
    <s v="A216"/>
    <x v="3"/>
    <d v="2024-07-29T00:00:00"/>
    <x v="1"/>
    <x v="2"/>
    <n v="22590"/>
    <n v="1462"/>
    <n v="966"/>
    <x v="27"/>
    <n v="29689"/>
    <n v="103449"/>
    <x v="27"/>
    <x v="3"/>
  </r>
  <r>
    <s v="A51"/>
    <x v="1"/>
    <d v="2024-06-13T00:00:00"/>
    <x v="3"/>
    <x v="5"/>
    <n v="23164"/>
    <n v="1122"/>
    <n v="900"/>
    <x v="28"/>
    <n v="36938"/>
    <n v="104674"/>
    <x v="28"/>
    <x v="0"/>
  </r>
  <r>
    <s v="A6"/>
    <x v="0"/>
    <d v="2025-09-05T00:00:00"/>
    <x v="2"/>
    <x v="1"/>
    <n v="14677"/>
    <n v="533"/>
    <n v="759"/>
    <x v="29"/>
    <n v="23275"/>
    <n v="66958"/>
    <x v="29"/>
    <x v="4"/>
  </r>
  <r>
    <s v="A289"/>
    <x v="3"/>
    <d v="2024-11-28T00:00:00"/>
    <x v="3"/>
    <x v="0"/>
    <n v="18644"/>
    <n v="1369"/>
    <n v="887"/>
    <x v="30"/>
    <n v="43415"/>
    <n v="88368"/>
    <x v="30"/>
    <x v="3"/>
  </r>
  <r>
    <s v="A186"/>
    <x v="3"/>
    <d v="2024-08-24T00:00:00"/>
    <x v="0"/>
    <x v="7"/>
    <n v="24890"/>
    <n v="217"/>
    <n v="178"/>
    <x v="31"/>
    <n v="54826"/>
    <n v="107203"/>
    <x v="31"/>
    <x v="3"/>
  </r>
  <r>
    <s v="A61"/>
    <x v="1"/>
    <d v="2024-09-05T00:00:00"/>
    <x v="3"/>
    <x v="8"/>
    <n v="16489"/>
    <n v="395"/>
    <n v="350"/>
    <x v="32"/>
    <n v="43239"/>
    <n v="73397"/>
    <x v="32"/>
    <x v="2"/>
  </r>
  <r>
    <s v="A286"/>
    <x v="1"/>
    <d v="2025-09-19T00:00:00"/>
    <x v="1"/>
    <x v="5"/>
    <n v="22128"/>
    <n v="1004"/>
    <n v="690"/>
    <x v="33"/>
    <n v="19443"/>
    <n v="103646"/>
    <x v="33"/>
    <x v="4"/>
  </r>
  <r>
    <s v="A105"/>
    <x v="2"/>
    <d v="2024-06-14T00:00:00"/>
    <x v="3"/>
    <x v="10"/>
    <n v="21856"/>
    <n v="1203"/>
    <n v="634"/>
    <x v="34"/>
    <n v="3647"/>
    <n v="104178"/>
    <x v="34"/>
    <x v="1"/>
  </r>
  <r>
    <s v="A119"/>
    <x v="0"/>
    <d v="2025-02-07T00:00:00"/>
    <x v="3"/>
    <x v="11"/>
    <n v="20290"/>
    <n v="619"/>
    <n v="927"/>
    <x v="35"/>
    <n v="8924"/>
    <n v="96503"/>
    <x v="35"/>
    <x v="2"/>
  </r>
  <r>
    <s v="A170"/>
    <x v="2"/>
    <d v="2025-04-28T00:00:00"/>
    <x v="3"/>
    <x v="9"/>
    <n v="15013"/>
    <n v="1286"/>
    <n v="599"/>
    <x v="36"/>
    <n v="67839"/>
    <n v="76059"/>
    <x v="36"/>
    <x v="0"/>
  </r>
  <r>
    <s v="A46"/>
    <x v="0"/>
    <d v="2025-05-02T00:00:00"/>
    <x v="1"/>
    <x v="3"/>
    <n v="17444"/>
    <n v="1402"/>
    <n v="218"/>
    <x v="37"/>
    <n v="8710"/>
    <n v="85893"/>
    <x v="37"/>
    <x v="2"/>
  </r>
  <r>
    <s v="A187"/>
    <x v="2"/>
    <d v="2024-12-22T00:00:00"/>
    <x v="1"/>
    <x v="11"/>
    <n v="7870"/>
    <n v="968"/>
    <n v="626"/>
    <x v="38"/>
    <n v="27184"/>
    <n v="44114"/>
    <x v="38"/>
    <x v="2"/>
  </r>
  <r>
    <s v="A190"/>
    <x v="2"/>
    <d v="2024-10-04T00:00:00"/>
    <x v="2"/>
    <x v="0"/>
    <n v="21729"/>
    <n v="1209"/>
    <n v="897"/>
    <x v="4"/>
    <n v="38771"/>
    <n v="113297"/>
    <x v="39"/>
    <x v="1"/>
  </r>
  <r>
    <s v="A251"/>
    <x v="2"/>
    <d v="2025-09-15T00:00:00"/>
    <x v="2"/>
    <x v="0"/>
    <n v="18389"/>
    <n v="670"/>
    <n v="655"/>
    <x v="39"/>
    <n v="21869"/>
    <n v="96088"/>
    <x v="40"/>
    <x v="4"/>
  </r>
  <r>
    <s v="A74"/>
    <x v="2"/>
    <d v="2024-10-28T00:00:00"/>
    <x v="3"/>
    <x v="4"/>
    <n v="21198"/>
    <n v="1484"/>
    <n v="174"/>
    <x v="40"/>
    <n v="16330"/>
    <n v="111635"/>
    <x v="41"/>
    <x v="1"/>
  </r>
  <r>
    <s v="A42"/>
    <x v="1"/>
    <d v="2025-03-05T00:00:00"/>
    <x v="3"/>
    <x v="3"/>
    <n v="12916"/>
    <n v="1262"/>
    <n v="772"/>
    <x v="41"/>
    <n v="11496"/>
    <n v="75046"/>
    <x v="42"/>
    <x v="3"/>
  </r>
  <r>
    <s v="A246"/>
    <x v="2"/>
    <d v="2024-10-11T00:00:00"/>
    <x v="3"/>
    <x v="10"/>
    <n v="19447"/>
    <n v="1014"/>
    <n v="256"/>
    <x v="42"/>
    <n v="5472"/>
    <n v="104106"/>
    <x v="43"/>
    <x v="0"/>
  </r>
  <r>
    <s v="A260"/>
    <x v="1"/>
    <d v="2025-02-12T00:00:00"/>
    <x v="0"/>
    <x v="6"/>
    <n v="15234"/>
    <n v="1276"/>
    <n v="670"/>
    <x v="43"/>
    <n v="60397"/>
    <n v="86413"/>
    <x v="44"/>
    <x v="2"/>
  </r>
  <r>
    <s v="A93"/>
    <x v="2"/>
    <d v="2024-12-11T00:00:00"/>
    <x v="3"/>
    <x v="10"/>
    <n v="22645"/>
    <n v="545"/>
    <n v="972"/>
    <x v="39"/>
    <n v="8396"/>
    <n v="121537"/>
    <x v="45"/>
    <x v="2"/>
  </r>
  <r>
    <s v="A163"/>
    <x v="0"/>
    <d v="2025-04-08T00:00:00"/>
    <x v="0"/>
    <x v="2"/>
    <n v="15568"/>
    <n v="1166"/>
    <n v="546"/>
    <x v="44"/>
    <n v="21836"/>
    <n v="87055"/>
    <x v="46"/>
    <x v="0"/>
  </r>
  <r>
    <s v="A300"/>
    <x v="0"/>
    <d v="2025-09-26T00:00:00"/>
    <x v="0"/>
    <x v="10"/>
    <n v="21216"/>
    <n v="226"/>
    <n v="187"/>
    <x v="45"/>
    <n v="62688"/>
    <n v="111031"/>
    <x v="47"/>
    <x v="4"/>
  </r>
  <r>
    <s v="A68"/>
    <x v="3"/>
    <d v="2024-12-08T00:00:00"/>
    <x v="0"/>
    <x v="6"/>
    <n v="10427"/>
    <n v="1014"/>
    <n v="166"/>
    <x v="46"/>
    <n v="15145"/>
    <n v="59816"/>
    <x v="48"/>
    <x v="3"/>
  </r>
  <r>
    <s v="A126"/>
    <x v="0"/>
    <d v="2025-03-28T00:00:00"/>
    <x v="2"/>
    <x v="5"/>
    <n v="13637"/>
    <n v="1135"/>
    <n v="540"/>
    <x v="21"/>
    <n v="45183"/>
    <n v="79062"/>
    <x v="49"/>
    <x v="2"/>
  </r>
  <r>
    <s v="A129"/>
    <x v="0"/>
    <d v="2024-07-21T00:00:00"/>
    <x v="2"/>
    <x v="4"/>
    <n v="11911"/>
    <n v="1360"/>
    <n v="778"/>
    <x v="47"/>
    <n v="16483"/>
    <n v="72556"/>
    <x v="50"/>
    <x v="3"/>
  </r>
  <r>
    <s v="A97"/>
    <x v="2"/>
    <d v="2024-08-13T00:00:00"/>
    <x v="3"/>
    <x v="11"/>
    <n v="6854"/>
    <n v="417"/>
    <n v="467"/>
    <x v="48"/>
    <n v="61333"/>
    <n v="40281"/>
    <x v="51"/>
    <x v="0"/>
  </r>
  <r>
    <s v="A47"/>
    <x v="0"/>
    <d v="2025-02-24T00:00:00"/>
    <x v="1"/>
    <x v="10"/>
    <n v="24984"/>
    <n v="753"/>
    <n v="461"/>
    <x v="49"/>
    <n v="20792"/>
    <n v="141520"/>
    <x v="52"/>
    <x v="3"/>
  </r>
  <r>
    <s v="A152"/>
    <x v="1"/>
    <d v="2025-10-04T00:00:00"/>
    <x v="0"/>
    <x v="11"/>
    <n v="12488"/>
    <n v="1403"/>
    <n v="247"/>
    <x v="50"/>
    <n v="28370"/>
    <n v="76487"/>
    <x v="53"/>
    <x v="4"/>
  </r>
  <r>
    <s v="A230"/>
    <x v="3"/>
    <d v="2024-07-15T00:00:00"/>
    <x v="0"/>
    <x v="1"/>
    <n v="12554"/>
    <n v="381"/>
    <n v="211"/>
    <x v="51"/>
    <n v="50567"/>
    <n v="72779"/>
    <x v="54"/>
    <x v="0"/>
  </r>
  <r>
    <s v="A148"/>
    <x v="1"/>
    <d v="2025-04-15T00:00:00"/>
    <x v="0"/>
    <x v="10"/>
    <n v="20977"/>
    <n v="1402"/>
    <n v="301"/>
    <x v="52"/>
    <n v="24620"/>
    <n v="128009"/>
    <x v="55"/>
    <x v="0"/>
  </r>
  <r>
    <s v="A139"/>
    <x v="1"/>
    <d v="2024-10-29T00:00:00"/>
    <x v="1"/>
    <x v="3"/>
    <n v="23969"/>
    <n v="1433"/>
    <n v="372"/>
    <x v="53"/>
    <n v="32147"/>
    <n v="145823"/>
    <x v="56"/>
    <x v="3"/>
  </r>
  <r>
    <s v="A23"/>
    <x v="2"/>
    <d v="2024-11-06T00:00:00"/>
    <x v="3"/>
    <x v="3"/>
    <n v="8938"/>
    <n v="800"/>
    <n v="842"/>
    <x v="54"/>
    <n v="31736"/>
    <n v="59975"/>
    <x v="57"/>
    <x v="1"/>
  </r>
  <r>
    <s v="A125"/>
    <x v="3"/>
    <d v="2024-09-08T00:00:00"/>
    <x v="3"/>
    <x v="2"/>
    <n v="8090"/>
    <n v="570"/>
    <n v="399"/>
    <x v="55"/>
    <n v="34088"/>
    <n v="52115"/>
    <x v="58"/>
    <x v="0"/>
  </r>
  <r>
    <s v="A91"/>
    <x v="0"/>
    <d v="2025-09-24T00:00:00"/>
    <x v="1"/>
    <x v="0"/>
    <n v="12209"/>
    <n v="222"/>
    <n v="479"/>
    <x v="56"/>
    <n v="24615"/>
    <n v="74707"/>
    <x v="59"/>
    <x v="4"/>
  </r>
  <r>
    <s v="A44"/>
    <x v="0"/>
    <d v="2025-03-02T00:00:00"/>
    <x v="0"/>
    <x v="9"/>
    <n v="22562"/>
    <n v="778"/>
    <n v="907"/>
    <x v="57"/>
    <n v="34475"/>
    <n v="141459"/>
    <x v="60"/>
    <x v="1"/>
  </r>
  <r>
    <s v="A276"/>
    <x v="0"/>
    <d v="2024-06-07T00:00:00"/>
    <x v="0"/>
    <x v="4"/>
    <n v="8233"/>
    <n v="436"/>
    <n v="269"/>
    <x v="58"/>
    <n v="8875"/>
    <n v="52289"/>
    <x v="61"/>
    <x v="0"/>
  </r>
  <r>
    <s v="A160"/>
    <x v="0"/>
    <d v="2024-08-24T00:00:00"/>
    <x v="1"/>
    <x v="9"/>
    <n v="22527"/>
    <n v="865"/>
    <n v="646"/>
    <x v="59"/>
    <n v="18654"/>
    <n v="141376"/>
    <x v="62"/>
    <x v="2"/>
  </r>
  <r>
    <s v="A158"/>
    <x v="2"/>
    <d v="2024-08-11T00:00:00"/>
    <x v="3"/>
    <x v="6"/>
    <n v="14394"/>
    <n v="1202"/>
    <n v="188"/>
    <x v="60"/>
    <n v="21925"/>
    <n v="94061"/>
    <x v="63"/>
    <x v="1"/>
  </r>
  <r>
    <s v="A202"/>
    <x v="0"/>
    <d v="2025-09-21T00:00:00"/>
    <x v="2"/>
    <x v="11"/>
    <n v="19680"/>
    <n v="999"/>
    <n v="838"/>
    <x v="61"/>
    <n v="29576"/>
    <n v="129152"/>
    <x v="64"/>
    <x v="4"/>
  </r>
  <r>
    <s v="A73"/>
    <x v="3"/>
    <d v="2025-09-21T00:00:00"/>
    <x v="0"/>
    <x v="2"/>
    <n v="23103"/>
    <n v="1380"/>
    <n v="191"/>
    <x v="62"/>
    <n v="77798"/>
    <n v="148856"/>
    <x v="65"/>
    <x v="4"/>
  </r>
  <r>
    <s v="A221"/>
    <x v="1"/>
    <d v="2025-03-23T00:00:00"/>
    <x v="3"/>
    <x v="0"/>
    <n v="17728"/>
    <n v="1487"/>
    <n v="210"/>
    <x v="63"/>
    <n v="30565"/>
    <n v="117576"/>
    <x v="66"/>
    <x v="0"/>
  </r>
  <r>
    <s v="A285"/>
    <x v="2"/>
    <d v="2024-07-18T00:00:00"/>
    <x v="0"/>
    <x v="2"/>
    <n v="16594"/>
    <n v="809"/>
    <n v="784"/>
    <x v="64"/>
    <n v="35505"/>
    <n v="112588"/>
    <x v="67"/>
    <x v="3"/>
  </r>
  <r>
    <s v="A62"/>
    <x v="1"/>
    <d v="2025-09-20T00:00:00"/>
    <x v="2"/>
    <x v="3"/>
    <n v="18633"/>
    <n v="797"/>
    <n v="303"/>
    <x v="65"/>
    <n v="7"/>
    <n v="122189"/>
    <x v="68"/>
    <x v="4"/>
  </r>
  <r>
    <s v="A75"/>
    <x v="3"/>
    <d v="2024-08-01T00:00:00"/>
    <x v="2"/>
    <x v="7"/>
    <n v="21758"/>
    <n v="1380"/>
    <n v="188"/>
    <x v="66"/>
    <n v="20998"/>
    <n v="147803"/>
    <x v="69"/>
    <x v="2"/>
  </r>
  <r>
    <s v="A189"/>
    <x v="1"/>
    <d v="2025-03-24T00:00:00"/>
    <x v="2"/>
    <x v="1"/>
    <n v="10172"/>
    <n v="1398"/>
    <n v="394"/>
    <x v="67"/>
    <n v="59610"/>
    <n v="76321"/>
    <x v="70"/>
    <x v="1"/>
  </r>
  <r>
    <s v="A50"/>
    <x v="2"/>
    <d v="2024-07-03T00:00:00"/>
    <x v="1"/>
    <x v="0"/>
    <n v="14338"/>
    <n v="1454"/>
    <n v="697"/>
    <x v="68"/>
    <n v="21288"/>
    <n v="107649"/>
    <x v="71"/>
    <x v="1"/>
  </r>
  <r>
    <s v="A132"/>
    <x v="3"/>
    <d v="2025-03-04T00:00:00"/>
    <x v="0"/>
    <x v="6"/>
    <n v="5266"/>
    <n v="316"/>
    <n v="837"/>
    <x v="69"/>
    <n v="20967"/>
    <n v="41969"/>
    <x v="72"/>
    <x v="2"/>
  </r>
  <r>
    <s v="A40"/>
    <x v="1"/>
    <d v="2025-09-14T00:00:00"/>
    <x v="3"/>
    <x v="5"/>
    <n v="19844"/>
    <n v="1020"/>
    <n v="247"/>
    <x v="42"/>
    <n v="37792"/>
    <n v="138317"/>
    <x v="73"/>
    <x v="4"/>
  </r>
  <r>
    <s v="A77"/>
    <x v="0"/>
    <d v="2025-03-04T00:00:00"/>
    <x v="3"/>
    <x v="10"/>
    <n v="13470"/>
    <n v="523"/>
    <n v="280"/>
    <x v="70"/>
    <n v="8538"/>
    <n v="95204"/>
    <x v="74"/>
    <x v="0"/>
  </r>
  <r>
    <s v="A264"/>
    <x v="3"/>
    <d v="2025-01-30T00:00:00"/>
    <x v="1"/>
    <x v="9"/>
    <n v="12954"/>
    <n v="913"/>
    <n v="722"/>
    <x v="71"/>
    <n v="475"/>
    <n v="97716"/>
    <x v="75"/>
    <x v="0"/>
  </r>
  <r>
    <s v="A108"/>
    <x v="0"/>
    <d v="2025-09-28T00:00:00"/>
    <x v="3"/>
    <x v="5"/>
    <n v="21963"/>
    <n v="1356"/>
    <n v="349"/>
    <x v="72"/>
    <n v="51755"/>
    <n v="159273"/>
    <x v="76"/>
    <x v="4"/>
  </r>
  <r>
    <s v="A248"/>
    <x v="3"/>
    <d v="2025-09-14T00:00:00"/>
    <x v="3"/>
    <x v="3"/>
    <n v="12787"/>
    <n v="945"/>
    <n v="974"/>
    <x v="73"/>
    <n v="4037"/>
    <n v="99182"/>
    <x v="77"/>
    <x v="4"/>
  </r>
  <r>
    <s v="A104"/>
    <x v="0"/>
    <d v="2025-03-23T00:00:00"/>
    <x v="2"/>
    <x v="7"/>
    <n v="24711"/>
    <n v="882"/>
    <n v="876"/>
    <x v="74"/>
    <n v="32015"/>
    <n v="180272"/>
    <x v="78"/>
    <x v="1"/>
  </r>
  <r>
    <s v="A242"/>
    <x v="1"/>
    <d v="2025-09-12T00:00:00"/>
    <x v="0"/>
    <x v="0"/>
    <n v="15918"/>
    <n v="1114"/>
    <n v="392"/>
    <x v="75"/>
    <n v="28044"/>
    <n v="118714"/>
    <x v="79"/>
    <x v="4"/>
  </r>
  <r>
    <s v="A155"/>
    <x v="3"/>
    <d v="2024-12-21T00:00:00"/>
    <x v="2"/>
    <x v="2"/>
    <n v="12453"/>
    <n v="376"/>
    <n v="320"/>
    <x v="76"/>
    <n v="22617"/>
    <n v="90138"/>
    <x v="80"/>
    <x v="3"/>
  </r>
  <r>
    <s v="A232"/>
    <x v="0"/>
    <d v="2025-04-29T00:00:00"/>
    <x v="3"/>
    <x v="5"/>
    <n v="16277"/>
    <n v="1109"/>
    <n v="375"/>
    <x v="77"/>
    <n v="1044"/>
    <n v="121889"/>
    <x v="81"/>
    <x v="1"/>
  </r>
  <r>
    <s v="A224"/>
    <x v="0"/>
    <d v="2025-09-07T00:00:00"/>
    <x v="1"/>
    <x v="11"/>
    <n v="4472"/>
    <n v="1301"/>
    <n v="956"/>
    <x v="35"/>
    <n v="3363"/>
    <n v="46471"/>
    <x v="82"/>
    <x v="4"/>
  </r>
  <r>
    <s v="A67"/>
    <x v="0"/>
    <d v="2025-03-29T00:00:00"/>
    <x v="0"/>
    <x v="5"/>
    <n v="19461"/>
    <n v="1382"/>
    <n v="445"/>
    <x v="78"/>
    <n v="84691"/>
    <n v="151453"/>
    <x v="83"/>
    <x v="1"/>
  </r>
  <r>
    <s v="A203"/>
    <x v="1"/>
    <d v="2024-11-21T00:00:00"/>
    <x v="2"/>
    <x v="5"/>
    <n v="8229"/>
    <n v="977"/>
    <n v="152"/>
    <x v="79"/>
    <n v="71447"/>
    <n v="67723"/>
    <x v="84"/>
    <x v="2"/>
  </r>
  <r>
    <s v="A184"/>
    <x v="1"/>
    <d v="2025-10-13T00:00:00"/>
    <x v="0"/>
    <x v="3"/>
    <n v="19302"/>
    <n v="1367"/>
    <n v="188"/>
    <x v="80"/>
    <n v="31404"/>
    <n v="154044"/>
    <x v="85"/>
    <x v="4"/>
  </r>
  <r>
    <s v="A88"/>
    <x v="3"/>
    <d v="2024-07-07T00:00:00"/>
    <x v="1"/>
    <x v="6"/>
    <n v="24625"/>
    <n v="749"/>
    <n v="193"/>
    <x v="81"/>
    <n v="4890"/>
    <n v="189381"/>
    <x v="86"/>
    <x v="0"/>
  </r>
  <r>
    <s v="A39"/>
    <x v="3"/>
    <d v="2025-09-13T00:00:00"/>
    <x v="3"/>
    <x v="0"/>
    <n v="17106"/>
    <n v="702"/>
    <n v="459"/>
    <x v="82"/>
    <n v="59627"/>
    <n v="136059"/>
    <x v="87"/>
    <x v="4"/>
  </r>
  <r>
    <s v="A168"/>
    <x v="1"/>
    <d v="2024-11-12T00:00:00"/>
    <x v="2"/>
    <x v="6"/>
    <n v="19022"/>
    <n v="541"/>
    <n v="575"/>
    <x v="83"/>
    <n v="42743"/>
    <n v="150169"/>
    <x v="88"/>
    <x v="0"/>
  </r>
  <r>
    <s v="A60"/>
    <x v="3"/>
    <d v="2025-01-28T00:00:00"/>
    <x v="1"/>
    <x v="5"/>
    <n v="9239"/>
    <n v="1477"/>
    <n v="631"/>
    <x v="84"/>
    <n v="11580"/>
    <n v="84738"/>
    <x v="89"/>
    <x v="3"/>
  </r>
  <r>
    <s v="A147"/>
    <x v="1"/>
    <d v="2024-10-21T00:00:00"/>
    <x v="1"/>
    <x v="10"/>
    <n v="20777"/>
    <n v="962"/>
    <n v="308"/>
    <x v="85"/>
    <n v="25529"/>
    <n v="165354"/>
    <x v="90"/>
    <x v="0"/>
  </r>
  <r>
    <s v="A72"/>
    <x v="2"/>
    <d v="2025-03-03T00:00:00"/>
    <x v="3"/>
    <x v="3"/>
    <n v="24928"/>
    <n v="214"/>
    <n v="765"/>
    <x v="84"/>
    <n v="5239"/>
    <n v="194571"/>
    <x v="91"/>
    <x v="2"/>
  </r>
  <r>
    <s v="A265"/>
    <x v="1"/>
    <d v="2025-02-20T00:00:00"/>
    <x v="3"/>
    <x v="10"/>
    <n v="15703"/>
    <n v="1381"/>
    <n v="639"/>
    <x v="86"/>
    <n v="10967"/>
    <n v="133747"/>
    <x v="92"/>
    <x v="2"/>
  </r>
  <r>
    <s v="A7"/>
    <x v="3"/>
    <d v="2024-06-24T00:00:00"/>
    <x v="3"/>
    <x v="0"/>
    <n v="7713"/>
    <n v="575"/>
    <n v="417"/>
    <x v="87"/>
    <n v="61660"/>
    <n v="66017"/>
    <x v="93"/>
    <x v="1"/>
  </r>
  <r>
    <s v="A100"/>
    <x v="3"/>
    <d v="2025-09-25T00:00:00"/>
    <x v="2"/>
    <x v="1"/>
    <n v="20564"/>
    <n v="1433"/>
    <n v="488"/>
    <x v="88"/>
    <n v="24333"/>
    <n v="172130"/>
    <x v="94"/>
    <x v="4"/>
  </r>
  <r>
    <s v="A294"/>
    <x v="2"/>
    <d v="2024-06-19T00:00:00"/>
    <x v="3"/>
    <x v="9"/>
    <n v="20444"/>
    <n v="233"/>
    <n v="189"/>
    <x v="89"/>
    <n v="28185"/>
    <n v="159891"/>
    <x v="95"/>
    <x v="1"/>
  </r>
  <r>
    <s v="A1"/>
    <x v="1"/>
    <d v="2024-12-23T00:00:00"/>
    <x v="2"/>
    <x v="2"/>
    <n v="24516"/>
    <n v="976"/>
    <n v="974"/>
    <x v="90"/>
    <n v="23275"/>
    <n v="202932"/>
    <x v="96"/>
    <x v="0"/>
  </r>
  <r>
    <s v="A84"/>
    <x v="0"/>
    <d v="2024-12-09T00:00:00"/>
    <x v="2"/>
    <x v="6"/>
    <n v="15051"/>
    <n v="268"/>
    <n v="251"/>
    <x v="91"/>
    <n v="34154"/>
    <n v="119671"/>
    <x v="97"/>
    <x v="1"/>
  </r>
  <r>
    <s v="A53"/>
    <x v="1"/>
    <d v="2025-02-24T00:00:00"/>
    <x v="2"/>
    <x v="3"/>
    <n v="23949"/>
    <n v="356"/>
    <n v="616"/>
    <x v="92"/>
    <n v="3144"/>
    <n v="192999"/>
    <x v="98"/>
    <x v="1"/>
  </r>
  <r>
    <s v="A138"/>
    <x v="3"/>
    <d v="2025-03-29T00:00:00"/>
    <x v="3"/>
    <x v="7"/>
    <n v="23508"/>
    <n v="585"/>
    <n v="743"/>
    <x v="93"/>
    <n v="3704"/>
    <n v="194268"/>
    <x v="99"/>
    <x v="1"/>
  </r>
  <r>
    <s v="A194"/>
    <x v="1"/>
    <d v="2024-10-02T00:00:00"/>
    <x v="0"/>
    <x v="0"/>
    <n v="5086"/>
    <n v="1336"/>
    <n v="897"/>
    <x v="94"/>
    <n v="60592"/>
    <n v="57772"/>
    <x v="100"/>
    <x v="3"/>
  </r>
  <r>
    <s v="A135"/>
    <x v="1"/>
    <d v="2024-11-28T00:00:00"/>
    <x v="3"/>
    <x v="10"/>
    <n v="19055"/>
    <n v="443"/>
    <n v="976"/>
    <x v="95"/>
    <n v="75437"/>
    <n v="161863"/>
    <x v="101"/>
    <x v="3"/>
  </r>
  <r>
    <s v="A205"/>
    <x v="0"/>
    <d v="2025-09-23T00:00:00"/>
    <x v="1"/>
    <x v="3"/>
    <n v="17147"/>
    <n v="286"/>
    <n v="291"/>
    <x v="96"/>
    <n v="45631"/>
    <n v="140494"/>
    <x v="102"/>
    <x v="4"/>
  </r>
  <r>
    <s v="A24"/>
    <x v="0"/>
    <d v="2025-01-23T00:00:00"/>
    <x v="0"/>
    <x v="10"/>
    <n v="23168"/>
    <n v="1265"/>
    <n v="441"/>
    <x v="97"/>
    <n v="66615"/>
    <n v="197795"/>
    <x v="103"/>
    <x v="1"/>
  </r>
  <r>
    <s v="A271"/>
    <x v="2"/>
    <d v="2024-10-17T00:00:00"/>
    <x v="0"/>
    <x v="7"/>
    <n v="18608"/>
    <n v="1338"/>
    <n v="365"/>
    <x v="98"/>
    <n v="20785"/>
    <n v="161999"/>
    <x v="104"/>
    <x v="0"/>
  </r>
  <r>
    <s v="A131"/>
    <x v="0"/>
    <d v="2024-10-21T00:00:00"/>
    <x v="2"/>
    <x v="10"/>
    <n v="20271"/>
    <n v="512"/>
    <n v="286"/>
    <x v="99"/>
    <n v="43225"/>
    <n v="168335"/>
    <x v="105"/>
    <x v="1"/>
  </r>
  <r>
    <s v="A36"/>
    <x v="3"/>
    <d v="2025-04-19T00:00:00"/>
    <x v="3"/>
    <x v="8"/>
    <n v="20384"/>
    <n v="344"/>
    <n v="956"/>
    <x v="100"/>
    <n v="67621"/>
    <n v="175720"/>
    <x v="106"/>
    <x v="3"/>
  </r>
  <r>
    <s v="A144"/>
    <x v="0"/>
    <d v="2024-10-28T00:00:00"/>
    <x v="3"/>
    <x v="9"/>
    <n v="8981"/>
    <n v="1138"/>
    <n v="764"/>
    <x v="101"/>
    <n v="92810"/>
    <n v="88320"/>
    <x v="107"/>
    <x v="2"/>
  </r>
  <r>
    <s v="A157"/>
    <x v="1"/>
    <d v="2024-07-23T00:00:00"/>
    <x v="0"/>
    <x v="9"/>
    <n v="24877"/>
    <n v="262"/>
    <n v="513"/>
    <x v="102"/>
    <n v="47544"/>
    <n v="208280"/>
    <x v="108"/>
    <x v="3"/>
  </r>
  <r>
    <s v="A109"/>
    <x v="2"/>
    <d v="2024-08-08T00:00:00"/>
    <x v="3"/>
    <x v="5"/>
    <n v="24355"/>
    <n v="1087"/>
    <n v="686"/>
    <x v="103"/>
    <n v="24963"/>
    <n v="212307"/>
    <x v="109"/>
    <x v="0"/>
  </r>
  <r>
    <s v="A217"/>
    <x v="0"/>
    <d v="2025-09-26T00:00:00"/>
    <x v="3"/>
    <x v="2"/>
    <n v="16369"/>
    <n v="1452"/>
    <n v="493"/>
    <x v="104"/>
    <n v="91440"/>
    <n v="149834"/>
    <x v="110"/>
    <x v="4"/>
  </r>
  <r>
    <s v="A66"/>
    <x v="2"/>
    <d v="2024-07-26T00:00:00"/>
    <x v="1"/>
    <x v="5"/>
    <n v="12176"/>
    <n v="1005"/>
    <n v="862"/>
    <x v="105"/>
    <n v="2285"/>
    <n v="116619"/>
    <x v="111"/>
    <x v="1"/>
  </r>
  <r>
    <s v="A228"/>
    <x v="2"/>
    <d v="2024-07-01T00:00:00"/>
    <x v="0"/>
    <x v="7"/>
    <n v="3761"/>
    <n v="651"/>
    <n v="493"/>
    <x v="106"/>
    <n v="71696"/>
    <n v="41177"/>
    <x v="112"/>
    <x v="0"/>
  </r>
  <r>
    <s v="A234"/>
    <x v="0"/>
    <d v="2024-06-01T00:00:00"/>
    <x v="2"/>
    <x v="0"/>
    <n v="19844"/>
    <n v="1022"/>
    <n v="860"/>
    <x v="107"/>
    <n v="23719"/>
    <n v="182628"/>
    <x v="113"/>
    <x v="3"/>
  </r>
  <r>
    <s v="A107"/>
    <x v="2"/>
    <d v="2024-06-21T00:00:00"/>
    <x v="0"/>
    <x v="4"/>
    <n v="21216"/>
    <n v="1207"/>
    <n v="859"/>
    <x v="108"/>
    <n v="91296"/>
    <n v="196683"/>
    <x v="114"/>
    <x v="3"/>
  </r>
  <r>
    <s v="A63"/>
    <x v="3"/>
    <d v="2024-07-31T00:00:00"/>
    <x v="2"/>
    <x v="2"/>
    <n v="12357"/>
    <n v="716"/>
    <n v="599"/>
    <x v="82"/>
    <n v="89591"/>
    <n v="116367"/>
    <x v="115"/>
    <x v="0"/>
  </r>
  <r>
    <s v="A204"/>
    <x v="3"/>
    <d v="2025-09-22T00:00:00"/>
    <x v="3"/>
    <x v="1"/>
    <n v="18509"/>
    <n v="361"/>
    <n v="578"/>
    <x v="109"/>
    <n v="10569"/>
    <n v="166969"/>
    <x v="116"/>
    <x v="4"/>
  </r>
  <r>
    <s v="A250"/>
    <x v="1"/>
    <d v="2024-06-22T00:00:00"/>
    <x v="1"/>
    <x v="5"/>
    <n v="7342"/>
    <n v="906"/>
    <n v="902"/>
    <x v="110"/>
    <n v="68488"/>
    <n v="79310"/>
    <x v="117"/>
    <x v="0"/>
  </r>
  <r>
    <s v="A95"/>
    <x v="2"/>
    <d v="2024-11-08T00:00:00"/>
    <x v="1"/>
    <x v="4"/>
    <n v="23499"/>
    <n v="562"/>
    <n v="964"/>
    <x v="111"/>
    <n v="56890"/>
    <n v="218686"/>
    <x v="118"/>
    <x v="1"/>
  </r>
  <r>
    <s v="A143"/>
    <x v="0"/>
    <d v="2024-10-02T00:00:00"/>
    <x v="2"/>
    <x v="7"/>
    <n v="15716"/>
    <n v="839"/>
    <n v="639"/>
    <x v="112"/>
    <n v="349"/>
    <n v="150677"/>
    <x v="119"/>
    <x v="3"/>
  </r>
  <r>
    <s v="A98"/>
    <x v="0"/>
    <d v="2024-06-10T00:00:00"/>
    <x v="0"/>
    <x v="0"/>
    <n v="21561"/>
    <n v="340"/>
    <n v="741"/>
    <x v="113"/>
    <n v="24826"/>
    <n v="198492"/>
    <x v="120"/>
    <x v="0"/>
  </r>
  <r>
    <s v="A161"/>
    <x v="1"/>
    <d v="2025-10-06T00:00:00"/>
    <x v="0"/>
    <x v="7"/>
    <n v="22028"/>
    <n v="355"/>
    <n v="665"/>
    <x v="114"/>
    <n v="50565"/>
    <n v="202962"/>
    <x v="121"/>
    <x v="4"/>
  </r>
  <r>
    <s v="A27"/>
    <x v="2"/>
    <d v="2024-09-17T00:00:00"/>
    <x v="1"/>
    <x v="10"/>
    <n v="20017"/>
    <n v="495"/>
    <n v="178"/>
    <x v="115"/>
    <n v="32244"/>
    <n v="182633"/>
    <x v="122"/>
    <x v="0"/>
  </r>
  <r>
    <s v="A128"/>
    <x v="3"/>
    <d v="2025-01-10T00:00:00"/>
    <x v="3"/>
    <x v="9"/>
    <n v="14647"/>
    <n v="1168"/>
    <n v="484"/>
    <x v="116"/>
    <n v="27217"/>
    <n v="144061"/>
    <x v="123"/>
    <x v="1"/>
  </r>
  <r>
    <s v="A159"/>
    <x v="3"/>
    <d v="2025-10-05T00:00:00"/>
    <x v="1"/>
    <x v="0"/>
    <n v="21262"/>
    <n v="861"/>
    <n v="676"/>
    <x v="117"/>
    <n v="12085"/>
    <n v="201731"/>
    <x v="124"/>
    <x v="4"/>
  </r>
  <r>
    <s v="A195"/>
    <x v="1"/>
    <d v="2024-08-15T00:00:00"/>
    <x v="2"/>
    <x v="10"/>
    <n v="15503"/>
    <n v="313"/>
    <n v="388"/>
    <x v="118"/>
    <n v="11500"/>
    <n v="143754"/>
    <x v="125"/>
    <x v="1"/>
  </r>
  <r>
    <s v="A71"/>
    <x v="2"/>
    <d v="2024-09-02T00:00:00"/>
    <x v="3"/>
    <x v="4"/>
    <n v="12040"/>
    <n v="1147"/>
    <n v="210"/>
    <x v="119"/>
    <n v="30360"/>
    <n v="119530"/>
    <x v="126"/>
    <x v="1"/>
  </r>
  <r>
    <s v="A92"/>
    <x v="0"/>
    <d v="2024-10-21T00:00:00"/>
    <x v="1"/>
    <x v="6"/>
    <n v="19715"/>
    <n v="1014"/>
    <n v="718"/>
    <x v="120"/>
    <n v="37625"/>
    <n v="191409"/>
    <x v="127"/>
    <x v="0"/>
  </r>
  <r>
    <s v="A225"/>
    <x v="2"/>
    <d v="2024-06-20T00:00:00"/>
    <x v="0"/>
    <x v="5"/>
    <n v="21123"/>
    <n v="1343"/>
    <n v="589"/>
    <x v="121"/>
    <n v="87833"/>
    <n v="206703"/>
    <x v="128"/>
    <x v="0"/>
  </r>
  <r>
    <s v="A19"/>
    <x v="0"/>
    <d v="2024-06-23T00:00:00"/>
    <x v="1"/>
    <x v="3"/>
    <n v="16512"/>
    <n v="1050"/>
    <n v="971"/>
    <x v="122"/>
    <n v="15865"/>
    <n v="166503"/>
    <x v="129"/>
    <x v="1"/>
  </r>
  <r>
    <s v="A3"/>
    <x v="3"/>
    <d v="2025-05-12T00:00:00"/>
    <x v="1"/>
    <x v="7"/>
    <n v="19308"/>
    <n v="1318"/>
    <n v="795"/>
    <x v="123"/>
    <n v="52307"/>
    <n v="193087"/>
    <x v="130"/>
    <x v="3"/>
  </r>
  <r>
    <s v="A146"/>
    <x v="1"/>
    <d v="2024-06-05T00:00:00"/>
    <x v="1"/>
    <x v="9"/>
    <n v="18907"/>
    <n v="1075"/>
    <n v="675"/>
    <x v="124"/>
    <n v="17875"/>
    <n v="186649"/>
    <x v="131"/>
    <x v="0"/>
  </r>
  <r>
    <s v="A284"/>
    <x v="1"/>
    <d v="2024-09-17T00:00:00"/>
    <x v="0"/>
    <x v="0"/>
    <n v="20410"/>
    <n v="1332"/>
    <n v="472"/>
    <x v="125"/>
    <n v="9418"/>
    <n v="200806"/>
    <x v="132"/>
    <x v="0"/>
  </r>
  <r>
    <s v="A235"/>
    <x v="0"/>
    <d v="2024-12-22T00:00:00"/>
    <x v="1"/>
    <x v="4"/>
    <n v="20117"/>
    <n v="1143"/>
    <n v="713"/>
    <x v="126"/>
    <n v="34444"/>
    <n v="198670"/>
    <x v="133"/>
    <x v="2"/>
  </r>
  <r>
    <s v="A282"/>
    <x v="0"/>
    <d v="2024-10-03T00:00:00"/>
    <x v="2"/>
    <x v="4"/>
    <n v="22618"/>
    <n v="641"/>
    <n v="416"/>
    <x v="127"/>
    <n v="18395"/>
    <n v="215211"/>
    <x v="134"/>
    <x v="2"/>
  </r>
  <r>
    <s v="A258"/>
    <x v="2"/>
    <d v="2024-08-05T00:00:00"/>
    <x v="0"/>
    <x v="2"/>
    <n v="20935"/>
    <n v="1104"/>
    <n v="876"/>
    <x v="128"/>
    <n v="21454"/>
    <n v="208722"/>
    <x v="135"/>
    <x v="3"/>
  </r>
  <r>
    <s v="A153"/>
    <x v="3"/>
    <d v="2025-01-01T00:00:00"/>
    <x v="0"/>
    <x v="6"/>
    <n v="24574"/>
    <n v="909"/>
    <n v="280"/>
    <x v="23"/>
    <n v="6221"/>
    <n v="236910"/>
    <x v="136"/>
    <x v="2"/>
  </r>
  <r>
    <s v="A33"/>
    <x v="0"/>
    <d v="2025-09-11T00:00:00"/>
    <x v="3"/>
    <x v="10"/>
    <n v="10175"/>
    <n v="342"/>
    <n v="825"/>
    <x v="129"/>
    <n v="15954"/>
    <n v="104324"/>
    <x v="137"/>
    <x v="4"/>
  </r>
  <r>
    <s v="A183"/>
    <x v="2"/>
    <d v="2024-12-17T00:00:00"/>
    <x v="2"/>
    <x v="5"/>
    <n v="20030"/>
    <n v="485"/>
    <n v="888"/>
    <x v="130"/>
    <n v="4322"/>
    <n v="196995"/>
    <x v="138"/>
    <x v="3"/>
  </r>
  <r>
    <s v="A52"/>
    <x v="2"/>
    <d v="2025-09-19T00:00:00"/>
    <x v="2"/>
    <x v="5"/>
    <n v="19100"/>
    <n v="619"/>
    <n v="297"/>
    <x v="131"/>
    <n v="9730"/>
    <n v="184832"/>
    <x v="139"/>
    <x v="4"/>
  </r>
  <r>
    <s v="A199"/>
    <x v="3"/>
    <d v="2025-09-20T00:00:00"/>
    <x v="2"/>
    <x v="5"/>
    <n v="12267"/>
    <n v="1487"/>
    <n v="489"/>
    <x v="56"/>
    <n v="34685"/>
    <n v="131736"/>
    <x v="140"/>
    <x v="4"/>
  </r>
  <r>
    <s v="A262"/>
    <x v="2"/>
    <d v="2025-01-18T00:00:00"/>
    <x v="1"/>
    <x v="9"/>
    <n v="22673"/>
    <n v="1053"/>
    <n v="169"/>
    <x v="132"/>
    <n v="9417"/>
    <n v="221187"/>
    <x v="141"/>
    <x v="1"/>
  </r>
  <r>
    <s v="A268"/>
    <x v="0"/>
    <d v="2025-04-13T00:00:00"/>
    <x v="3"/>
    <x v="8"/>
    <n v="24700"/>
    <n v="327"/>
    <n v="999"/>
    <x v="133"/>
    <n v="59400"/>
    <n v="243502"/>
    <x v="142"/>
    <x v="3"/>
  </r>
  <r>
    <s v="A180"/>
    <x v="1"/>
    <d v="2025-10-11T00:00:00"/>
    <x v="3"/>
    <x v="5"/>
    <n v="15623"/>
    <n v="869"/>
    <n v="423"/>
    <x v="134"/>
    <n v="47579"/>
    <n v="158516"/>
    <x v="143"/>
    <x v="4"/>
  </r>
  <r>
    <s v="A214"/>
    <x v="1"/>
    <d v="2024-12-23T00:00:00"/>
    <x v="0"/>
    <x v="7"/>
    <n v="18616"/>
    <n v="1277"/>
    <n v="734"/>
    <x v="135"/>
    <n v="3399"/>
    <n v="193515"/>
    <x v="144"/>
    <x v="1"/>
  </r>
  <r>
    <s v="A272"/>
    <x v="0"/>
    <d v="2025-03-27T00:00:00"/>
    <x v="1"/>
    <x v="9"/>
    <n v="14819"/>
    <n v="1432"/>
    <n v="152"/>
    <x v="136"/>
    <n v="39154"/>
    <n v="154793"/>
    <x v="145"/>
    <x v="1"/>
  </r>
  <r>
    <s v="A198"/>
    <x v="0"/>
    <d v="2025-09-19T00:00:00"/>
    <x v="3"/>
    <x v="4"/>
    <n v="14772"/>
    <n v="1030"/>
    <n v="508"/>
    <x v="137"/>
    <n v="8882"/>
    <n v="155142"/>
    <x v="146"/>
    <x v="4"/>
  </r>
  <r>
    <s v="A296"/>
    <x v="0"/>
    <d v="2025-02-11T00:00:00"/>
    <x v="3"/>
    <x v="11"/>
    <n v="3619"/>
    <n v="1376"/>
    <n v="410"/>
    <x v="138"/>
    <n v="58146"/>
    <n v="52149"/>
    <x v="147"/>
    <x v="0"/>
  </r>
  <r>
    <s v="A240"/>
    <x v="0"/>
    <d v="2025-09-11T00:00:00"/>
    <x v="0"/>
    <x v="0"/>
    <n v="21901"/>
    <n v="1308"/>
    <n v="724"/>
    <x v="139"/>
    <n v="15996"/>
    <n v="230961"/>
    <x v="148"/>
    <x v="4"/>
  </r>
  <r>
    <s v="A243"/>
    <x v="0"/>
    <d v="2025-03-06T00:00:00"/>
    <x v="1"/>
    <x v="10"/>
    <n v="22119"/>
    <n v="899"/>
    <n v="642"/>
    <x v="140"/>
    <n v="49490"/>
    <n v="229420"/>
    <x v="149"/>
    <x v="1"/>
  </r>
  <r>
    <s v="A290"/>
    <x v="0"/>
    <d v="2025-09-20T00:00:00"/>
    <x v="2"/>
    <x v="1"/>
    <n v="24422"/>
    <n v="327"/>
    <n v="481"/>
    <x v="141"/>
    <n v="35340"/>
    <n v="245244"/>
    <x v="150"/>
    <x v="4"/>
  </r>
  <r>
    <s v="A237"/>
    <x v="2"/>
    <d v="2024-10-22T00:00:00"/>
    <x v="3"/>
    <x v="7"/>
    <n v="7622"/>
    <n v="529"/>
    <n v="720"/>
    <x v="88"/>
    <n v="71322"/>
    <n v="86819"/>
    <x v="151"/>
    <x v="2"/>
  </r>
  <r>
    <s v="A166"/>
    <x v="3"/>
    <d v="2025-02-16T00:00:00"/>
    <x v="1"/>
    <x v="3"/>
    <n v="24195"/>
    <n v="888"/>
    <n v="165"/>
    <x v="142"/>
    <n v="11596"/>
    <n v="249988"/>
    <x v="152"/>
    <x v="3"/>
  </r>
  <r>
    <s v="A122"/>
    <x v="3"/>
    <d v="2024-10-02T00:00:00"/>
    <x v="0"/>
    <x v="9"/>
    <n v="9350"/>
    <n v="1024"/>
    <n v="550"/>
    <x v="143"/>
    <n v="53916"/>
    <n v="108785"/>
    <x v="153"/>
    <x v="3"/>
  </r>
  <r>
    <s v="A249"/>
    <x v="3"/>
    <d v="2024-07-18T00:00:00"/>
    <x v="0"/>
    <x v="8"/>
    <n v="11111"/>
    <n v="1222"/>
    <n v="367"/>
    <x v="144"/>
    <n v="14129"/>
    <n v="127163"/>
    <x v="154"/>
    <x v="2"/>
  </r>
  <r>
    <s v="A165"/>
    <x v="2"/>
    <d v="2025-10-07T00:00:00"/>
    <x v="3"/>
    <x v="5"/>
    <n v="19660"/>
    <n v="1307"/>
    <n v="310"/>
    <x v="145"/>
    <n v="22171"/>
    <n v="213359"/>
    <x v="155"/>
    <x v="4"/>
  </r>
  <r>
    <s v="A10"/>
    <x v="2"/>
    <d v="2025-03-11T00:00:00"/>
    <x v="0"/>
    <x v="10"/>
    <n v="20222"/>
    <n v="712"/>
    <n v="604"/>
    <x v="146"/>
    <n v="71598"/>
    <n v="216422"/>
    <x v="156"/>
    <x v="3"/>
  </r>
  <r>
    <s v="A103"/>
    <x v="2"/>
    <d v="2025-09-27T00:00:00"/>
    <x v="1"/>
    <x v="6"/>
    <n v="18521"/>
    <n v="1027"/>
    <n v="230"/>
    <x v="147"/>
    <n v="39588"/>
    <n v="200928"/>
    <x v="157"/>
    <x v="4"/>
  </r>
  <r>
    <s v="A118"/>
    <x v="2"/>
    <d v="2024-11-04T00:00:00"/>
    <x v="0"/>
    <x v="1"/>
    <n v="14234"/>
    <n v="1013"/>
    <n v="437"/>
    <x v="148"/>
    <n v="67754"/>
    <n v="160030"/>
    <x v="158"/>
    <x v="3"/>
  </r>
  <r>
    <s v="A253"/>
    <x v="0"/>
    <d v="2025-09-16T00:00:00"/>
    <x v="2"/>
    <x v="8"/>
    <n v="16043"/>
    <n v="595"/>
    <n v="923"/>
    <x v="149"/>
    <n v="52613"/>
    <n v="179978"/>
    <x v="159"/>
    <x v="4"/>
  </r>
  <r>
    <s v="A114"/>
    <x v="2"/>
    <d v="2024-11-14T00:00:00"/>
    <x v="2"/>
    <x v="7"/>
    <n v="6300"/>
    <n v="1213"/>
    <n v="720"/>
    <x v="150"/>
    <n v="39569"/>
    <n v="85272"/>
    <x v="160"/>
    <x v="1"/>
  </r>
  <r>
    <s v="A208"/>
    <x v="0"/>
    <d v="2024-06-24T00:00:00"/>
    <x v="1"/>
    <x v="6"/>
    <n v="5596"/>
    <n v="1231"/>
    <n v="473"/>
    <x v="151"/>
    <n v="43705"/>
    <n v="75643"/>
    <x v="161"/>
    <x v="0"/>
  </r>
  <r>
    <s v="A263"/>
    <x v="3"/>
    <d v="2024-08-20T00:00:00"/>
    <x v="1"/>
    <x v="1"/>
    <n v="2846"/>
    <n v="792"/>
    <n v="902"/>
    <x v="63"/>
    <n v="12130"/>
    <n v="47151"/>
    <x v="162"/>
    <x v="0"/>
  </r>
  <r>
    <s v="A35"/>
    <x v="2"/>
    <d v="2024-11-30T00:00:00"/>
    <x v="0"/>
    <x v="3"/>
    <n v="14763"/>
    <n v="864"/>
    <n v="336"/>
    <x v="152"/>
    <n v="33310"/>
    <n v="165932"/>
    <x v="163"/>
    <x v="1"/>
  </r>
  <r>
    <s v="A26"/>
    <x v="2"/>
    <d v="2025-04-05T00:00:00"/>
    <x v="0"/>
    <x v="5"/>
    <n v="22384"/>
    <n v="601"/>
    <n v="943"/>
    <x v="153"/>
    <n v="41309"/>
    <n v="249373"/>
    <x v="164"/>
    <x v="0"/>
  </r>
  <r>
    <s v="A238"/>
    <x v="2"/>
    <d v="2024-07-16T00:00:00"/>
    <x v="1"/>
    <x v="10"/>
    <n v="8767"/>
    <n v="974"/>
    <n v="733"/>
    <x v="154"/>
    <n v="74927"/>
    <n v="113770"/>
    <x v="165"/>
    <x v="0"/>
  </r>
  <r>
    <s v="A56"/>
    <x v="0"/>
    <d v="2024-12-18T00:00:00"/>
    <x v="1"/>
    <x v="10"/>
    <n v="14775"/>
    <n v="1220"/>
    <n v="640"/>
    <x v="62"/>
    <n v="28527"/>
    <n v="183660"/>
    <x v="166"/>
    <x v="2"/>
  </r>
  <r>
    <s v="A266"/>
    <x v="2"/>
    <d v="2024-11-25T00:00:00"/>
    <x v="0"/>
    <x v="10"/>
    <n v="17385"/>
    <n v="831"/>
    <n v="568"/>
    <x v="155"/>
    <n v="49351"/>
    <n v="207450"/>
    <x v="167"/>
    <x v="3"/>
  </r>
  <r>
    <s v="A179"/>
    <x v="3"/>
    <d v="2024-07-15T00:00:00"/>
    <x v="2"/>
    <x v="3"/>
    <n v="17034"/>
    <n v="231"/>
    <n v="290"/>
    <x v="156"/>
    <n v="63550"/>
    <n v="198280"/>
    <x v="168"/>
    <x v="2"/>
  </r>
  <r>
    <s v="A2"/>
    <x v="0"/>
    <d v="2025-09-03T00:00:00"/>
    <x v="2"/>
    <x v="6"/>
    <n v="4779"/>
    <n v="1110"/>
    <n v="436"/>
    <x v="157"/>
    <n v="77167"/>
    <n v="71585"/>
    <x v="169"/>
    <x v="4"/>
  </r>
  <r>
    <s v="A86"/>
    <x v="1"/>
    <d v="2025-01-27T00:00:00"/>
    <x v="3"/>
    <x v="10"/>
    <n v="8949"/>
    <n v="1477"/>
    <n v="424"/>
    <x v="158"/>
    <n v="58052"/>
    <n v="123310"/>
    <x v="170"/>
    <x v="0"/>
  </r>
  <r>
    <s v="A57"/>
    <x v="0"/>
    <d v="2024-10-21T00:00:00"/>
    <x v="0"/>
    <x v="3"/>
    <n v="12015"/>
    <n v="1196"/>
    <n v="998"/>
    <x v="159"/>
    <n v="44739"/>
    <n v="161750"/>
    <x v="171"/>
    <x v="2"/>
  </r>
  <r>
    <s v="A297"/>
    <x v="2"/>
    <d v="2024-12-24T00:00:00"/>
    <x v="2"/>
    <x v="8"/>
    <n v="10512"/>
    <n v="1197"/>
    <n v="544"/>
    <x v="160"/>
    <n v="10245"/>
    <n v="140102"/>
    <x v="172"/>
    <x v="0"/>
  </r>
  <r>
    <s v="A137"/>
    <x v="3"/>
    <d v="2024-07-31T00:00:00"/>
    <x v="3"/>
    <x v="4"/>
    <n v="13314"/>
    <n v="274"/>
    <n v="626"/>
    <x v="161"/>
    <n v="14639"/>
    <n v="163008"/>
    <x v="173"/>
    <x v="1"/>
  </r>
  <r>
    <s v="A29"/>
    <x v="0"/>
    <d v="2025-09-10T00:00:00"/>
    <x v="3"/>
    <x v="8"/>
    <n v="9266"/>
    <n v="999"/>
    <n v="928"/>
    <x v="162"/>
    <n v="12264"/>
    <n v="128397"/>
    <x v="174"/>
    <x v="4"/>
  </r>
  <r>
    <s v="A34"/>
    <x v="2"/>
    <d v="2025-09-12T00:00:00"/>
    <x v="1"/>
    <x v="7"/>
    <n v="17158"/>
    <n v="1192"/>
    <n v="262"/>
    <x v="163"/>
    <n v="28771"/>
    <n v="216037"/>
    <x v="175"/>
    <x v="4"/>
  </r>
  <r>
    <s v="A64"/>
    <x v="3"/>
    <d v="2024-08-17T00:00:00"/>
    <x v="0"/>
    <x v="1"/>
    <n v="19154"/>
    <n v="1064"/>
    <n v="650"/>
    <x v="164"/>
    <n v="42667"/>
    <n v="242332"/>
    <x v="176"/>
    <x v="3"/>
  </r>
  <r>
    <s v="A55"/>
    <x v="1"/>
    <d v="2024-06-17T00:00:00"/>
    <x v="3"/>
    <x v="2"/>
    <n v="6976"/>
    <n v="1320"/>
    <n v="393"/>
    <x v="165"/>
    <n v="14049"/>
    <n v="101367"/>
    <x v="177"/>
    <x v="2"/>
  </r>
  <r>
    <s v="A259"/>
    <x v="0"/>
    <d v="2025-02-10T00:00:00"/>
    <x v="3"/>
    <x v="6"/>
    <n v="16309"/>
    <n v="1449"/>
    <n v="838"/>
    <x v="166"/>
    <n v="2940"/>
    <n v="217953"/>
    <x v="178"/>
    <x v="1"/>
  </r>
  <r>
    <s v="A25"/>
    <x v="0"/>
    <d v="2025-09-09T00:00:00"/>
    <x v="0"/>
    <x v="5"/>
    <n v="15772"/>
    <n v="288"/>
    <n v="520"/>
    <x v="167"/>
    <n v="59182"/>
    <n v="194351"/>
    <x v="179"/>
    <x v="4"/>
  </r>
  <r>
    <s v="A213"/>
    <x v="3"/>
    <d v="2025-05-01T00:00:00"/>
    <x v="1"/>
    <x v="10"/>
    <n v="10258"/>
    <n v="527"/>
    <n v="854"/>
    <x v="168"/>
    <n v="45632"/>
    <n v="136546"/>
    <x v="180"/>
    <x v="2"/>
  </r>
  <r>
    <s v="A255"/>
    <x v="3"/>
    <d v="2025-04-03T00:00:00"/>
    <x v="2"/>
    <x v="11"/>
    <n v="10837"/>
    <n v="1004"/>
    <n v="922"/>
    <x v="169"/>
    <n v="36807"/>
    <n v="150350"/>
    <x v="181"/>
    <x v="3"/>
  </r>
  <r>
    <s v="A8"/>
    <x v="3"/>
    <d v="2024-07-13T00:00:00"/>
    <x v="0"/>
    <x v="5"/>
    <n v="18639"/>
    <n v="1360"/>
    <n v="898"/>
    <x v="170"/>
    <n v="42841"/>
    <n v="247779"/>
    <x v="182"/>
    <x v="1"/>
  </r>
  <r>
    <s v="A215"/>
    <x v="1"/>
    <d v="2025-09-25T00:00:00"/>
    <x v="0"/>
    <x v="9"/>
    <n v="8371"/>
    <n v="960"/>
    <n v="548"/>
    <x v="171"/>
    <n v="82543"/>
    <n v="119973"/>
    <x v="183"/>
    <x v="4"/>
  </r>
  <r>
    <s v="A117"/>
    <x v="3"/>
    <d v="2024-11-04T00:00:00"/>
    <x v="2"/>
    <x v="3"/>
    <n v="14015"/>
    <n v="978"/>
    <n v="196"/>
    <x v="172"/>
    <n v="20190"/>
    <n v="186470"/>
    <x v="184"/>
    <x v="3"/>
  </r>
  <r>
    <s v="A176"/>
    <x v="2"/>
    <d v="2025-10-09T00:00:00"/>
    <x v="3"/>
    <x v="7"/>
    <n v="18748"/>
    <n v="634"/>
    <n v="400"/>
    <x v="173"/>
    <n v="75813"/>
    <n v="244456"/>
    <x v="185"/>
    <x v="4"/>
  </r>
  <r>
    <s v="A175"/>
    <x v="0"/>
    <d v="2025-10-08T00:00:00"/>
    <x v="1"/>
    <x v="3"/>
    <n v="17745"/>
    <n v="414"/>
    <n v="563"/>
    <x v="174"/>
    <n v="995"/>
    <n v="231648"/>
    <x v="186"/>
    <x v="4"/>
  </r>
  <r>
    <s v="A212"/>
    <x v="1"/>
    <d v="2025-03-03T00:00:00"/>
    <x v="0"/>
    <x v="2"/>
    <n v="9561"/>
    <n v="642"/>
    <n v="581"/>
    <x v="175"/>
    <n v="38552"/>
    <n v="133680"/>
    <x v="187"/>
    <x v="0"/>
  </r>
  <r>
    <s v="A172"/>
    <x v="3"/>
    <d v="2024-08-14T00:00:00"/>
    <x v="3"/>
    <x v="11"/>
    <n v="10150"/>
    <n v="526"/>
    <n v="888"/>
    <x v="176"/>
    <n v="51605"/>
    <n v="143409"/>
    <x v="188"/>
    <x v="0"/>
  </r>
  <r>
    <s v="A191"/>
    <x v="1"/>
    <d v="2025-10-14T00:00:00"/>
    <x v="3"/>
    <x v="9"/>
    <n v="9673"/>
    <n v="393"/>
    <n v="846"/>
    <x v="177"/>
    <n v="55556"/>
    <n v="136652"/>
    <x v="189"/>
    <x v="4"/>
  </r>
  <r>
    <s v="A227"/>
    <x v="3"/>
    <d v="2024-06-12T00:00:00"/>
    <x v="1"/>
    <x v="6"/>
    <n v="17679"/>
    <n v="690"/>
    <n v="451"/>
    <x v="178"/>
    <n v="4390"/>
    <n v="235804"/>
    <x v="190"/>
    <x v="2"/>
  </r>
  <r>
    <s v="A267"/>
    <x v="0"/>
    <d v="2024-10-04T00:00:00"/>
    <x v="0"/>
    <x v="3"/>
    <n v="15746"/>
    <n v="258"/>
    <n v="839"/>
    <x v="179"/>
    <n v="66614"/>
    <n v="213724"/>
    <x v="191"/>
    <x v="3"/>
  </r>
  <r>
    <s v="A59"/>
    <x v="1"/>
    <d v="2024-06-22T00:00:00"/>
    <x v="2"/>
    <x v="5"/>
    <n v="16430"/>
    <n v="488"/>
    <n v="514"/>
    <x v="180"/>
    <n v="30059"/>
    <n v="223305"/>
    <x v="192"/>
    <x v="1"/>
  </r>
  <r>
    <s v="A124"/>
    <x v="1"/>
    <d v="2025-04-06T00:00:00"/>
    <x v="1"/>
    <x v="9"/>
    <n v="8238"/>
    <n v="766"/>
    <n v="235"/>
    <x v="181"/>
    <n v="4706"/>
    <n v="119141"/>
    <x v="193"/>
    <x v="1"/>
  </r>
  <r>
    <s v="A101"/>
    <x v="1"/>
    <d v="2024-10-18T00:00:00"/>
    <x v="3"/>
    <x v="6"/>
    <n v="6892"/>
    <n v="1184"/>
    <n v="925"/>
    <x v="182"/>
    <n v="75008"/>
    <n v="116260"/>
    <x v="194"/>
    <x v="2"/>
  </r>
  <r>
    <s v="A278"/>
    <x v="2"/>
    <d v="2024-11-26T00:00:00"/>
    <x v="0"/>
    <x v="0"/>
    <n v="14607"/>
    <n v="1458"/>
    <n v="478"/>
    <x v="183"/>
    <n v="49257"/>
    <n v="214668"/>
    <x v="195"/>
    <x v="1"/>
  </r>
  <r>
    <s v="A11"/>
    <x v="1"/>
    <d v="2025-02-02T00:00:00"/>
    <x v="3"/>
    <x v="4"/>
    <n v="12136"/>
    <n v="1117"/>
    <n v="834"/>
    <x v="184"/>
    <n v="24675"/>
    <n v="183273"/>
    <x v="196"/>
    <x v="3"/>
  </r>
  <r>
    <s v="A277"/>
    <x v="3"/>
    <d v="2025-04-06T00:00:00"/>
    <x v="2"/>
    <x v="8"/>
    <n v="14941"/>
    <n v="1424"/>
    <n v="238"/>
    <x v="185"/>
    <n v="20516"/>
    <n v="216048"/>
    <x v="197"/>
    <x v="2"/>
  </r>
  <r>
    <s v="A116"/>
    <x v="0"/>
    <d v="2025-03-18T00:00:00"/>
    <x v="2"/>
    <x v="5"/>
    <n v="5818"/>
    <n v="1252"/>
    <n v="687"/>
    <x v="186"/>
    <n v="25081"/>
    <n v="101212"/>
    <x v="198"/>
    <x v="2"/>
  </r>
  <r>
    <s v="A112"/>
    <x v="1"/>
    <d v="2024-10-05T00:00:00"/>
    <x v="3"/>
    <x v="6"/>
    <n v="16388"/>
    <n v="1208"/>
    <n v="417"/>
    <x v="187"/>
    <n v="16865"/>
    <n v="236733"/>
    <x v="199"/>
    <x v="0"/>
  </r>
  <r>
    <s v="A211"/>
    <x v="1"/>
    <d v="2025-09-24T00:00:00"/>
    <x v="2"/>
    <x v="8"/>
    <n v="11795"/>
    <n v="958"/>
    <n v="814"/>
    <x v="188"/>
    <n v="12564"/>
    <n v="179999"/>
    <x v="200"/>
    <x v="4"/>
  </r>
  <r>
    <s v="A233"/>
    <x v="0"/>
    <d v="2025-03-08T00:00:00"/>
    <x v="2"/>
    <x v="2"/>
    <n v="5812"/>
    <n v="934"/>
    <n v="302"/>
    <x v="189"/>
    <n v="37437"/>
    <n v="93551"/>
    <x v="201"/>
    <x v="0"/>
  </r>
  <r>
    <s v="A239"/>
    <x v="1"/>
    <d v="2025-09-10T00:00:00"/>
    <x v="2"/>
    <x v="6"/>
    <n v="13613"/>
    <n v="350"/>
    <n v="809"/>
    <x v="190"/>
    <n v="20471"/>
    <n v="198038"/>
    <x v="202"/>
    <x v="4"/>
  </r>
  <r>
    <s v="A17"/>
    <x v="0"/>
    <d v="2025-05-05T00:00:00"/>
    <x v="1"/>
    <x v="3"/>
    <n v="10415"/>
    <n v="1388"/>
    <n v="725"/>
    <x v="191"/>
    <n v="53082"/>
    <n v="168267"/>
    <x v="203"/>
    <x v="2"/>
  </r>
  <r>
    <s v="A252"/>
    <x v="3"/>
    <d v="2025-04-28T00:00:00"/>
    <x v="3"/>
    <x v="3"/>
    <n v="10659"/>
    <n v="1342"/>
    <n v="408"/>
    <x v="192"/>
    <n v="16309"/>
    <n v="168803"/>
    <x v="204"/>
    <x v="3"/>
  </r>
  <r>
    <s v="A209"/>
    <x v="2"/>
    <d v="2025-03-19T00:00:00"/>
    <x v="3"/>
    <x v="4"/>
    <n v="13475"/>
    <n v="1032"/>
    <n v="295"/>
    <x v="193"/>
    <n v="43666"/>
    <n v="202396"/>
    <x v="205"/>
    <x v="2"/>
  </r>
  <r>
    <s v="A18"/>
    <x v="0"/>
    <d v="2024-08-19T00:00:00"/>
    <x v="2"/>
    <x v="5"/>
    <n v="15550"/>
    <n v="204"/>
    <n v="279"/>
    <x v="194"/>
    <n v="35819"/>
    <n v="219436"/>
    <x v="206"/>
    <x v="0"/>
  </r>
  <r>
    <s v="A229"/>
    <x v="3"/>
    <d v="2024-07-03T00:00:00"/>
    <x v="0"/>
    <x v="6"/>
    <n v="12167"/>
    <n v="364"/>
    <n v="160"/>
    <x v="195"/>
    <n v="42228"/>
    <n v="175832"/>
    <x v="207"/>
    <x v="3"/>
  </r>
  <r>
    <s v="A89"/>
    <x v="0"/>
    <d v="2025-09-23T00:00:00"/>
    <x v="2"/>
    <x v="11"/>
    <n v="10017"/>
    <n v="1357"/>
    <n v="966"/>
    <x v="196"/>
    <n v="14800"/>
    <n v="171691"/>
    <x v="208"/>
    <x v="4"/>
  </r>
  <r>
    <s v="A177"/>
    <x v="1"/>
    <d v="2024-07-10T00:00:00"/>
    <x v="2"/>
    <x v="9"/>
    <n v="8809"/>
    <n v="1151"/>
    <n v="908"/>
    <x v="197"/>
    <n v="42921"/>
    <n v="151279"/>
    <x v="209"/>
    <x v="2"/>
  </r>
  <r>
    <s v="A192"/>
    <x v="1"/>
    <d v="2025-10-15T00:00:00"/>
    <x v="2"/>
    <x v="5"/>
    <n v="8882"/>
    <n v="701"/>
    <n v="421"/>
    <x v="198"/>
    <n v="13588"/>
    <n v="139304"/>
    <x v="210"/>
    <x v="4"/>
  </r>
  <r>
    <s v="A115"/>
    <x v="1"/>
    <d v="2025-09-30T00:00:00"/>
    <x v="1"/>
    <x v="2"/>
    <n v="8269"/>
    <n v="250"/>
    <n v="638"/>
    <x v="199"/>
    <n v="41991"/>
    <n v="129393"/>
    <x v="211"/>
    <x v="4"/>
  </r>
  <r>
    <s v="A257"/>
    <x v="1"/>
    <d v="2025-04-06T00:00:00"/>
    <x v="3"/>
    <x v="3"/>
    <n v="15917"/>
    <n v="1479"/>
    <n v="196"/>
    <x v="200"/>
    <n v="48524"/>
    <n v="249684"/>
    <x v="212"/>
    <x v="1"/>
  </r>
  <r>
    <s v="A291"/>
    <x v="3"/>
    <d v="2024-11-06T00:00:00"/>
    <x v="2"/>
    <x v="0"/>
    <n v="11865"/>
    <n v="241"/>
    <n v="319"/>
    <x v="201"/>
    <n v="69596"/>
    <n v="177513"/>
    <x v="213"/>
    <x v="1"/>
  </r>
  <r>
    <s v="A299"/>
    <x v="3"/>
    <d v="2025-09-25T00:00:00"/>
    <x v="3"/>
    <x v="9"/>
    <n v="12568"/>
    <n v="541"/>
    <n v="273"/>
    <x v="202"/>
    <n v="22331"/>
    <n v="192747"/>
    <x v="214"/>
    <x v="4"/>
  </r>
  <r>
    <s v="A45"/>
    <x v="0"/>
    <d v="2025-09-17T00:00:00"/>
    <x v="1"/>
    <x v="0"/>
    <n v="15456"/>
    <n v="590"/>
    <n v="555"/>
    <x v="203"/>
    <n v="49816"/>
    <n v="240422"/>
    <x v="215"/>
    <x v="4"/>
  </r>
  <r>
    <s v="A37"/>
    <x v="0"/>
    <d v="2025-01-06T00:00:00"/>
    <x v="2"/>
    <x v="7"/>
    <n v="11860"/>
    <n v="1448"/>
    <n v="893"/>
    <x v="204"/>
    <n v="23518"/>
    <n v="206205"/>
    <x v="216"/>
    <x v="0"/>
  </r>
  <r>
    <s v="A162"/>
    <x v="3"/>
    <d v="2025-04-01T00:00:00"/>
    <x v="2"/>
    <x v="0"/>
    <n v="6432"/>
    <n v="1272"/>
    <n v="498"/>
    <x v="205"/>
    <n v="47305"/>
    <n v="119134"/>
    <x v="217"/>
    <x v="0"/>
  </r>
  <r>
    <s v="A279"/>
    <x v="3"/>
    <d v="2024-09-02T00:00:00"/>
    <x v="0"/>
    <x v="4"/>
    <n v="11765"/>
    <n v="693"/>
    <n v="729"/>
    <x v="206"/>
    <n v="97772"/>
    <n v="194243"/>
    <x v="218"/>
    <x v="0"/>
  </r>
  <r>
    <s v="A241"/>
    <x v="2"/>
    <d v="2025-01-18T00:00:00"/>
    <x v="1"/>
    <x v="9"/>
    <n v="12589"/>
    <n v="346"/>
    <n v="459"/>
    <x v="73"/>
    <n v="29254"/>
    <n v="198059"/>
    <x v="219"/>
    <x v="3"/>
  </r>
  <r>
    <s v="A111"/>
    <x v="0"/>
    <d v="2024-11-23T00:00:00"/>
    <x v="1"/>
    <x v="1"/>
    <n v="9941"/>
    <n v="1329"/>
    <n v="238"/>
    <x v="95"/>
    <n v="40281"/>
    <n v="172311"/>
    <x v="220"/>
    <x v="3"/>
  </r>
  <r>
    <s v="A99"/>
    <x v="2"/>
    <d v="2024-07-02T00:00:00"/>
    <x v="3"/>
    <x v="0"/>
    <n v="12320"/>
    <n v="1157"/>
    <n v="365"/>
    <x v="207"/>
    <n v="66634"/>
    <n v="210102"/>
    <x v="221"/>
    <x v="1"/>
  </r>
  <r>
    <s v="A222"/>
    <x v="1"/>
    <d v="2024-10-08T00:00:00"/>
    <x v="1"/>
    <x v="8"/>
    <n v="8738"/>
    <n v="295"/>
    <n v="529"/>
    <x v="208"/>
    <n v="25286"/>
    <n v="147522"/>
    <x v="222"/>
    <x v="1"/>
  </r>
  <r>
    <s v="A54"/>
    <x v="0"/>
    <d v="2025-03-13T00:00:00"/>
    <x v="3"/>
    <x v="7"/>
    <n v="6544"/>
    <n v="749"/>
    <n v="888"/>
    <x v="209"/>
    <n v="18171"/>
    <n v="126475"/>
    <x v="223"/>
    <x v="3"/>
  </r>
  <r>
    <s v="A218"/>
    <x v="3"/>
    <d v="2024-06-11T00:00:00"/>
    <x v="0"/>
    <x v="8"/>
    <n v="14910"/>
    <n v="778"/>
    <n v="289"/>
    <x v="210"/>
    <n v="14309"/>
    <n v="247815"/>
    <x v="224"/>
    <x v="3"/>
  </r>
  <r>
    <s v="A154"/>
    <x v="1"/>
    <d v="2024-10-09T00:00:00"/>
    <x v="0"/>
    <x v="10"/>
    <n v="7240"/>
    <n v="1384"/>
    <n v="954"/>
    <x v="211"/>
    <n v="6757"/>
    <n v="150448"/>
    <x v="225"/>
    <x v="3"/>
  </r>
  <r>
    <s v="A210"/>
    <x v="3"/>
    <d v="2025-02-19T00:00:00"/>
    <x v="0"/>
    <x v="10"/>
    <n v="8168"/>
    <n v="512"/>
    <n v="442"/>
    <x v="198"/>
    <n v="2753"/>
    <n v="143896"/>
    <x v="226"/>
    <x v="2"/>
  </r>
  <r>
    <s v="A149"/>
    <x v="3"/>
    <d v="2024-06-16T00:00:00"/>
    <x v="1"/>
    <x v="2"/>
    <n v="12160"/>
    <n v="1405"/>
    <n v="769"/>
    <x v="212"/>
    <n v="33174"/>
    <n v="226481"/>
    <x v="227"/>
    <x v="0"/>
  </r>
  <r>
    <s v="A295"/>
    <x v="2"/>
    <d v="2025-05-06T00:00:00"/>
    <x v="3"/>
    <x v="2"/>
    <n v="7287"/>
    <n v="1240"/>
    <n v="686"/>
    <x v="213"/>
    <n v="15403"/>
    <n v="147971"/>
    <x v="228"/>
    <x v="0"/>
  </r>
  <r>
    <s v="A85"/>
    <x v="1"/>
    <d v="2025-04-19T00:00:00"/>
    <x v="2"/>
    <x v="0"/>
    <n v="8881"/>
    <n v="210"/>
    <n v="673"/>
    <x v="214"/>
    <n v="24847"/>
    <n v="156891"/>
    <x v="229"/>
    <x v="3"/>
  </r>
  <r>
    <s v="A156"/>
    <x v="2"/>
    <d v="2024-10-22T00:00:00"/>
    <x v="1"/>
    <x v="0"/>
    <n v="12478"/>
    <n v="484"/>
    <n v="332"/>
    <x v="215"/>
    <n v="43338"/>
    <n v="213895"/>
    <x v="230"/>
    <x v="1"/>
  </r>
  <r>
    <s v="A270"/>
    <x v="1"/>
    <d v="2025-01-15T00:00:00"/>
    <x v="1"/>
    <x v="6"/>
    <n v="11333"/>
    <n v="920"/>
    <n v="294"/>
    <x v="216"/>
    <n v="59490"/>
    <n v="202082"/>
    <x v="231"/>
    <x v="3"/>
  </r>
  <r>
    <s v="A169"/>
    <x v="1"/>
    <d v="2024-12-03T00:00:00"/>
    <x v="2"/>
    <x v="0"/>
    <n v="2055"/>
    <n v="675"/>
    <n v="257"/>
    <x v="217"/>
    <n v="33534"/>
    <n v="48125"/>
    <x v="232"/>
    <x v="0"/>
  </r>
  <r>
    <s v="A81"/>
    <x v="1"/>
    <d v="2024-10-19T00:00:00"/>
    <x v="3"/>
    <x v="4"/>
    <n v="6673"/>
    <n v="826"/>
    <n v="321"/>
    <x v="218"/>
    <n v="19262"/>
    <n v="132324"/>
    <x v="233"/>
    <x v="2"/>
  </r>
  <r>
    <s v="A48"/>
    <x v="1"/>
    <d v="2025-03-11T00:00:00"/>
    <x v="3"/>
    <x v="2"/>
    <n v="7997"/>
    <n v="1238"/>
    <n v="438"/>
    <x v="219"/>
    <n v="36272"/>
    <n v="165818"/>
    <x v="234"/>
    <x v="2"/>
  </r>
  <r>
    <s v="A15"/>
    <x v="0"/>
    <d v="2025-09-07T00:00:00"/>
    <x v="1"/>
    <x v="7"/>
    <n v="3015"/>
    <n v="997"/>
    <n v="783"/>
    <x v="220"/>
    <n v="77167"/>
    <n v="82229"/>
    <x v="235"/>
    <x v="4"/>
  </r>
  <r>
    <s v="A288"/>
    <x v="3"/>
    <d v="2025-04-17T00:00:00"/>
    <x v="1"/>
    <x v="5"/>
    <n v="2009"/>
    <n v="1037"/>
    <n v="344"/>
    <x v="221"/>
    <n v="85743"/>
    <n v="58743"/>
    <x v="236"/>
    <x v="1"/>
  </r>
  <r>
    <s v="A32"/>
    <x v="3"/>
    <d v="2024-07-31T00:00:00"/>
    <x v="2"/>
    <x v="3"/>
    <n v="2404"/>
    <n v="774"/>
    <n v="661"/>
    <x v="222"/>
    <n v="12676"/>
    <n v="66916"/>
    <x v="237"/>
    <x v="0"/>
  </r>
  <r>
    <s v="A133"/>
    <x v="3"/>
    <d v="2025-02-06T00:00:00"/>
    <x v="2"/>
    <x v="2"/>
    <n v="2666"/>
    <n v="1136"/>
    <n v="989"/>
    <x v="223"/>
    <n v="36467"/>
    <n v="83753"/>
    <x v="238"/>
    <x v="3"/>
  </r>
  <r>
    <s v="A28"/>
    <x v="2"/>
    <d v="2025-03-04T00:00:00"/>
    <x v="1"/>
    <x v="1"/>
    <n v="12344"/>
    <n v="815"/>
    <n v="298"/>
    <x v="96"/>
    <n v="6259"/>
    <n v="237133"/>
    <x v="239"/>
    <x v="1"/>
  </r>
  <r>
    <s v="A96"/>
    <x v="2"/>
    <d v="2024-09-10T00:00:00"/>
    <x v="3"/>
    <x v="5"/>
    <n v="6637"/>
    <n v="595"/>
    <n v="161"/>
    <x v="224"/>
    <n v="19334"/>
    <n v="131155"/>
    <x v="240"/>
    <x v="3"/>
  </r>
  <r>
    <s v="A87"/>
    <x v="2"/>
    <d v="2024-06-06T00:00:00"/>
    <x v="1"/>
    <x v="10"/>
    <n v="11521"/>
    <n v="1071"/>
    <n v="762"/>
    <x v="225"/>
    <n v="12701"/>
    <n v="238350"/>
    <x v="241"/>
    <x v="3"/>
  </r>
  <r>
    <s v="A49"/>
    <x v="2"/>
    <d v="2025-09-18T00:00:00"/>
    <x v="3"/>
    <x v="3"/>
    <n v="4048"/>
    <n v="677"/>
    <n v="911"/>
    <x v="226"/>
    <n v="27361"/>
    <n v="101272"/>
    <x v="242"/>
    <x v="4"/>
  </r>
  <r>
    <s v="A20"/>
    <x v="1"/>
    <d v="2024-09-09T00:00:00"/>
    <x v="0"/>
    <x v="7"/>
    <n v="6158"/>
    <n v="277"/>
    <n v="512"/>
    <x v="227"/>
    <n v="76881"/>
    <n v="124878"/>
    <x v="243"/>
    <x v="1"/>
  </r>
  <r>
    <s v="A102"/>
    <x v="2"/>
    <d v="2025-09-26T00:00:00"/>
    <x v="3"/>
    <x v="1"/>
    <n v="9043"/>
    <n v="1192"/>
    <n v="810"/>
    <x v="228"/>
    <n v="5221"/>
    <n v="199476"/>
    <x v="244"/>
    <x v="4"/>
  </r>
  <r>
    <s v="A69"/>
    <x v="0"/>
    <d v="2025-03-08T00:00:00"/>
    <x v="1"/>
    <x v="5"/>
    <n v="10580"/>
    <n v="427"/>
    <n v="790"/>
    <x v="229"/>
    <n v="24916"/>
    <n v="213312"/>
    <x v="245"/>
    <x v="2"/>
  </r>
  <r>
    <s v="A120"/>
    <x v="3"/>
    <d v="2024-10-21T00:00:00"/>
    <x v="0"/>
    <x v="4"/>
    <n v="8254"/>
    <n v="1405"/>
    <n v="165"/>
    <x v="230"/>
    <n v="8081"/>
    <n v="177710"/>
    <x v="246"/>
    <x v="0"/>
  </r>
  <r>
    <s v="A293"/>
    <x v="3"/>
    <d v="2025-05-14T00:00:00"/>
    <x v="2"/>
    <x v="3"/>
    <n v="9041"/>
    <n v="1133"/>
    <n v="612"/>
    <x v="231"/>
    <n v="28102"/>
    <n v="195683"/>
    <x v="247"/>
    <x v="1"/>
  </r>
  <r>
    <s v="A113"/>
    <x v="0"/>
    <d v="2025-09-29T00:00:00"/>
    <x v="0"/>
    <x v="9"/>
    <n v="7569"/>
    <n v="803"/>
    <n v="804"/>
    <x v="232"/>
    <n v="43582"/>
    <n v="166945"/>
    <x v="248"/>
    <x v="4"/>
  </r>
  <r>
    <s v="A197"/>
    <x v="2"/>
    <d v="2024-10-22T00:00:00"/>
    <x v="1"/>
    <x v="7"/>
    <n v="7750"/>
    <n v="1146"/>
    <n v="415"/>
    <x v="233"/>
    <n v="85339"/>
    <n v="172439"/>
    <x v="249"/>
    <x v="3"/>
  </r>
  <r>
    <s v="A94"/>
    <x v="2"/>
    <d v="2024-11-07T00:00:00"/>
    <x v="3"/>
    <x v="10"/>
    <n v="11550"/>
    <n v="501"/>
    <n v="646"/>
    <x v="234"/>
    <n v="17841"/>
    <n v="237576"/>
    <x v="250"/>
    <x v="1"/>
  </r>
  <r>
    <s v="A30"/>
    <x v="0"/>
    <d v="2025-02-25T00:00:00"/>
    <x v="3"/>
    <x v="9"/>
    <n v="10702"/>
    <n v="621"/>
    <n v="445"/>
    <x v="235"/>
    <n v="54808"/>
    <n v="220225"/>
    <x v="251"/>
    <x v="0"/>
  </r>
  <r>
    <s v="A12"/>
    <x v="1"/>
    <d v="2024-07-21T00:00:00"/>
    <x v="1"/>
    <x v="6"/>
    <n v="2009"/>
    <n v="1072"/>
    <n v="550"/>
    <x v="236"/>
    <n v="22982"/>
    <n v="69426"/>
    <x v="252"/>
    <x v="1"/>
  </r>
  <r>
    <s v="A269"/>
    <x v="1"/>
    <d v="2024-11-05T00:00:00"/>
    <x v="1"/>
    <x v="8"/>
    <n v="8469"/>
    <n v="935"/>
    <n v="211"/>
    <x v="237"/>
    <n v="21890"/>
    <n v="184539"/>
    <x v="253"/>
    <x v="2"/>
  </r>
  <r>
    <s v="A9"/>
    <x v="1"/>
    <d v="2024-08-30T00:00:00"/>
    <x v="3"/>
    <x v="6"/>
    <n v="6804"/>
    <n v="787"/>
    <n v="970"/>
    <x v="238"/>
    <n v="56343"/>
    <n v="164677"/>
    <x v="254"/>
    <x v="0"/>
  </r>
  <r>
    <s v="A31"/>
    <x v="3"/>
    <d v="2024-12-16T00:00:00"/>
    <x v="2"/>
    <x v="4"/>
    <n v="2384"/>
    <n v="1246"/>
    <n v="160"/>
    <x v="239"/>
    <n v="2701"/>
    <n v="73142"/>
    <x v="255"/>
    <x v="0"/>
  </r>
  <r>
    <s v="A22"/>
    <x v="3"/>
    <d v="2025-02-27T00:00:00"/>
    <x v="2"/>
    <x v="0"/>
    <n v="8970"/>
    <n v="331"/>
    <n v="968"/>
    <x v="240"/>
    <n v="24613"/>
    <n v="198562"/>
    <x v="256"/>
    <x v="1"/>
  </r>
  <r>
    <s v="A200"/>
    <x v="1"/>
    <d v="2025-04-07T00:00:00"/>
    <x v="3"/>
    <x v="9"/>
    <n v="3062"/>
    <n v="1124"/>
    <n v="538"/>
    <x v="241"/>
    <n v="69749"/>
    <n v="91924"/>
    <x v="257"/>
    <x v="1"/>
  </r>
  <r>
    <s v="A261"/>
    <x v="3"/>
    <d v="2024-10-27T00:00:00"/>
    <x v="3"/>
    <x v="2"/>
    <n v="7560"/>
    <n v="1139"/>
    <n v="248"/>
    <x v="4"/>
    <n v="72237"/>
    <n v="177084"/>
    <x v="258"/>
    <x v="3"/>
  </r>
  <r>
    <s v="A219"/>
    <x v="0"/>
    <d v="2025-01-28T00:00:00"/>
    <x v="3"/>
    <x v="0"/>
    <n v="9943"/>
    <n v="1274"/>
    <n v="336"/>
    <x v="242"/>
    <n v="6145"/>
    <n v="231305"/>
    <x v="259"/>
    <x v="0"/>
  </r>
  <r>
    <s v="A171"/>
    <x v="0"/>
    <d v="2024-12-31T00:00:00"/>
    <x v="2"/>
    <x v="2"/>
    <n v="10717"/>
    <n v="760"/>
    <n v="460"/>
    <x v="243"/>
    <n v="18164"/>
    <n v="240641"/>
    <x v="260"/>
    <x v="2"/>
  </r>
  <r>
    <s v="A65"/>
    <x v="1"/>
    <d v="2025-03-28T00:00:00"/>
    <x v="1"/>
    <x v="2"/>
    <n v="6363"/>
    <n v="1341"/>
    <n v="222"/>
    <x v="244"/>
    <n v="19987"/>
    <n v="160585"/>
    <x v="261"/>
    <x v="3"/>
  </r>
  <r>
    <s v="A130"/>
    <x v="0"/>
    <d v="2024-09-29T00:00:00"/>
    <x v="3"/>
    <x v="6"/>
    <n v="10472"/>
    <n v="401"/>
    <n v="668"/>
    <x v="245"/>
    <n v="37571"/>
    <n v="249203"/>
    <x v="262"/>
    <x v="3"/>
  </r>
  <r>
    <s v="A16"/>
    <x v="3"/>
    <d v="2024-08-26T00:00:00"/>
    <x v="3"/>
    <x v="5"/>
    <n v="4193"/>
    <n v="924"/>
    <n v="707"/>
    <x v="246"/>
    <n v="55075"/>
    <n v="126652"/>
    <x v="263"/>
    <x v="1"/>
  </r>
  <r>
    <s v="A58"/>
    <x v="3"/>
    <d v="2025-04-15T00:00:00"/>
    <x v="3"/>
    <x v="7"/>
    <n v="5419"/>
    <n v="1150"/>
    <n v="656"/>
    <x v="247"/>
    <n v="410"/>
    <n v="158154"/>
    <x v="264"/>
    <x v="3"/>
  </r>
  <r>
    <s v="A145"/>
    <x v="0"/>
    <d v="2024-08-12T00:00:00"/>
    <x v="3"/>
    <x v="6"/>
    <n v="8376"/>
    <n v="1154"/>
    <n v="422"/>
    <x v="248"/>
    <n v="36874"/>
    <n v="218486"/>
    <x v="265"/>
    <x v="3"/>
  </r>
  <r>
    <s v="A283"/>
    <x v="2"/>
    <d v="2025-05-09T00:00:00"/>
    <x v="3"/>
    <x v="5"/>
    <n v="8988"/>
    <n v="228"/>
    <n v="766"/>
    <x v="249"/>
    <n v="63789"/>
    <n v="219785"/>
    <x v="266"/>
    <x v="3"/>
  </r>
  <r>
    <s v="A298"/>
    <x v="1"/>
    <d v="2025-09-24T00:00:00"/>
    <x v="1"/>
    <x v="10"/>
    <n v="3342"/>
    <n v="787"/>
    <n v="375"/>
    <x v="250"/>
    <n v="85823"/>
    <n v="99189"/>
    <x v="267"/>
    <x v="4"/>
  </r>
  <r>
    <s v="A90"/>
    <x v="2"/>
    <d v="2024-06-03T00:00:00"/>
    <x v="2"/>
    <x v="3"/>
    <n v="8941"/>
    <n v="911"/>
    <n v="166"/>
    <x v="104"/>
    <n v="68817"/>
    <n v="221180"/>
    <x v="268"/>
    <x v="2"/>
  </r>
  <r>
    <s v="A134"/>
    <x v="3"/>
    <d v="2025-10-01T00:00:00"/>
    <x v="3"/>
    <x v="1"/>
    <n v="6188"/>
    <n v="774"/>
    <n v="647"/>
    <x v="251"/>
    <n v="55436"/>
    <n v="175542"/>
    <x v="269"/>
    <x v="4"/>
  </r>
  <r>
    <s v="A38"/>
    <x v="3"/>
    <d v="2025-02-17T00:00:00"/>
    <x v="1"/>
    <x v="6"/>
    <n v="7989"/>
    <n v="1206"/>
    <n v="376"/>
    <x v="252"/>
    <n v="27550"/>
    <n v="221749"/>
    <x v="270"/>
    <x v="3"/>
  </r>
  <r>
    <s v="A70"/>
    <x v="2"/>
    <d v="2025-04-02T00:00:00"/>
    <x v="1"/>
    <x v="10"/>
    <n v="6858"/>
    <n v="415"/>
    <n v="366"/>
    <x v="253"/>
    <n v="2988"/>
    <n v="177348"/>
    <x v="271"/>
    <x v="0"/>
  </r>
  <r>
    <s v="A142"/>
    <x v="3"/>
    <d v="2025-03-25T00:00:00"/>
    <x v="3"/>
    <x v="7"/>
    <n v="5900"/>
    <n v="546"/>
    <n v="592"/>
    <x v="254"/>
    <n v="38627"/>
    <n v="164398"/>
    <x v="272"/>
    <x v="2"/>
  </r>
  <r>
    <s v="A207"/>
    <x v="0"/>
    <d v="2024-12-29T00:00:00"/>
    <x v="3"/>
    <x v="8"/>
    <n v="8288"/>
    <n v="1401"/>
    <n v="819"/>
    <x v="255"/>
    <n v="33446"/>
    <n v="248786"/>
    <x v="273"/>
    <x v="0"/>
  </r>
  <r>
    <s v="A274"/>
    <x v="0"/>
    <d v="2025-01-01T00:00:00"/>
    <x v="0"/>
    <x v="0"/>
    <n v="8283"/>
    <n v="720"/>
    <n v="888"/>
    <x v="256"/>
    <n v="52791"/>
    <n v="235229"/>
    <x v="274"/>
    <x v="0"/>
  </r>
  <r>
    <s v="A206"/>
    <x v="3"/>
    <d v="2024-06-24T00:00:00"/>
    <x v="2"/>
    <x v="3"/>
    <n v="6632"/>
    <n v="254"/>
    <n v="525"/>
    <x v="257"/>
    <n v="13838"/>
    <n v="180180"/>
    <x v="275"/>
    <x v="0"/>
  </r>
  <r>
    <s v="A256"/>
    <x v="1"/>
    <d v="2025-09-17T00:00:00"/>
    <x v="3"/>
    <x v="0"/>
    <n v="2117"/>
    <n v="1133"/>
    <n v="203"/>
    <x v="258"/>
    <n v="40125"/>
    <n v="85379"/>
    <x v="276"/>
    <x v="4"/>
  </r>
  <r>
    <s v="A182"/>
    <x v="1"/>
    <d v="2024-07-31T00:00:00"/>
    <x v="0"/>
    <x v="7"/>
    <n v="7122"/>
    <n v="628"/>
    <n v="757"/>
    <x v="259"/>
    <n v="50924"/>
    <n v="210954"/>
    <x v="277"/>
    <x v="2"/>
  </r>
  <r>
    <s v="A79"/>
    <x v="1"/>
    <d v="2025-09-22T00:00:00"/>
    <x v="0"/>
    <x v="11"/>
    <n v="8996"/>
    <n v="329"/>
    <n v="378"/>
    <x v="260"/>
    <n v="39404"/>
    <n v="242724"/>
    <x v="278"/>
    <x v="4"/>
  </r>
  <r>
    <s v="A14"/>
    <x v="1"/>
    <d v="2025-09-06T00:00:00"/>
    <x v="1"/>
    <x v="5"/>
    <n v="7124"/>
    <n v="469"/>
    <n v="851"/>
    <x v="261"/>
    <n v="33802"/>
    <n v="216313"/>
    <x v="279"/>
    <x v="4"/>
  </r>
  <r>
    <s v="A275"/>
    <x v="3"/>
    <d v="2024-08-05T00:00:00"/>
    <x v="1"/>
    <x v="5"/>
    <n v="4048"/>
    <n v="751"/>
    <n v="930"/>
    <x v="262"/>
    <n v="16844"/>
    <n v="148177"/>
    <x v="280"/>
    <x v="1"/>
  </r>
  <r>
    <s v="A141"/>
    <x v="0"/>
    <d v="2025-10-03T00:00:00"/>
    <x v="2"/>
    <x v="10"/>
    <n v="6777"/>
    <n v="617"/>
    <n v="551"/>
    <x v="263"/>
    <n v="18559"/>
    <n v="208452"/>
    <x v="281"/>
    <x v="4"/>
  </r>
  <r>
    <s v="A43"/>
    <x v="2"/>
    <d v="2025-09-16T00:00:00"/>
    <x v="1"/>
    <x v="8"/>
    <n v="6809"/>
    <n v="397"/>
    <n v="813"/>
    <x v="264"/>
    <n v="12206"/>
    <n v="218136"/>
    <x v="282"/>
    <x v="4"/>
  </r>
  <r>
    <s v="A281"/>
    <x v="0"/>
    <d v="2025-03-22T00:00:00"/>
    <x v="0"/>
    <x v="3"/>
    <n v="3917"/>
    <n v="865"/>
    <n v="759"/>
    <x v="265"/>
    <n v="56125"/>
    <n v="154014"/>
    <x v="283"/>
    <x v="0"/>
  </r>
  <r>
    <s v="A280"/>
    <x v="2"/>
    <d v="2025-09-18T00:00:00"/>
    <x v="0"/>
    <x v="0"/>
    <n v="3828"/>
    <n v="203"/>
    <n v="506"/>
    <x v="266"/>
    <n v="63650"/>
    <n v="126365"/>
    <x v="284"/>
    <x v="4"/>
  </r>
  <r>
    <s v="A178"/>
    <x v="1"/>
    <d v="2025-10-10T00:00:00"/>
    <x v="3"/>
    <x v="7"/>
    <n v="6621"/>
    <n v="922"/>
    <n v="930"/>
    <x v="267"/>
    <n v="839"/>
    <n v="243532"/>
    <x v="285"/>
    <x v="4"/>
  </r>
  <r>
    <s v="A181"/>
    <x v="3"/>
    <d v="2025-10-12T00:00:00"/>
    <x v="3"/>
    <x v="5"/>
    <n v="7126"/>
    <n v="484"/>
    <n v="565"/>
    <x v="268"/>
    <n v="7389"/>
    <n v="237096"/>
    <x v="286"/>
    <x v="4"/>
  </r>
  <r>
    <s v="A110"/>
    <x v="1"/>
    <d v="2024-07-29T00:00:00"/>
    <x v="0"/>
    <x v="5"/>
    <n v="6164"/>
    <n v="326"/>
    <n v="615"/>
    <x v="269"/>
    <n v="38579"/>
    <n v="206129"/>
    <x v="287"/>
    <x v="2"/>
  </r>
  <r>
    <s v="A292"/>
    <x v="1"/>
    <d v="2024-11-17T00:00:00"/>
    <x v="3"/>
    <x v="0"/>
    <n v="4219"/>
    <n v="240"/>
    <n v="670"/>
    <x v="199"/>
    <n v="11978"/>
    <n v="159735"/>
    <x v="288"/>
    <x v="1"/>
  </r>
  <r>
    <s v="A273"/>
    <x v="0"/>
    <d v="2024-10-12T00:00:00"/>
    <x v="2"/>
    <x v="11"/>
    <n v="6208"/>
    <n v="725"/>
    <n v="309"/>
    <x v="270"/>
    <n v="39319"/>
    <n v="225763"/>
    <x v="289"/>
    <x v="0"/>
  </r>
  <r>
    <s v="A247"/>
    <x v="3"/>
    <d v="2024-08-27T00:00:00"/>
    <x v="2"/>
    <x v="8"/>
    <n v="6324"/>
    <n v="908"/>
    <n v="375"/>
    <x v="271"/>
    <n v="34850"/>
    <n v="241039"/>
    <x v="290"/>
    <x v="0"/>
  </r>
  <r>
    <s v="A173"/>
    <x v="1"/>
    <d v="2024-12-05T00:00:00"/>
    <x v="1"/>
    <x v="3"/>
    <n v="4125"/>
    <n v="1364"/>
    <n v="319"/>
    <x v="272"/>
    <n v="15379"/>
    <n v="188159"/>
    <x v="291"/>
    <x v="2"/>
  </r>
  <r>
    <s v="A193"/>
    <x v="3"/>
    <d v="2024-09-11T00:00:00"/>
    <x v="2"/>
    <x v="5"/>
    <n v="3906"/>
    <n v="1187"/>
    <n v="589"/>
    <x v="273"/>
    <n v="52687"/>
    <n v="196498"/>
    <x v="292"/>
    <x v="0"/>
  </r>
  <r>
    <s v="A245"/>
    <x v="1"/>
    <d v="2025-01-12T00:00:00"/>
    <x v="2"/>
    <x v="4"/>
    <n v="4590"/>
    <n v="713"/>
    <n v="479"/>
    <x v="274"/>
    <n v="41050"/>
    <n v="204246"/>
    <x v="293"/>
    <x v="3"/>
  </r>
  <r>
    <s v="A236"/>
    <x v="0"/>
    <d v="2024-08-19T00:00:00"/>
    <x v="0"/>
    <x v="9"/>
    <n v="3605"/>
    <n v="206"/>
    <n v="921"/>
    <x v="275"/>
    <n v="11660"/>
    <n v="182635"/>
    <x v="294"/>
    <x v="1"/>
  </r>
  <r>
    <s v="A41"/>
    <x v="1"/>
    <d v="2025-09-15T00:00:00"/>
    <x v="1"/>
    <x v="6"/>
    <n v="5636"/>
    <n v="303"/>
    <n v="204"/>
    <x v="276"/>
    <n v="7377"/>
    <n v="241207"/>
    <x v="295"/>
    <x v="4"/>
  </r>
  <r>
    <s v="A78"/>
    <x v="0"/>
    <d v="2024-06-17T00:00:00"/>
    <x v="2"/>
    <x v="0"/>
    <n v="3252"/>
    <n v="1043"/>
    <n v="647"/>
    <x v="277"/>
    <n v="18859"/>
    <n v="222958"/>
    <x v="296"/>
    <x v="0"/>
  </r>
  <r>
    <s v="A188"/>
    <x v="1"/>
    <d v="2024-06-06T00:00:00"/>
    <x v="3"/>
    <x v="11"/>
    <n v="3531"/>
    <n v="789"/>
    <n v="467"/>
    <x v="278"/>
    <n v="40816"/>
    <n v="236037"/>
    <x v="297"/>
    <x v="3"/>
  </r>
  <r>
    <s v="A4"/>
    <x v="1"/>
    <d v="2024-08-12T00:00:00"/>
    <x v="0"/>
    <x v="4"/>
    <n v="3581"/>
    <n v="517"/>
    <n v="880"/>
    <x v="279"/>
    <n v="18636"/>
    <n v="248611"/>
    <x v="298"/>
    <x v="1"/>
  </r>
  <r>
    <s v="A167"/>
    <x v="0"/>
    <d v="2024-11-28T00:00:00"/>
    <x v="3"/>
    <x v="3"/>
    <n v="2302"/>
    <n v="347"/>
    <n v="642"/>
    <x v="280"/>
    <n v="56378"/>
    <n v="198056"/>
    <x v="299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n v="4138"/>
    <n v="361"/>
    <n v="103777"/>
    <n v="56.637790647253247"/>
    <n v="3777"/>
    <n v="3.6395347716738774E-2"/>
    <n v="3.7906843705777855E-2"/>
    <e v="#N/A"/>
    <n v="23944"/>
  </r>
  <r>
    <x v="1"/>
    <x v="0"/>
    <n v="7721"/>
    <n v="506"/>
    <n v="134418"/>
    <n v="35.577824398518047"/>
    <n v="7215"/>
    <n v="5.3675846984778827E-2"/>
    <n v="5.6946889034468061E-2"/>
    <e v="#N/A"/>
    <n v="25379"/>
  </r>
  <r>
    <x v="2"/>
    <x v="0"/>
    <n v="8373"/>
    <n v="921"/>
    <n v="157717"/>
    <n v="12.2263294381709"/>
    <n v="7452"/>
    <n v="4.7249186834646864E-2"/>
    <n v="4.9898221555603174E-2"/>
    <e v="#N/A"/>
    <n v="15110"/>
  </r>
  <r>
    <x v="2"/>
    <x v="0"/>
    <n v="6656"/>
    <n v="978"/>
    <n v="176196"/>
    <n v="60.425889350496043"/>
    <n v="5678"/>
    <n v="3.2225476174260484E-2"/>
    <n v="3.3490621682198893E-2"/>
    <e v="#N/A"/>
    <n v="27081"/>
  </r>
  <r>
    <x v="3"/>
    <x v="0"/>
    <n v="5259"/>
    <n v="374"/>
    <n v="189735"/>
    <n v="14.827522597306769"/>
    <n v="4885"/>
    <n v="2.5746435818378266E-2"/>
    <n v="2.6480409375745355E-2"/>
    <e v="#N/A"/>
    <n v="19596"/>
  </r>
  <r>
    <x v="4"/>
    <x v="0"/>
    <n v="3530"/>
    <n v="328"/>
    <n v="221925"/>
    <n v="12.8372197814577"/>
    <n v="3202"/>
    <n v="1.4428297848372199E-2"/>
    <n v="1.4661507818402437E-2"/>
    <e v="#N/A"/>
    <n v="11013"/>
  </r>
  <r>
    <x v="4"/>
    <x v="0"/>
    <n v="2960"/>
    <n v="234"/>
    <n v="224651"/>
    <n v="17.41278694508371"/>
    <n v="2726"/>
    <n v="1.213437732304775E-2"/>
    <n v="1.2296394531126659E-2"/>
    <e v="#N/A"/>
    <n v="59378"/>
  </r>
  <r>
    <x v="5"/>
    <x v="0"/>
    <n v="3964"/>
    <n v="378"/>
    <n v="246766"/>
    <n v="13.6355899921383"/>
    <n v="3586"/>
    <n v="1.453198576789347E-2"/>
    <n v="1.4769235838255039E-2"/>
    <e v="#N/A"/>
    <n v="23109"/>
  </r>
  <r>
    <x v="5"/>
    <x v="0"/>
    <n v="1536"/>
    <n v="155"/>
    <n v="257065"/>
    <n v="12.15762550327738"/>
    <n v="1381"/>
    <n v="5.3721821329235798E-3"/>
    <n v="5.4044746388863885E-3"/>
    <e v="#N/A"/>
    <n v="36661"/>
  </r>
  <r>
    <x v="6"/>
    <x v="0"/>
    <n v="3494"/>
    <n v="281"/>
    <n v="309517"/>
    <n v="27.765518533715429"/>
    <n v="3213"/>
    <n v="1.0380689913639638E-2"/>
    <n v="1.0499210843629401E-2"/>
    <e v="#N/A"/>
    <n v="39197"/>
  </r>
  <r>
    <x v="7"/>
    <x v="0"/>
    <n v="7610"/>
    <n v="757"/>
    <n v="333052"/>
    <n v="44.450416151231643"/>
    <n v="6853"/>
    <n v="2.0576366453286574E-2"/>
    <n v="2.1057515624903978E-2"/>
    <e v="#N/A"/>
    <n v="39750"/>
  </r>
  <r>
    <x v="8"/>
    <x v="0"/>
    <n v="7488"/>
    <n v="568"/>
    <n v="354010"/>
    <n v="13.47730290104799"/>
    <n v="6920"/>
    <n v="1.9547470410440384E-2"/>
    <n v="1.9969872042756305E-2"/>
    <e v="#N/A"/>
    <n v="46727"/>
  </r>
  <r>
    <x v="8"/>
    <x v="0"/>
    <n v="7525"/>
    <n v="610"/>
    <n v="365996"/>
    <n v="5.7694619613329108"/>
    <n v="6915"/>
    <n v="1.8893649110919244E-2"/>
    <n v="1.9290263368584908E-2"/>
    <e v="#N/A"/>
    <n v="53543"/>
  </r>
  <r>
    <x v="9"/>
    <x v="0"/>
    <n v="9648"/>
    <n v="1417"/>
    <n v="385849"/>
    <n v="3.6633501706626168"/>
    <n v="8231"/>
    <n v="2.1332179168534842E-2"/>
    <n v="2.1879261352309005E-2"/>
    <e v="#N/A"/>
    <n v="24226"/>
  </r>
  <r>
    <x v="10"/>
    <x v="0"/>
    <n v="6448"/>
    <n v="928"/>
    <n v="396672"/>
    <n v="30.118586640851881"/>
    <n v="5520"/>
    <n v="1.3915779283639884E-2"/>
    <n v="1.4145721431793021E-2"/>
    <e v="#N/A"/>
    <n v="53922"/>
  </r>
  <r>
    <x v="10"/>
    <x v="0"/>
    <n v="2179"/>
    <n v="303"/>
    <n v="398548"/>
    <n v="33.909842729106657"/>
    <n v="1876"/>
    <n v="4.7070867248110645E-3"/>
    <n v="4.7329634759529634E-3"/>
    <e v="#N/A"/>
    <n v="54848"/>
  </r>
  <r>
    <x v="11"/>
    <x v="0"/>
    <n v="7907"/>
    <n v="465"/>
    <n v="420811"/>
    <n v="33.257448118038738"/>
    <n v="7442"/>
    <n v="1.76848989213685E-2"/>
    <n v="1.8023559955825084E-2"/>
    <e v="#N/A"/>
    <n v="22693"/>
  </r>
  <r>
    <x v="12"/>
    <x v="0"/>
    <n v="1419"/>
    <n v="110"/>
    <n v="455286"/>
    <n v="31.554451487636339"/>
    <n v="1309"/>
    <n v="2.8751158612388694E-3"/>
    <n v="2.88410481484664E-3"/>
    <e v="#N/A"/>
    <n v="58831"/>
  </r>
  <r>
    <x v="12"/>
    <x v="0"/>
    <n v="4302"/>
    <n v="275"/>
    <n v="464255"/>
    <n v="15.72131694865968"/>
    <n v="4027"/>
    <n v="8.6741122874282456E-3"/>
    <n v="8.7552423834609192E-3"/>
    <e v="#N/A"/>
    <n v="26044"/>
  </r>
  <r>
    <x v="12"/>
    <x v="0"/>
    <n v="8857"/>
    <n v="1153"/>
    <n v="471959"/>
    <n v="19.214592793018038"/>
    <n v="7704"/>
    <n v="1.6323451825264481E-2"/>
    <n v="1.6635643983398906E-2"/>
    <e v="#N/A"/>
    <n v="39411"/>
  </r>
  <r>
    <x v="13"/>
    <x v="0"/>
    <n v="8870"/>
    <n v="509"/>
    <n v="480320"/>
    <n v="25.077864756828781"/>
    <n v="8361"/>
    <n v="1.7407145236508995E-2"/>
    <n v="1.7734648425071588E-2"/>
    <e v="#N/A"/>
    <n v="15469"/>
  </r>
  <r>
    <x v="13"/>
    <x v="0"/>
    <n v="1767"/>
    <n v="224"/>
    <n v="487561"/>
    <n v="13.208603641390511"/>
    <n v="1543"/>
    <n v="3.1647322078673231E-3"/>
    <n v="3.1762434282844166E-3"/>
    <e v="#N/A"/>
    <n v="16256"/>
  </r>
  <r>
    <x v="14"/>
    <x v="0"/>
    <n v="5481"/>
    <n v="673"/>
    <n v="507970"/>
    <n v="13.08758391243577"/>
    <n v="4808"/>
    <n v="9.4651258932614123E-3"/>
    <n v="9.5683686608065057E-3"/>
    <e v="#N/A"/>
    <n v="29194"/>
  </r>
  <r>
    <x v="15"/>
    <x v="0"/>
    <n v="8758"/>
    <n v="1193"/>
    <n v="538906"/>
    <n v="3.4213758985797149"/>
    <n v="7565"/>
    <n v="1.4037698596786824E-2"/>
    <n v="1.426960018711756E-2"/>
    <e v="#N/A"/>
    <n v="26184"/>
  </r>
  <r>
    <x v="15"/>
    <x v="0"/>
    <n v="8638"/>
    <n v="717"/>
    <n v="553745"/>
    <n v="26.921416897669499"/>
    <n v="7921"/>
    <n v="1.4304418098583283E-2"/>
    <n v="1.4531092060824756E-2"/>
    <e v="#N/A"/>
    <n v="31621"/>
  </r>
  <r>
    <x v="15"/>
    <x v="0"/>
    <n v="8993"/>
    <n v="506"/>
    <n v="562232"/>
    <n v="3.5131404829323132"/>
    <n v="8487"/>
    <n v="1.509519202037593E-2"/>
    <n v="1.5340567096679735E-2"/>
    <e v="#N/A"/>
    <n v="20028"/>
  </r>
  <r>
    <x v="16"/>
    <x v="0"/>
    <n v="5798"/>
    <n v="592"/>
    <n v="631128"/>
    <n v="1.6774727155188811"/>
    <n v="5206"/>
    <n v="8.2487229214992831E-3"/>
    <n v="8.3252042921337539E-3"/>
    <e v="#N/A"/>
    <n v="13471"/>
  </r>
  <r>
    <x v="17"/>
    <x v="0"/>
    <n v="8961"/>
    <n v="476"/>
    <n v="655645"/>
    <n v="15.458517947974901"/>
    <n v="8485"/>
    <n v="1.2941454598143812E-2"/>
    <n v="1.3120782329545807E-2"/>
    <e v="#N/A"/>
    <n v="44865"/>
  </r>
  <r>
    <x v="17"/>
    <x v="0"/>
    <n v="6827"/>
    <n v="775"/>
    <n v="661697"/>
    <n v="15.96622018839439"/>
    <n v="6052"/>
    <n v="9.1461802003031598E-3"/>
    <n v="9.2415288530548045E-3"/>
    <e v="#N/A"/>
    <n v="56850"/>
  </r>
  <r>
    <x v="18"/>
    <x v="0"/>
    <n v="1593"/>
    <n v="224"/>
    <n v="677154"/>
    <n v="4.1495730660972248"/>
    <n v="1369"/>
    <n v="2.0216966893793729E-3"/>
    <n v="2.0264639314584473E-3"/>
    <e v="#N/A"/>
    <n v="52845"/>
  </r>
  <r>
    <x v="18"/>
    <x v="0"/>
    <n v="8394"/>
    <n v="764"/>
    <n v="690186"/>
    <n v="6.3556780346167558"/>
    <n v="7630"/>
    <n v="1.1054990973447738E-2"/>
    <n v="1.119109640476861E-2"/>
    <e v="#N/A"/>
    <n v="42373"/>
  </r>
  <r>
    <x v="19"/>
    <x v="0"/>
    <n v="3672"/>
    <n v="211"/>
    <n v="704218"/>
    <n v="12.35057894004413"/>
    <n v="3461"/>
    <n v="4.9146713091684675E-3"/>
    <n v="4.9404321771875084E-3"/>
    <e v="#N/A"/>
    <n v="28284"/>
  </r>
  <r>
    <x v="20"/>
    <x v="0"/>
    <n v="4191"/>
    <n v="599"/>
    <n v="713549"/>
    <n v="11.56416728213479"/>
    <n v="3592"/>
    <n v="5.033992059410076E-3"/>
    <n v="5.0637336859526505E-3"/>
    <e v="#N/A"/>
    <n v="27833"/>
  </r>
  <r>
    <x v="20"/>
    <x v="0"/>
    <n v="1392"/>
    <n v="182"/>
    <n v="714759"/>
    <n v="5.9603306848881932"/>
    <n v="1210"/>
    <n v="1.6928782988391892E-3"/>
    <n v="1.6961816288109768E-3"/>
    <e v="#N/A"/>
    <n v="35122"/>
  </r>
  <r>
    <x v="21"/>
    <x v="0"/>
    <n v="4631"/>
    <n v="317"/>
    <n v="735242"/>
    <n v="1.381177897889402"/>
    <n v="4314"/>
    <n v="5.8674558852731479E-3"/>
    <n v="5.904646932498963E-3"/>
    <e v="#N/A"/>
    <n v="17999"/>
  </r>
  <r>
    <x v="22"/>
    <x v="0"/>
    <n v="4897"/>
    <n v="683"/>
    <n v="761158"/>
    <n v="15.06231294947961"/>
    <n v="4214"/>
    <n v="5.5363012672795921E-3"/>
    <n v="5.5721503554989615E-3"/>
    <e v="#N/A"/>
    <n v="58201"/>
  </r>
  <r>
    <x v="23"/>
    <x v="0"/>
    <n v="3247"/>
    <n v="328"/>
    <n v="810061"/>
    <n v="13.941172331466399"/>
    <n v="2919"/>
    <n v="3.6034323341081723E-3"/>
    <n v="3.6179342450676365E-3"/>
    <e v="#N/A"/>
    <n v="15105"/>
  </r>
  <r>
    <x v="24"/>
    <x v="0"/>
    <n v="4271"/>
    <n v="628"/>
    <n v="868909"/>
    <n v="11.124410036033691"/>
    <n v="3643"/>
    <n v="4.1926139561219876E-3"/>
    <n v="4.2133239575406125E-3"/>
    <e v="#N/A"/>
    <n v="47051"/>
  </r>
  <r>
    <x v="25"/>
    <x v="0"/>
    <n v="6330"/>
    <n v="891"/>
    <n v="922914"/>
    <n v="14.789893749580139"/>
    <n v="5439"/>
    <n v="5.8932901657142486E-3"/>
    <n v="5.9339896834332698E-3"/>
    <e v="#N/A"/>
    <n v="37037"/>
  </r>
  <r>
    <x v="25"/>
    <x v="0"/>
    <n v="6510"/>
    <n v="481"/>
    <n v="928943"/>
    <n v="2.3800168578696428"/>
    <n v="6029"/>
    <n v="6.4901721634158397E-3"/>
    <n v="6.5359760546294422E-3"/>
    <e v="#N/A"/>
    <n v="19557"/>
  </r>
  <r>
    <x v="26"/>
    <x v="0"/>
    <n v="9754"/>
    <n v="629"/>
    <n v="938068"/>
    <n v="3.4123325814333292"/>
    <n v="9125"/>
    <n v="9.7274398018054129E-3"/>
    <n v="9.8296481578431429E-3"/>
    <e v="#N/A"/>
    <n v="19435"/>
  </r>
  <r>
    <x v="26"/>
    <x v="0"/>
    <n v="6439"/>
    <n v="477"/>
    <n v="959389"/>
    <n v="7.4744446725989153"/>
    <n v="5962"/>
    <n v="6.2143718554204808E-3"/>
    <n v="6.2563618238102737E-3"/>
    <e v="#N/A"/>
    <n v="44742"/>
  </r>
  <r>
    <x v="27"/>
    <x v="0"/>
    <n v="3376"/>
    <n v="382"/>
    <n v="991495"/>
    <n v="3.8694093263203548"/>
    <n v="2994"/>
    <n v="3.0196823988018094E-3"/>
    <n v="3.0299994231464023E-3"/>
    <e v="#N/A"/>
    <n v="44782"/>
  </r>
  <r>
    <x v="28"/>
    <x v="0"/>
    <n v="9569"/>
    <n v="1277"/>
    <n v="1013386"/>
    <n v="12.45517502708741"/>
    <n v="8292"/>
    <n v="8.1824694637581338E-3"/>
    <n v="8.2604697868236942E-3"/>
    <e v="#N/A"/>
    <n v="59733"/>
  </r>
  <r>
    <x v="29"/>
    <x v="0"/>
    <n v="6607"/>
    <n v="479"/>
    <n v="1063421"/>
    <n v="5.5892257158735816"/>
    <n v="6128"/>
    <n v="5.7625343114345116E-3"/>
    <n v="5.7985605792504639E-3"/>
    <e v="#N/A"/>
    <n v="48328"/>
  </r>
  <r>
    <x v="30"/>
    <x v="0"/>
    <n v="1521"/>
    <n v="96"/>
    <n v="1087368"/>
    <n v="12.709772588488899"/>
    <n v="1425"/>
    <n v="1.3105038956452645E-3"/>
    <n v="1.3123395837535121E-3"/>
    <e v="#N/A"/>
    <n v="42262"/>
  </r>
  <r>
    <x v="31"/>
    <x v="0"/>
    <n v="5941"/>
    <n v="450"/>
    <n v="1117854"/>
    <n v="12.414411899944"/>
    <n v="5491"/>
    <n v="4.9120904876665469E-3"/>
    <n v="4.9383360029067024E-3"/>
    <e v="#N/A"/>
    <n v="58330"/>
  </r>
  <r>
    <x v="31"/>
    <x v="0"/>
    <n v="7267"/>
    <n v="842"/>
    <n v="1124279"/>
    <n v="2.2102165031989389"/>
    <n v="6425"/>
    <n v="5.7147736460433753E-3"/>
    <n v="5.7519525305010149E-3"/>
    <e v="#N/A"/>
    <n v="11171"/>
  </r>
  <r>
    <x v="31"/>
    <x v="0"/>
    <n v="3461"/>
    <n v="365"/>
    <n v="1134433"/>
    <n v="10.23489267325616"/>
    <n v="3096"/>
    <n v="2.7291166600407427E-3"/>
    <n v="2.7374683016025154E-3"/>
    <e v="#N/A"/>
    <n v="51903"/>
  </r>
  <r>
    <x v="32"/>
    <x v="0"/>
    <n v="8697"/>
    <n v="738"/>
    <n v="1168011"/>
    <n v="3.8777032065622672"/>
    <n v="7959"/>
    <n v="6.8141481544266276E-3"/>
    <n v="6.8652668733406134E-3"/>
    <e v="#N/A"/>
    <n v="30644"/>
  </r>
  <r>
    <x v="33"/>
    <x v="0"/>
    <n v="3196"/>
    <n v="391"/>
    <n v="1170816"/>
    <n v="7.2439221876024931"/>
    <n v="2805"/>
    <n v="2.3957650049196456E-3"/>
    <n v="2.402322673472534E-3"/>
    <e v="#N/A"/>
    <n v="28745"/>
  </r>
  <r>
    <x v="2"/>
    <x v="1"/>
    <n v="7097"/>
    <n v="369"/>
    <n v="170518"/>
    <n v="9.2506362964613711"/>
    <n v="6728"/>
    <n v="3.9456245088495059E-2"/>
    <n v="4.1169739507162482E-2"/>
    <e v="#N/A"/>
    <n v="33762"/>
  </r>
  <r>
    <x v="4"/>
    <x v="1"/>
    <n v="5917"/>
    <n v="475"/>
    <n v="210260"/>
    <n v="17.894035955483691"/>
    <n v="5442"/>
    <n v="2.5882241034909159E-2"/>
    <n v="2.6631692791042511E-2"/>
    <e v="#N/A"/>
    <n v="28313"/>
  </r>
  <r>
    <x v="34"/>
    <x v="1"/>
    <n v="2048"/>
    <n v="130"/>
    <n v="233720"/>
    <n v="39.284614068115687"/>
    <n v="1918"/>
    <n v="8.2064008214958063E-3"/>
    <n v="8.2789460962049803E-3"/>
    <e v="#N/A"/>
    <n v="11828"/>
  </r>
  <r>
    <x v="34"/>
    <x v="1"/>
    <n v="6772"/>
    <n v="536"/>
    <n v="239956"/>
    <n v="9.8205504342462788"/>
    <n v="6236"/>
    <n v="2.5988097817933289E-2"/>
    <n v="2.6742829696720188E-2"/>
    <e v="#N/A"/>
    <n v="17909"/>
  </r>
  <r>
    <x v="34"/>
    <x v="1"/>
    <n v="3529"/>
    <n v="305"/>
    <n v="243180"/>
    <n v="41.606628834608109"/>
    <n v="3224"/>
    <n v="1.3257669216218439E-2"/>
    <n v="1.3452896086392295E-2"/>
    <e v="#N/A"/>
    <n v="48356"/>
  </r>
  <r>
    <x v="35"/>
    <x v="1"/>
    <n v="8340"/>
    <n v="911"/>
    <n v="264494"/>
    <n v="37.302925586213682"/>
    <n v="7429"/>
    <n v="2.8087593669421613E-2"/>
    <n v="2.9002084683432624E-2"/>
    <e v="#N/A"/>
    <n v="48659"/>
  </r>
  <r>
    <x v="35"/>
    <x v="1"/>
    <n v="8967"/>
    <n v="993"/>
    <n v="280201"/>
    <n v="52.792102811910027"/>
    <n v="7974"/>
    <n v="2.8458142547671136E-2"/>
    <n v="2.9398969155784303E-2"/>
    <e v="#N/A"/>
    <n v="47804"/>
  </r>
  <r>
    <x v="36"/>
    <x v="1"/>
    <n v="1845"/>
    <n v="104"/>
    <n v="291024"/>
    <n v="28.158158777282971"/>
    <n v="1741"/>
    <n v="5.9823244818296775E-3"/>
    <n v="6.0204924977263216E-3"/>
    <e v="#N/A"/>
    <n v="37766"/>
  </r>
  <r>
    <x v="36"/>
    <x v="1"/>
    <n v="6777"/>
    <n v="981"/>
    <n v="296820"/>
    <n v="23.920557913887201"/>
    <n v="5796"/>
    <n v="1.952698605215282E-2"/>
    <n v="1.9983243863840879E-2"/>
    <e v="#N/A"/>
    <n v="53590"/>
  </r>
  <r>
    <x v="6"/>
    <x v="1"/>
    <n v="5349"/>
    <n v="502"/>
    <n v="320404"/>
    <n v="5.2152906954969351"/>
    <n v="4847"/>
    <n v="1.5127776182569505E-2"/>
    <n v="1.5384615384615385E-2"/>
    <e v="#N/A"/>
    <n v="58868"/>
  </r>
  <r>
    <x v="9"/>
    <x v="1"/>
    <n v="1689"/>
    <n v="176"/>
    <n v="371865"/>
    <n v="38.012181840183942"/>
    <n v="1513"/>
    <n v="4.068680838476329E-3"/>
    <n v="4.0872449861687416E-3"/>
    <e v="#N/A"/>
    <n v="26029"/>
  </r>
  <r>
    <x v="10"/>
    <x v="1"/>
    <n v="9591"/>
    <n v="1363"/>
    <n v="413369"/>
    <n v="10.494255737609739"/>
    <n v="8228"/>
    <n v="1.9904734026983156E-2"/>
    <n v="2.0377534189579421E-2"/>
    <e v="#N/A"/>
    <n v="15997"/>
  </r>
  <r>
    <x v="11"/>
    <x v="1"/>
    <n v="6671"/>
    <n v="550"/>
    <n v="438545"/>
    <n v="17.750287883797562"/>
    <n v="6121"/>
    <n v="1.3957518612685129E-2"/>
    <n v="1.4173115306779293E-2"/>
    <e v="#N/A"/>
    <n v="10541"/>
  </r>
  <r>
    <x v="37"/>
    <x v="1"/>
    <n v="2382"/>
    <n v="183"/>
    <n v="447968"/>
    <n v="4.7335970426459033"/>
    <n v="2199"/>
    <n v="4.9088327737695546E-3"/>
    <n v="4.9350742617586731E-3"/>
    <e v="#N/A"/>
    <n v="47861"/>
  </r>
  <r>
    <x v="14"/>
    <x v="1"/>
    <n v="2549"/>
    <n v="128"/>
    <n v="492814"/>
    <n v="12.734216154573531"/>
    <n v="2421"/>
    <n v="4.9126039438814641E-3"/>
    <n v="4.9381456967150421E-3"/>
    <e v="#N/A"/>
    <n v="43937"/>
  </r>
  <r>
    <x v="38"/>
    <x v="1"/>
    <n v="7356"/>
    <n v="904"/>
    <n v="581126"/>
    <n v="17.560907617280929"/>
    <n v="6452"/>
    <n v="1.1102583604932494E-2"/>
    <n v="1.1244923924220506E-2"/>
    <e v="#N/A"/>
    <n v="44051"/>
  </r>
  <r>
    <x v="38"/>
    <x v="1"/>
    <n v="9433"/>
    <n v="1073"/>
    <n v="589486"/>
    <n v="7.2934726185185053"/>
    <n v="8360"/>
    <n v="1.4181846557848703E-2"/>
    <n v="1.4412476101321776E-2"/>
    <e v="#N/A"/>
    <n v="59811"/>
  </r>
  <r>
    <x v="39"/>
    <x v="1"/>
    <n v="5268"/>
    <n v="326"/>
    <n v="604702"/>
    <n v="23.435841125050029"/>
    <n v="4942"/>
    <n v="8.1726205635172366E-3"/>
    <n v="8.2444439254363289E-3"/>
    <e v="#N/A"/>
    <n v="44501"/>
  </r>
  <r>
    <x v="40"/>
    <x v="1"/>
    <n v="5592"/>
    <n v="710"/>
    <n v="620702"/>
    <n v="9.07118069540617"/>
    <n v="4882"/>
    <n v="7.8652880126050834E-3"/>
    <n v="7.9367917933377777E-3"/>
    <e v="#N/A"/>
    <n v="24472"/>
  </r>
  <r>
    <x v="16"/>
    <x v="1"/>
    <n v="3355"/>
    <n v="176"/>
    <n v="640691"/>
    <n v="12.426427091999111"/>
    <n v="3179"/>
    <n v="4.9618302738761748E-3"/>
    <n v="4.9879498412140535E-3"/>
    <e v="#N/A"/>
    <n v="40268"/>
  </r>
  <r>
    <x v="16"/>
    <x v="1"/>
    <n v="6887"/>
    <n v="418"/>
    <n v="647160"/>
    <n v="20.240280610668151"/>
    <n v="6469"/>
    <n v="9.9959824463811114E-3"/>
    <n v="1.010350272461903E-2"/>
    <e v="#N/A"/>
    <n v="18329"/>
  </r>
  <r>
    <x v="17"/>
    <x v="1"/>
    <n v="9737"/>
    <n v="792"/>
    <n v="670642"/>
    <n v="5.301785453341723"/>
    <n v="8945"/>
    <n v="1.3337965710468476E-2"/>
    <n v="1.353447167142025E-2"/>
    <e v="#N/A"/>
    <n v="56698"/>
  </r>
  <r>
    <x v="18"/>
    <x v="1"/>
    <n v="5839"/>
    <n v="437"/>
    <n v="682556"/>
    <n v="17.44750613869045"/>
    <n v="5402"/>
    <n v="7.9143689309009082E-3"/>
    <n v="7.9826574476479836E-3"/>
    <e v="#N/A"/>
    <n v="16397"/>
  </r>
  <r>
    <x v="19"/>
    <x v="1"/>
    <n v="1016"/>
    <n v="67"/>
    <n v="709957"/>
    <n v="20.774215903216671"/>
    <n v="949"/>
    <n v="1.3367006734210664E-3"/>
    <n v="1.3386163305550108E-3"/>
    <e v="#N/A"/>
    <n v="33284"/>
  </r>
  <r>
    <x v="20"/>
    <x v="1"/>
    <n v="9616"/>
    <n v="1089"/>
    <n v="723286"/>
    <n v="19.25863351426683"/>
    <n v="8527"/>
    <n v="1.178925072516266E-2"/>
    <n v="1.1948099261563467E-2"/>
    <e v="#N/A"/>
    <n v="15017"/>
  </r>
  <r>
    <x v="21"/>
    <x v="1"/>
    <n v="1571"/>
    <n v="204"/>
    <n v="730928"/>
    <n v="19.449384891535139"/>
    <n v="1367"/>
    <n v="1.8702252479040344E-3"/>
    <n v="1.8742536233970471E-3"/>
    <e v="#N/A"/>
    <n v="39252"/>
  </r>
  <r>
    <x v="21"/>
    <x v="1"/>
    <n v="7172"/>
    <n v="998"/>
    <n v="741416"/>
    <n v="18.0667803230575"/>
    <n v="6174"/>
    <n v="8.32730882527488E-3"/>
    <n v="8.4086488960073216E-3"/>
    <e v="#N/A"/>
    <n v="32436"/>
  </r>
  <r>
    <x v="22"/>
    <x v="1"/>
    <n v="9433"/>
    <n v="1233"/>
    <n v="756944"/>
    <n v="11.391727789638329"/>
    <n v="8200"/>
    <n v="1.0833033883616226E-2"/>
    <n v="1.0969738237965728E-2"/>
    <e v="#N/A"/>
    <n v="12096"/>
  </r>
  <r>
    <x v="22"/>
    <x v="1"/>
    <n v="9123"/>
    <n v="746"/>
    <n v="769535"/>
    <n v="6.3086149427901264"/>
    <n v="8377"/>
    <n v="1.0885794668208723E-2"/>
    <n v="1.1016396374596929E-2"/>
    <e v="#N/A"/>
    <n v="35279"/>
  </r>
  <r>
    <x v="41"/>
    <x v="1"/>
    <n v="9980"/>
    <n v="726"/>
    <n v="781868"/>
    <n v="4.0220344099003924"/>
    <n v="9254"/>
    <n v="1.1835757442432739E-2"/>
    <n v="1.198878593785627E-2"/>
    <e v="#N/A"/>
    <n v="58709"/>
  </r>
  <r>
    <x v="23"/>
    <x v="1"/>
    <n v="7869"/>
    <n v="398"/>
    <n v="807142"/>
    <n v="15.211945357818079"/>
    <n v="7471"/>
    <n v="9.2561160241940079E-3"/>
    <n v="9.3472443082651367E-3"/>
    <e v="#N/A"/>
    <n v="25078"/>
  </r>
  <r>
    <x v="24"/>
    <x v="1"/>
    <n v="8083"/>
    <n v="823"/>
    <n v="853477"/>
    <n v="4.6300017457998282"/>
    <n v="7260"/>
    <n v="8.5063803711172073E-3"/>
    <n v="8.5877117651651184E-3"/>
    <e v="#N/A"/>
    <n v="27069"/>
  </r>
  <r>
    <x v="42"/>
    <x v="1"/>
    <n v="3711"/>
    <n v="291"/>
    <n v="900862"/>
    <n v="14.24879726306582"/>
    <n v="3420"/>
    <n v="3.7963639269943676E-3"/>
    <n v="3.8120673108540258E-3"/>
    <e v="#N/A"/>
    <n v="55603"/>
  </r>
  <r>
    <x v="42"/>
    <x v="1"/>
    <n v="2668"/>
    <n v="143"/>
    <n v="903387"/>
    <n v="15.903372530266649"/>
    <n v="2525"/>
    <n v="2.795036900021807E-3"/>
    <n v="2.8033160175371008E-3"/>
    <e v="#N/A"/>
    <n v="33252"/>
  </r>
  <r>
    <x v="42"/>
    <x v="1"/>
    <n v="7420"/>
    <n v="743"/>
    <n v="911084"/>
    <n v="10.593534734448189"/>
    <n v="6677"/>
    <n v="7.3286327056561193E-3"/>
    <n v="7.3888082296074643E-3"/>
    <e v="#N/A"/>
    <n v="11431"/>
  </r>
  <r>
    <x v="25"/>
    <x v="1"/>
    <n v="5531"/>
    <n v="430"/>
    <n v="917475"/>
    <n v="2.7289026948963189"/>
    <n v="5101"/>
    <n v="5.5598245183792472E-3"/>
    <n v="5.5935452176888055E-3"/>
    <e v="#N/A"/>
    <n v="47481"/>
  </r>
  <r>
    <x v="43"/>
    <x v="1"/>
    <n v="8504"/>
    <n v="1072"/>
    <n v="973452"/>
    <n v="6.5651927367759271"/>
    <n v="7432"/>
    <n v="7.6346856342171983E-3"/>
    <n v="7.7019694325497334E-3"/>
    <e v="#N/A"/>
    <n v="18461"/>
  </r>
  <r>
    <x v="27"/>
    <x v="1"/>
    <n v="2827"/>
    <n v="292"/>
    <n v="997585"/>
    <n v="2.4004972007397871"/>
    <n v="2535"/>
    <n v="2.5411368454818384E-3"/>
    <n v="2.5483584952320061E-3"/>
    <e v="#N/A"/>
    <n v="17896"/>
  </r>
  <r>
    <x v="28"/>
    <x v="1"/>
    <n v="7979"/>
    <n v="470"/>
    <n v="1005094"/>
    <n v="10.43086517280971"/>
    <n v="7509"/>
    <n v="7.4709430162750948E-3"/>
    <n v="7.5307261449281179E-3"/>
    <e v="#N/A"/>
    <n v="42972"/>
  </r>
  <r>
    <x v="28"/>
    <x v="1"/>
    <n v="5285"/>
    <n v="433"/>
    <n v="1018238"/>
    <n v="8.7022876773406619"/>
    <n v="4852"/>
    <n v="4.7650942117658151E-3"/>
    <n v="4.7899557037690789E-3"/>
    <e v="#N/A"/>
    <n v="51800"/>
  </r>
  <r>
    <x v="28"/>
    <x v="1"/>
    <n v="7910"/>
    <n v="543"/>
    <n v="1025605"/>
    <n v="6.0590578244060822"/>
    <n v="7367"/>
    <n v="7.183077305590359E-3"/>
    <n v="7.2389075312348002E-3"/>
    <e v="#N/A"/>
    <n v="40508"/>
  </r>
  <r>
    <x v="44"/>
    <x v="1"/>
    <n v="9561"/>
    <n v="517"/>
    <n v="1034649"/>
    <n v="6.4086467971263694"/>
    <n v="9044"/>
    <n v="8.741128633961856E-3"/>
    <n v="8.8226571767497028E-3"/>
    <e v="#N/A"/>
    <n v="15347"/>
  </r>
  <r>
    <x v="44"/>
    <x v="1"/>
    <n v="3196"/>
    <n v="348"/>
    <n v="1037497"/>
    <n v="14.03040201562029"/>
    <n v="2848"/>
    <n v="2.7450681785103955E-3"/>
    <n v="2.7535504654834521E-3"/>
    <e v="#N/A"/>
    <n v="40314"/>
  </r>
  <r>
    <x v="44"/>
    <x v="1"/>
    <n v="9843"/>
    <n v="508"/>
    <n v="1051021"/>
    <n v="4.2080986012648651"/>
    <n v="9335"/>
    <n v="8.8818396587699005E-3"/>
    <n v="8.9658060389289831E-3"/>
    <e v="#N/A"/>
    <n v="50785"/>
  </r>
  <r>
    <x v="29"/>
    <x v="1"/>
    <n v="1780"/>
    <n v="120"/>
    <n v="1066648"/>
    <n v="13.86474263299608"/>
    <n v="1660"/>
    <n v="1.55627723485161E-3"/>
    <n v="1.5588786591389731E-3"/>
    <e v="#N/A"/>
    <n v="57299"/>
  </r>
  <r>
    <x v="30"/>
    <x v="1"/>
    <n v="4983"/>
    <n v="441"/>
    <n v="1077624"/>
    <n v="6.8954477628560609"/>
    <n v="4542"/>
    <n v="4.2148281775461569E-3"/>
    <n v="4.2344083435184744E-3"/>
    <e v="#N/A"/>
    <n v="46768"/>
  </r>
  <r>
    <x v="45"/>
    <x v="1"/>
    <n v="8569"/>
    <n v="720"/>
    <n v="1095217"/>
    <n v="9.589697749395782"/>
    <n v="7849"/>
    <n v="7.1666162961312686E-3"/>
    <n v="7.2231302132797371E-3"/>
    <e v="#N/A"/>
    <n v="41358"/>
  </r>
  <r>
    <x v="45"/>
    <x v="1"/>
    <n v="6784"/>
    <n v="416"/>
    <n v="1101585"/>
    <n v="9.3041390360253633"/>
    <n v="6368"/>
    <n v="5.7807613574985131E-3"/>
    <n v="5.8165821916494409E-3"/>
    <e v="#N/A"/>
    <n v="24289"/>
  </r>
  <r>
    <x v="45"/>
    <x v="1"/>
    <n v="5583"/>
    <n v="795"/>
    <n v="1106373"/>
    <n v="12.21550055903389"/>
    <n v="4788"/>
    <n v="4.327654416729259E-3"/>
    <n v="4.349603466601259E-3"/>
    <e v="#N/A"/>
    <n v="59823"/>
  </r>
  <r>
    <x v="45"/>
    <x v="1"/>
    <n v="6946"/>
    <n v="956"/>
    <n v="1112363"/>
    <n v="1.64146056637986"/>
    <n v="5990"/>
    <n v="5.3849327962185002E-3"/>
    <n v="5.4187695684072166E-3"/>
    <e v="#N/A"/>
    <n v="17927"/>
  </r>
  <r>
    <x v="46"/>
    <x v="1"/>
    <n v="1685"/>
    <n v="173"/>
    <n v="1135945"/>
    <n v="8.7776256772995165"/>
    <n v="1512"/>
    <n v="1.331050358952238E-3"/>
    <n v="1.3330277008798688E-3"/>
    <e v="#N/A"/>
    <n v="49110"/>
  </r>
  <r>
    <x v="32"/>
    <x v="1"/>
    <n v="1038"/>
    <n v="145"/>
    <n v="1152775"/>
    <n v="11.093752033137431"/>
    <n v="893"/>
    <n v="7.7465246904209403E-4"/>
    <n v="7.7535062258137053E-4"/>
    <e v="#N/A"/>
    <n v="55951"/>
  </r>
  <r>
    <x v="32"/>
    <x v="1"/>
    <n v="2256"/>
    <n v="189"/>
    <n v="1160052"/>
    <n v="2.8935771844710412"/>
    <n v="2067"/>
    <n v="1.7818166771834366E-3"/>
    <n v="1.7852886000642601E-3"/>
    <e v="#N/A"/>
    <n v="15432"/>
  </r>
  <r>
    <x v="33"/>
    <x v="1"/>
    <n v="8165"/>
    <n v="1140"/>
    <n v="1177841"/>
    <n v="9.095964565675672"/>
    <n v="7025"/>
    <n v="5.9643024822535473E-3"/>
    <n v="6.0059366867406018E-3"/>
    <e v="#N/A"/>
    <n v="38228"/>
  </r>
  <r>
    <x v="33"/>
    <x v="1"/>
    <n v="1301"/>
    <n v="180"/>
    <n v="1178962"/>
    <n v="5.2275645864752214"/>
    <n v="1121"/>
    <n v="9.5083641372665107E-4"/>
    <n v="9.5188683330771763E-4"/>
    <e v="#N/A"/>
    <n v="44521"/>
  </r>
  <r>
    <x v="0"/>
    <x v="2"/>
    <n v="8693"/>
    <n v="1261"/>
    <n v="111209"/>
    <n v="69.475492091467416"/>
    <n v="7432"/>
    <n v="6.6829123542159363E-2"/>
    <n v="7.2496000624292789E-2"/>
    <e v="#N/A"/>
    <n v="29873"/>
  </r>
  <r>
    <x v="1"/>
    <x v="2"/>
    <n v="5225"/>
    <n v="291"/>
    <n v="146830"/>
    <n v="19.551862698358651"/>
    <n v="4934"/>
    <n v="3.3603487025812166E-2"/>
    <n v="3.484340242223085E-2"/>
    <e v="#N/A"/>
    <n v="44546"/>
  </r>
  <r>
    <x v="1"/>
    <x v="2"/>
    <n v="3978"/>
    <n v="543"/>
    <n v="150265"/>
    <n v="49.159817655475329"/>
    <n v="3435"/>
    <n v="2.2859614680730708E-2"/>
    <n v="2.3481238934423429E-2"/>
    <e v="#N/A"/>
    <n v="34286"/>
  </r>
  <r>
    <x v="2"/>
    <x v="2"/>
    <n v="6907"/>
    <n v="834"/>
    <n v="163790"/>
    <n v="54.158984064961238"/>
    <n v="6073"/>
    <n v="3.7077965687770928E-2"/>
    <n v="3.8710376522631512E-2"/>
    <e v="#N/A"/>
    <n v="22087"/>
  </r>
  <r>
    <x v="3"/>
    <x v="2"/>
    <n v="9984"/>
    <n v="1330"/>
    <n v="184850"/>
    <n v="57.524479307546663"/>
    <n v="8654"/>
    <n v="4.6816337571003515E-2"/>
    <n v="4.9489323253233908E-2"/>
    <e v="#N/A"/>
    <n v="44947"/>
  </r>
  <r>
    <x v="3"/>
    <x v="2"/>
    <n v="6901"/>
    <n v="471"/>
    <n v="204818"/>
    <n v="60.827661631301943"/>
    <n v="6430"/>
    <n v="3.1393725160874533E-2"/>
    <n v="3.2488366335383011E-2"/>
    <e v="#N/A"/>
    <n v="52003"/>
  </r>
  <r>
    <x v="4"/>
    <x v="2"/>
    <n v="9429"/>
    <n v="966"/>
    <n v="218723"/>
    <n v="7.6914636320825887"/>
    <n v="8463"/>
    <n v="3.8692775794040866E-2"/>
    <n v="4.0435941785239904E-2"/>
    <e v="#N/A"/>
    <n v="57639"/>
  </r>
  <r>
    <x v="34"/>
    <x v="2"/>
    <n v="8045"/>
    <n v="894"/>
    <n v="231802"/>
    <n v="47.634187798207087"/>
    <n v="7151"/>
    <n v="3.084960440375838E-2"/>
    <n v="3.1958776708661631E-2"/>
    <e v="#N/A"/>
    <n v="33705"/>
  </r>
  <r>
    <x v="5"/>
    <x v="2"/>
    <n v="8137"/>
    <n v="1045"/>
    <n v="253858"/>
    <n v="20.47246886054408"/>
    <n v="7092"/>
    <n v="2.7936878097203948E-2"/>
    <n v="2.8862002026688805E-2"/>
    <e v="#N/A"/>
    <n v="12023"/>
  </r>
  <r>
    <x v="35"/>
    <x v="2"/>
    <n v="8179"/>
    <n v="446"/>
    <n v="272227"/>
    <n v="41.82171496581897"/>
    <n v="7733"/>
    <n v="2.8406440213498294E-2"/>
    <n v="2.9286341877234442E-2"/>
    <e v="#N/A"/>
    <n v="43848"/>
  </r>
  <r>
    <x v="36"/>
    <x v="2"/>
    <n v="6947"/>
    <n v="908"/>
    <n v="306304"/>
    <n v="14.117673944839121"/>
    <n v="6039"/>
    <n v="1.9715707271207691E-2"/>
    <n v="2.0173237973389633E-2"/>
    <e v="#N/A"/>
    <n v="46060"/>
  </r>
  <r>
    <x v="6"/>
    <x v="2"/>
    <n v="3719"/>
    <n v="222"/>
    <n v="313014"/>
    <n v="21.669318305251519"/>
    <n v="3497"/>
    <n v="1.1172024254506188E-2"/>
    <n v="1.130635800772725E-2"/>
    <e v="#N/A"/>
    <n v="13586"/>
  </r>
  <r>
    <x v="7"/>
    <x v="2"/>
    <n v="6179"/>
    <n v="384"/>
    <n v="326199"/>
    <n v="14.71218489327067"/>
    <n v="5795"/>
    <n v="1.7765229200580015E-2"/>
    <n v="1.8108243234797827E-2"/>
    <e v="#N/A"/>
    <n v="33225"/>
  </r>
  <r>
    <x v="7"/>
    <x v="2"/>
    <n v="8154"/>
    <n v="1149"/>
    <n v="347090"/>
    <n v="26.003918292085629"/>
    <n v="7005"/>
    <n v="2.0182085338096747E-2"/>
    <n v="2.0667618665470767E-2"/>
    <e v="#N/A"/>
    <n v="37523"/>
  </r>
  <r>
    <x v="9"/>
    <x v="2"/>
    <n v="6175"/>
    <n v="422"/>
    <n v="377618"/>
    <n v="37.86101298137271"/>
    <n v="5753"/>
    <n v="1.523497290913039E-2"/>
    <n v="1.548824449511769E-2"/>
    <e v="#N/A"/>
    <n v="59745"/>
  </r>
  <r>
    <x v="10"/>
    <x v="2"/>
    <n v="7406"/>
    <n v="813"/>
    <n v="405141"/>
    <n v="24.457411123534769"/>
    <n v="6593"/>
    <n v="1.6273346810122897E-2"/>
    <n v="1.6576363659220335E-2"/>
    <e v="#N/A"/>
    <n v="13390"/>
  </r>
  <r>
    <x v="37"/>
    <x v="2"/>
    <n v="4292"/>
    <n v="367"/>
    <n v="453977"/>
    <n v="3.5037017293827661"/>
    <n v="3925"/>
    <n v="8.6458124530537899E-3"/>
    <n v="8.7283320546604846E-3"/>
    <e v="#N/A"/>
    <n v="53934"/>
  </r>
  <r>
    <x v="12"/>
    <x v="2"/>
    <n v="5517"/>
    <n v="575"/>
    <n v="460228"/>
    <n v="29.45844233727631"/>
    <n v="4942"/>
    <n v="1.07381558705685E-2"/>
    <n v="1.0868441713527932E-2"/>
    <e v="#N/A"/>
    <n v="20258"/>
  </r>
  <r>
    <x v="13"/>
    <x v="2"/>
    <n v="6693"/>
    <n v="995"/>
    <n v="486018"/>
    <n v="23.761877132122681"/>
    <n v="5698"/>
    <n v="1.1723845618886543E-2"/>
    <n v="1.1887550200803213E-2"/>
    <e v="#N/A"/>
    <n v="38854"/>
  </r>
  <r>
    <x v="13"/>
    <x v="2"/>
    <n v="3044"/>
    <n v="212"/>
    <n v="490393"/>
    <n v="8.5343795690395261"/>
    <n v="2832"/>
    <n v="5.7749600830354431E-3"/>
    <n v="5.8110306987395072E-3"/>
    <e v="#N/A"/>
    <n v="20720"/>
  </r>
  <r>
    <x v="47"/>
    <x v="2"/>
    <n v="8898"/>
    <n v="1131"/>
    <n v="515737"/>
    <n v="2.1877429775253669"/>
    <n v="7767"/>
    <n v="1.5060001512398761E-2"/>
    <n v="1.5324392953186317E-2"/>
    <e v="#N/A"/>
    <n v="35051"/>
  </r>
  <r>
    <x v="47"/>
    <x v="2"/>
    <n v="3293"/>
    <n v="282"/>
    <n v="525863"/>
    <n v="27.040693108281051"/>
    <n v="3011"/>
    <n v="5.7258259280458983E-3"/>
    <n v="5.7619074956465162E-3"/>
    <e v="#N/A"/>
    <n v="19518"/>
  </r>
  <r>
    <x v="47"/>
    <x v="2"/>
    <n v="5837"/>
    <n v="359"/>
    <n v="531341"/>
    <n v="6.8073045370110723"/>
    <n v="5478"/>
    <n v="1.0309763409938251E-2"/>
    <n v="1.0424278407014979E-2"/>
    <e v="#N/A"/>
    <n v="56026"/>
  </r>
  <r>
    <x v="39"/>
    <x v="2"/>
    <n v="8380"/>
    <n v="1162"/>
    <n v="596704"/>
    <n v="18.05853488496809"/>
    <n v="7218"/>
    <n v="1.2096449831072022E-2"/>
    <n v="1.2268749872519224E-2"/>
    <e v="#N/A"/>
    <n v="40447"/>
  </r>
  <r>
    <x v="39"/>
    <x v="2"/>
    <n v="1671"/>
    <n v="202"/>
    <n v="606171"/>
    <n v="15.150015424690389"/>
    <n v="1469"/>
    <n v="2.4234085761278583E-3"/>
    <n v="2.4301075268817205E-3"/>
    <e v="#N/A"/>
    <n v="40254"/>
  </r>
  <r>
    <x v="40"/>
    <x v="2"/>
    <n v="1163"/>
    <n v="146"/>
    <n v="607188"/>
    <n v="21.77776899411715"/>
    <n v="1017"/>
    <n v="1.6749342872388782E-3"/>
    <n v="1.6781485912297348E-3"/>
    <e v="#N/A"/>
    <n v="28509"/>
  </r>
  <r>
    <x v="40"/>
    <x v="2"/>
    <n v="9656"/>
    <n v="1024"/>
    <n v="615820"/>
    <n v="8.7252768666168681"/>
    <n v="8632"/>
    <n v="1.401708291383846E-2"/>
    <n v="1.4240370592776871E-2"/>
    <e v="#N/A"/>
    <n v="58998"/>
  </r>
  <r>
    <x v="16"/>
    <x v="2"/>
    <n v="7036"/>
    <n v="652"/>
    <n v="637512"/>
    <n v="3.5705994553828009"/>
    <n v="6384"/>
    <n v="1.0013929149568949E-2"/>
    <n v="1.0125682817426833E-2"/>
    <e v="#N/A"/>
    <n v="51796"/>
  </r>
  <r>
    <x v="19"/>
    <x v="2"/>
    <n v="7164"/>
    <n v="522"/>
    <n v="700757"/>
    <n v="13.449169969047761"/>
    <n v="6642"/>
    <n v="9.4783213011072308E-3"/>
    <n v="9.5762212133052096E-3"/>
    <e v="#N/A"/>
    <n v="34570"/>
  </r>
  <r>
    <x v="20"/>
    <x v="2"/>
    <n v="7272"/>
    <n v="997"/>
    <n v="729561"/>
    <n v="13.428486445958599"/>
    <n v="6275"/>
    <n v="8.6010628309353167E-3"/>
    <n v="8.6876582642128018E-3"/>
    <e v="#N/A"/>
    <n v="26370"/>
  </r>
  <r>
    <x v="22"/>
    <x v="2"/>
    <n v="3279"/>
    <n v="200"/>
    <n v="772614"/>
    <n v="5.0212654702089274"/>
    <n v="3079"/>
    <n v="3.9851724146857288E-3"/>
    <n v="4.0021577076306157E-3"/>
    <e v="#N/A"/>
    <n v="53363"/>
  </r>
  <r>
    <x v="41"/>
    <x v="2"/>
    <n v="8451"/>
    <n v="783"/>
    <n v="789536"/>
    <n v="12.407287318121019"/>
    <n v="7668"/>
    <n v="9.7120333968305442E-3"/>
    <n v="9.8171133743446617E-3"/>
    <e v="#N/A"/>
    <n v="36201"/>
  </r>
  <r>
    <x v="41"/>
    <x v="2"/>
    <n v="1775"/>
    <n v="241"/>
    <n v="799671"/>
    <n v="8.1379717408784362"/>
    <n v="1534"/>
    <n v="1.918288896308607E-3"/>
    <n v="1.9225563231298314E-3"/>
    <e v="#N/A"/>
    <n v="39309"/>
  </r>
  <r>
    <x v="23"/>
    <x v="2"/>
    <n v="8088"/>
    <n v="742"/>
    <n v="817407"/>
    <n v="14.664542877660701"/>
    <n v="7346"/>
    <n v="8.9869550909155421E-3"/>
    <n v="9.0767670102888977E-3"/>
    <e v="#N/A"/>
    <n v="39312"/>
  </r>
  <r>
    <x v="48"/>
    <x v="2"/>
    <n v="9080"/>
    <n v="562"/>
    <n v="826926"/>
    <n v="7.1083748727213809"/>
    <n v="8518"/>
    <n v="1.0300800797169276E-2"/>
    <n v="1.0415163734981891E-2"/>
    <e v="#N/A"/>
    <n v="13384"/>
  </r>
  <r>
    <x v="48"/>
    <x v="2"/>
    <n v="8099"/>
    <n v="678"/>
    <n v="834347"/>
    <n v="7.6464588474579518"/>
    <n v="7421"/>
    <n v="8.8943808751035247E-3"/>
    <n v="8.981564857040502E-3"/>
    <e v="#N/A"/>
    <n v="53619"/>
  </r>
  <r>
    <x v="48"/>
    <x v="2"/>
    <n v="4926"/>
    <n v="710"/>
    <n v="838563"/>
    <n v="12.96217457722318"/>
    <n v="4216"/>
    <n v="5.0276484891415433E-3"/>
    <n v="5.057357099073098E-3"/>
    <e v="#N/A"/>
    <n v="52821"/>
  </r>
  <r>
    <x v="24"/>
    <x v="2"/>
    <n v="7230"/>
    <n v="869"/>
    <n v="859838"/>
    <n v="7.0117859410726204"/>
    <n v="6361"/>
    <n v="7.397905186791E-3"/>
    <n v="7.4606384176550064E-3"/>
    <e v="#N/A"/>
    <n v="56907"/>
  </r>
  <r>
    <x v="24"/>
    <x v="2"/>
    <n v="5940"/>
    <n v="512"/>
    <n v="865266"/>
    <n v="15.7972230504839"/>
    <n v="5428"/>
    <n v="6.2732154042803023E-3"/>
    <n v="6.3165783416305335E-3"/>
    <e v="#N/A"/>
    <n v="17531"/>
  </r>
  <r>
    <x v="49"/>
    <x v="2"/>
    <n v="8788"/>
    <n v="660"/>
    <n v="880842"/>
    <n v="3.7175793161543158"/>
    <n v="8128"/>
    <n v="9.2275345635199051E-3"/>
    <n v="9.3205237290351281E-3"/>
    <e v="#N/A"/>
    <n v="17710"/>
  </r>
  <r>
    <x v="49"/>
    <x v="2"/>
    <n v="8650"/>
    <n v="692"/>
    <n v="897442"/>
    <n v="7.6673478620345374"/>
    <n v="7958"/>
    <n v="8.8674254157928862E-3"/>
    <n v="8.9537259561292184E-3"/>
    <e v="#N/A"/>
    <n v="23975"/>
  </r>
  <r>
    <x v="42"/>
    <x v="2"/>
    <n v="1147"/>
    <n v="127"/>
    <n v="904407"/>
    <n v="1.3997016829812241"/>
    <n v="1020"/>
    <n v="1.1278108196862695E-3"/>
    <n v="1.1292429643734916E-3"/>
    <e v="#N/A"/>
    <n v="25261"/>
  </r>
  <r>
    <x v="25"/>
    <x v="2"/>
    <n v="1365"/>
    <n v="75"/>
    <n v="912374"/>
    <n v="9.2688963078737441"/>
    <n v="1290"/>
    <n v="1.4138938637006315E-3"/>
    <n v="1.416012355531065E-3"/>
    <e v="#N/A"/>
    <n v="19067"/>
  </r>
  <r>
    <x v="43"/>
    <x v="2"/>
    <n v="2246"/>
    <n v="165"/>
    <n v="975533"/>
    <n v="2.9062061457685191"/>
    <n v="2081"/>
    <n v="2.1331928289458173E-3"/>
    <n v="2.1381154787847778E-3"/>
    <e v="#N/A"/>
    <n v="27015"/>
  </r>
  <r>
    <x v="43"/>
    <x v="2"/>
    <n v="4839"/>
    <n v="594"/>
    <n v="979778"/>
    <n v="2.5803804535313102"/>
    <n v="4245"/>
    <n v="4.3326141227910814E-3"/>
    <n v="4.3541185653666534E-3"/>
    <e v="#N/A"/>
    <n v="42591"/>
  </r>
  <r>
    <x v="27"/>
    <x v="2"/>
    <n v="9551"/>
    <n v="828"/>
    <n v="988501"/>
    <n v="1.525036393488727"/>
    <n v="8723"/>
    <n v="8.8244726105487E-3"/>
    <n v="8.9105674447111701E-3"/>
    <e v="#N/A"/>
    <n v="38047"/>
  </r>
  <r>
    <x v="29"/>
    <x v="2"/>
    <n v="6978"/>
    <n v="706"/>
    <n v="1057293"/>
    <n v="5.057443868445171"/>
    <n v="6272"/>
    <n v="5.9321304501212058E-3"/>
    <n v="5.9715418707721015E-3"/>
    <e v="#N/A"/>
    <n v="28681"/>
  </r>
  <r>
    <x v="30"/>
    <x v="2"/>
    <n v="9714"/>
    <n v="1395"/>
    <n v="1085943"/>
    <n v="5.2243073531483697"/>
    <n v="8319"/>
    <n v="7.6606230713766746E-3"/>
    <n v="7.7297675494713489E-3"/>
    <e v="#N/A"/>
    <n v="40682"/>
  </r>
  <r>
    <x v="31"/>
    <x v="2"/>
    <n v="8128"/>
    <n v="1070"/>
    <n v="1131337"/>
    <n v="8.1114645768679008"/>
    <n v="7058"/>
    <n v="6.2386362330587612E-3"/>
    <n v="6.2837815580181425E-3"/>
    <e v="#N/A"/>
    <n v="21918"/>
  </r>
  <r>
    <x v="46"/>
    <x v="2"/>
    <n v="3160"/>
    <n v="234"/>
    <n v="1138871"/>
    <n v="5.6959041015180816"/>
    <n v="2926"/>
    <n v="2.5692110871204906E-3"/>
    <n v="2.5763596548769889E-3"/>
    <e v="#N/A"/>
    <n v="21929"/>
  </r>
  <r>
    <x v="46"/>
    <x v="2"/>
    <n v="8031"/>
    <n v="476"/>
    <n v="1146426"/>
    <n v="11.940413075069831"/>
    <n v="7555"/>
    <n v="6.5900459340594159E-3"/>
    <n v="6.6365365273037919E-3"/>
    <e v="#N/A"/>
    <n v="12539"/>
  </r>
  <r>
    <x v="46"/>
    <x v="2"/>
    <n v="6341"/>
    <n v="885"/>
    <n v="1151882"/>
    <n v="6.3457020771224837"/>
    <n v="5456"/>
    <n v="4.7365962832998515E-3"/>
    <n v="4.762815124033099E-3"/>
    <e v="#N/A"/>
    <n v="46727"/>
  </r>
  <r>
    <x v="33"/>
    <x v="2"/>
    <n v="8527"/>
    <n v="1091"/>
    <n v="1186398"/>
    <n v="1.676081719625286"/>
    <n v="7436"/>
    <n v="6.267711172810473E-3"/>
    <n v="6.3130852190095522E-3"/>
    <e v="#N/A"/>
    <n v="41703"/>
  </r>
  <r>
    <x v="0"/>
    <x v="3"/>
    <n v="9264"/>
    <n v="1141"/>
    <n v="119332"/>
    <n v="92.312204605638044"/>
    <n v="8123"/>
    <n v="6.8070592967519189E-2"/>
    <n v="7.3799832830613796E-2"/>
    <e v="#N/A"/>
    <n v="50372"/>
  </r>
  <r>
    <x v="0"/>
    <x v="3"/>
    <n v="8842"/>
    <n v="971"/>
    <n v="127203"/>
    <n v="16.351815601833291"/>
    <n v="7871"/>
    <n v="6.1877471443283573E-2"/>
    <n v="6.6499945083262221E-2"/>
    <e v="#N/A"/>
    <n v="33928"/>
  </r>
  <r>
    <x v="1"/>
    <x v="3"/>
    <n v="8002"/>
    <n v="524"/>
    <n v="141896"/>
    <n v="52.064892597395271"/>
    <n v="7478"/>
    <n v="5.270056943113266E-2"/>
    <n v="5.5850150118750656E-2"/>
    <e v="#N/A"/>
    <n v="46751"/>
  </r>
  <r>
    <x v="3"/>
    <x v="3"/>
    <n v="9286"/>
    <n v="633"/>
    <n v="198388"/>
    <n v="5.4343004617214756"/>
    <n v="8653"/>
    <n v="4.3616549388067825E-2"/>
    <n v="4.5758373787691299E-2"/>
    <e v="#N/A"/>
    <n v="48019"/>
  </r>
  <r>
    <x v="5"/>
    <x v="3"/>
    <n v="1963"/>
    <n v="137"/>
    <n v="255684"/>
    <n v="11.2083665774941"/>
    <n v="1826"/>
    <n v="7.1416279469970747E-3"/>
    <n v="7.1968816140563852E-3"/>
    <e v="#N/A"/>
    <n v="24537"/>
  </r>
  <r>
    <x v="35"/>
    <x v="3"/>
    <n v="9734"/>
    <n v="652"/>
    <n v="289283"/>
    <n v="49.647922622483861"/>
    <n v="9082"/>
    <n v="3.1394862470314533E-2"/>
    <n v="3.248804324107759E-2"/>
    <e v="#N/A"/>
    <n v="25379"/>
  </r>
  <r>
    <x v="36"/>
    <x v="3"/>
    <n v="4036"/>
    <n v="591"/>
    <n v="300265"/>
    <n v="44.219272975538267"/>
    <n v="3445"/>
    <n v="1.1473198674504187E-2"/>
    <n v="1.1629516353901879E-2"/>
    <e v="#N/A"/>
    <n v="12563"/>
  </r>
  <r>
    <x v="6"/>
    <x v="3"/>
    <n v="2884"/>
    <n v="341"/>
    <n v="315557"/>
    <n v="46.999749649033298"/>
    <n v="2543"/>
    <n v="8.058765928184131E-3"/>
    <n v="8.1330975172144698E-3"/>
    <e v="#N/A"/>
    <n v="26087"/>
  </r>
  <r>
    <x v="7"/>
    <x v="3"/>
    <n v="7430"/>
    <n v="397"/>
    <n v="340085"/>
    <n v="28.065042562888689"/>
    <n v="7033"/>
    <n v="2.0680124086625402E-2"/>
    <n v="2.1142024018878419E-2"/>
    <e v="#N/A"/>
    <n v="16643"/>
  </r>
  <r>
    <x v="8"/>
    <x v="3"/>
    <n v="5737"/>
    <n v="666"/>
    <n v="359081"/>
    <n v="4.6034181702735593"/>
    <n v="5071"/>
    <n v="1.4122161852061233E-2"/>
    <n v="1.4351453541025176E-2"/>
    <e v="#N/A"/>
    <n v="21005"/>
  </r>
  <r>
    <x v="8"/>
    <x v="3"/>
    <n v="4850"/>
    <n v="494"/>
    <n v="370352"/>
    <n v="20.46539508359615"/>
    <n v="4356"/>
    <n v="1.176178338445587E-2"/>
    <n v="1.1917855442651476E-2"/>
    <e v="#N/A"/>
    <n v="10161"/>
  </r>
  <r>
    <x v="9"/>
    <x v="3"/>
    <n v="6078"/>
    <n v="775"/>
    <n v="391152"/>
    <n v="37.760512537325639"/>
    <n v="5303"/>
    <n v="1.3557389454738823E-2"/>
    <n v="1.3771379007671253E-2"/>
    <e v="#N/A"/>
    <n v="38731"/>
  </r>
  <r>
    <x v="11"/>
    <x v="3"/>
    <n v="9800"/>
    <n v="682"/>
    <n v="429929"/>
    <n v="6.2966210699906267"/>
    <n v="9118"/>
    <n v="2.1208152974095722E-2"/>
    <n v="2.1702857931730494E-2"/>
    <e v="#N/A"/>
    <n v="59815"/>
  </r>
  <r>
    <x v="11"/>
    <x v="3"/>
    <n v="2638"/>
    <n v="143"/>
    <n v="432424"/>
    <n v="6.9547481175882924"/>
    <n v="2495"/>
    <n v="5.7698000111002165E-3"/>
    <n v="5.8052146882401944E-3"/>
    <e v="#N/A"/>
    <n v="52092"/>
  </r>
  <r>
    <x v="37"/>
    <x v="3"/>
    <n v="7928"/>
    <n v="704"/>
    <n v="445769"/>
    <n v="11.194362999670229"/>
    <n v="7224"/>
    <n v="1.6205702953772022E-2"/>
    <n v="1.6499140098802989E-2"/>
    <e v="#N/A"/>
    <n v="31817"/>
  </r>
  <r>
    <x v="37"/>
    <x v="3"/>
    <n v="2403"/>
    <n v="319"/>
    <n v="450052"/>
    <n v="29.92120910472568"/>
    <n v="2084"/>
    <n v="4.6305760223263092E-3"/>
    <n v="4.6554331630362178E-3"/>
    <e v="#N/A"/>
    <n v="23428"/>
  </r>
  <r>
    <x v="14"/>
    <x v="3"/>
    <n v="7140"/>
    <n v="939"/>
    <n v="499015"/>
    <n v="25.120888149654821"/>
    <n v="6201"/>
    <n v="1.2426480165926877E-2"/>
    <n v="1.2606861499364677E-2"/>
    <e v="#N/A"/>
    <n v="43598"/>
  </r>
  <r>
    <x v="14"/>
    <x v="3"/>
    <n v="4716"/>
    <n v="569"/>
    <n v="503162"/>
    <n v="25.64820077827817"/>
    <n v="4147"/>
    <n v="8.2418783612434963E-3"/>
    <n v="8.3198581190339575E-3"/>
    <e v="#N/A"/>
    <n v="11651"/>
  </r>
  <r>
    <x v="47"/>
    <x v="3"/>
    <n v="7548"/>
    <n v="433"/>
    <n v="522852"/>
    <n v="8.3562843787534522"/>
    <n v="7115"/>
    <n v="1.3608057347012157E-2"/>
    <n v="1.3807383602688898E-2"/>
    <e v="#N/A"/>
    <n v="37386"/>
  </r>
  <r>
    <x v="15"/>
    <x v="3"/>
    <n v="7793"/>
    <n v="875"/>
    <n v="545824"/>
    <n v="5.5136820660139527"/>
    <n v="6918"/>
    <n v="1.267441519610717E-2"/>
    <n v="1.2857995171281953E-2"/>
    <e v="#N/A"/>
    <n v="43787"/>
  </r>
  <r>
    <x v="38"/>
    <x v="3"/>
    <n v="7007"/>
    <n v="568"/>
    <n v="568671"/>
    <n v="11.50507059442103"/>
    <n v="6439"/>
    <n v="1.1322891443382905E-2"/>
    <n v="1.1464149384685506E-2"/>
    <e v="#N/A"/>
    <n v="22448"/>
  </r>
  <r>
    <x v="38"/>
    <x v="3"/>
    <n v="6542"/>
    <n v="539"/>
    <n v="574674"/>
    <n v="6.4069368024305948"/>
    <n v="6003"/>
    <n v="1.0445922383821088E-2"/>
    <n v="1.0566206444981095E-2"/>
    <e v="#N/A"/>
    <n v="55253"/>
  </r>
  <r>
    <x v="39"/>
    <x v="3"/>
    <n v="3385"/>
    <n v="329"/>
    <n v="599760"/>
    <n v="17.61788048552755"/>
    <n v="3056"/>
    <n v="5.0953714819261036E-3"/>
    <n v="5.1242926011318378E-3"/>
    <e v="#N/A"/>
    <n v="28394"/>
  </r>
  <r>
    <x v="40"/>
    <x v="3"/>
    <n v="5795"/>
    <n v="575"/>
    <n v="625922"/>
    <n v="3.0908004511744269"/>
    <n v="5220"/>
    <n v="8.3396972785746461E-3"/>
    <n v="8.4176305821226944E-3"/>
    <e v="#N/A"/>
    <n v="55657"/>
  </r>
  <r>
    <x v="17"/>
    <x v="3"/>
    <n v="5719"/>
    <n v="576"/>
    <n v="675785"/>
    <n v="10.21656296011305"/>
    <n v="5143"/>
    <n v="7.6104086358827145E-3"/>
    <n v="7.6753633224189858E-3"/>
    <e v="#N/A"/>
    <n v="38272"/>
  </r>
  <r>
    <x v="18"/>
    <x v="3"/>
    <n v="4493"/>
    <n v="564"/>
    <n v="694115"/>
    <n v="16.625487131094989"/>
    <n v="3929"/>
    <n v="5.660445315257558E-3"/>
    <n v="5.6973240412863859E-3"/>
    <e v="#N/A"/>
    <n v="45525"/>
  </r>
  <r>
    <x v="19"/>
    <x v="3"/>
    <n v="5200"/>
    <n v="410"/>
    <n v="709008"/>
    <n v="12.913394489201821"/>
    <n v="4790"/>
    <n v="6.7559181278631555E-3"/>
    <n v="6.8058334091115761E-3"/>
    <e v="#N/A"/>
    <n v="28994"/>
  </r>
  <r>
    <x v="21"/>
    <x v="3"/>
    <n v="8177"/>
    <n v="849"/>
    <n v="748744"/>
    <n v="10.34986590877523"/>
    <n v="7328"/>
    <n v="9.7870567243276748E-3"/>
    <n v="9.8951209006072367E-3"/>
    <e v="#N/A"/>
    <n v="52963"/>
  </r>
  <r>
    <x v="41"/>
    <x v="3"/>
    <n v="9906"/>
    <n v="1305"/>
    <n v="798137"/>
    <n v="9.1811305577864442"/>
    <n v="8601"/>
    <n v="1.0776345414383746E-2"/>
    <n v="1.091177586265955E-2"/>
    <e v="#N/A"/>
    <n v="29715"/>
  </r>
  <r>
    <x v="23"/>
    <x v="3"/>
    <n v="1078"/>
    <n v="77"/>
    <n v="818408"/>
    <n v="18.236747441373989"/>
    <n v="1001"/>
    <n v="1.2231063234963489E-3"/>
    <n v="1.2247195135379834E-3"/>
    <e v="#N/A"/>
    <n v="12839"/>
  </r>
  <r>
    <x v="48"/>
    <x v="3"/>
    <n v="8340"/>
    <n v="686"/>
    <n v="846217"/>
    <n v="7.201344336027284"/>
    <n v="7654"/>
    <n v="9.0449612806171465E-3"/>
    <n v="9.1349923676148168E-3"/>
    <e v="#N/A"/>
    <n v="23493"/>
  </r>
  <r>
    <x v="49"/>
    <x v="3"/>
    <n v="4456"/>
    <n v="651"/>
    <n v="872714"/>
    <n v="9.5052903929580594"/>
    <n v="3805"/>
    <n v="4.3599621410908961E-3"/>
    <n v="4.3823379686682993E-3"/>
    <e v="#N/A"/>
    <n v="17736"/>
  </r>
  <r>
    <x v="49"/>
    <x v="3"/>
    <n v="9599"/>
    <n v="957"/>
    <n v="889484"/>
    <n v="8.768004820772493"/>
    <n v="8642"/>
    <n v="9.7157453085159485E-3"/>
    <n v="9.8217380680429827E-3"/>
    <e v="#N/A"/>
    <n v="11619"/>
  </r>
  <r>
    <x v="26"/>
    <x v="3"/>
    <n v="9964"/>
    <n v="985"/>
    <n v="947047"/>
    <n v="1.9837452629066989"/>
    <n v="8979"/>
    <n v="9.4810500429228957E-3"/>
    <n v="9.5818620122230368E-3"/>
    <e v="#N/A"/>
    <n v="47766"/>
  </r>
  <r>
    <x v="26"/>
    <x v="3"/>
    <n v="7493"/>
    <n v="1113"/>
    <n v="953427"/>
    <n v="15.684892498324469"/>
    <n v="6380"/>
    <n v="6.6916502259743013E-3"/>
    <n v="6.7446566039491129E-3"/>
    <e v="#N/A"/>
    <n v="10162"/>
  </r>
  <r>
    <x v="43"/>
    <x v="3"/>
    <n v="7511"/>
    <n v="880"/>
    <n v="966020"/>
    <n v="4.6083932009689246"/>
    <n v="6631"/>
    <n v="6.8642471170369144E-3"/>
    <n v="6.9180362417045642E-3"/>
    <e v="#N/A"/>
    <n v="29675"/>
  </r>
  <r>
    <x v="27"/>
    <x v="3"/>
    <n v="4009"/>
    <n v="454"/>
    <n v="995050"/>
    <n v="2.1106477061454201"/>
    <n v="3555"/>
    <n v="3.5726847897090599E-3"/>
    <n v="3.5871371618328607E-3"/>
    <e v="#N/A"/>
    <n v="19833"/>
  </r>
  <r>
    <x v="44"/>
    <x v="3"/>
    <n v="4747"/>
    <n v="558"/>
    <n v="1041686"/>
    <n v="5.7680529449373434"/>
    <n v="4189"/>
    <n v="4.021365363458854E-3"/>
    <n v="4.0397747601353604E-3"/>
    <e v="#N/A"/>
    <n v="12643"/>
  </r>
  <r>
    <x v="29"/>
    <x v="3"/>
    <n v="1769"/>
    <n v="202"/>
    <n v="1064988"/>
    <n v="6.5457075572682513"/>
    <n v="1567"/>
    <n v="1.4713780812553757E-3"/>
    <n v="1.4738261825644576E-3"/>
    <e v="#N/A"/>
    <n v="25892"/>
  </r>
  <r>
    <x v="30"/>
    <x v="3"/>
    <n v="7303"/>
    <n v="869"/>
    <n v="1073082"/>
    <n v="8.1237966902808925"/>
    <n v="6434"/>
    <n v="5.9958139266151145E-3"/>
    <n v="6.0368988317465438E-3"/>
    <e v="#N/A"/>
    <n v="27073"/>
  </r>
  <r>
    <x v="32"/>
    <x v="3"/>
    <n v="5875"/>
    <n v="665"/>
    <n v="1157985"/>
    <n v="6.9871371390821126"/>
    <n v="5210"/>
    <n v="4.4991947218659999E-3"/>
    <n v="4.5221376431069946E-3"/>
    <e v="#N/A"/>
    <n v="32669"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  <r>
    <x v="50"/>
    <x v="4"/>
    <m/>
    <m/>
    <m/>
    <m/>
    <n v="0"/>
    <e v="#DIV/0!"/>
    <e v="#DIV/0!"/>
    <e v="#N/A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n v="4138"/>
    <n v="361"/>
    <n v="103777"/>
    <n v="56.637790647253247"/>
    <n v="0.5663779064725325"/>
    <n v="3777"/>
    <n v="3.6395347716738774E-2"/>
    <n v="3.7906843705777855E-2"/>
    <x v="0"/>
  </r>
  <r>
    <x v="1"/>
    <x v="0"/>
    <n v="7721"/>
    <n v="506"/>
    <n v="134418"/>
    <n v="35.577824398518047"/>
    <n v="0.35577824398518049"/>
    <n v="7215"/>
    <n v="5.3675846984778827E-2"/>
    <n v="5.6946889034468061E-2"/>
    <x v="1"/>
  </r>
  <r>
    <x v="2"/>
    <x v="0"/>
    <n v="8373"/>
    <n v="921"/>
    <n v="157717"/>
    <n v="12.2263294381709"/>
    <n v="0.12226329438170901"/>
    <n v="7452"/>
    <n v="4.7249186834646864E-2"/>
    <n v="4.9898221555603174E-2"/>
    <x v="2"/>
  </r>
  <r>
    <x v="2"/>
    <x v="0"/>
    <n v="6656"/>
    <n v="978"/>
    <n v="176196"/>
    <n v="60.425889350496043"/>
    <n v="0.60425889350496043"/>
    <n v="5678"/>
    <n v="3.2225476174260484E-2"/>
    <n v="3.3490621682198893E-2"/>
    <x v="3"/>
  </r>
  <r>
    <x v="3"/>
    <x v="0"/>
    <n v="5259"/>
    <n v="374"/>
    <n v="189735"/>
    <n v="14.827522597306769"/>
    <n v="0.14827522597306769"/>
    <n v="4885"/>
    <n v="2.5746435818378266E-2"/>
    <n v="2.6480409375745355E-2"/>
    <x v="4"/>
  </r>
  <r>
    <x v="4"/>
    <x v="0"/>
    <n v="3530"/>
    <n v="328"/>
    <n v="221925"/>
    <n v="12.8372197814577"/>
    <n v="0.12837219781457698"/>
    <n v="3202"/>
    <n v="1.4428297848372199E-2"/>
    <n v="1.4661507818402437E-2"/>
    <x v="5"/>
  </r>
  <r>
    <x v="4"/>
    <x v="0"/>
    <n v="2960"/>
    <n v="234"/>
    <n v="224651"/>
    <n v="17.41278694508371"/>
    <n v="0.17412786945083711"/>
    <n v="2726"/>
    <n v="1.213437732304775E-2"/>
    <n v="1.2296394531126659E-2"/>
    <x v="6"/>
  </r>
  <r>
    <x v="5"/>
    <x v="0"/>
    <n v="3964"/>
    <n v="378"/>
    <n v="246766"/>
    <n v="13.6355899921383"/>
    <n v="0.136355899921383"/>
    <n v="3586"/>
    <n v="1.453198576789347E-2"/>
    <n v="1.4769235838255039E-2"/>
    <x v="7"/>
  </r>
  <r>
    <x v="5"/>
    <x v="0"/>
    <n v="1536"/>
    <n v="155"/>
    <n v="257065"/>
    <n v="12.15762550327738"/>
    <n v="0.12157625503277381"/>
    <n v="1381"/>
    <n v="5.3721821329235798E-3"/>
    <n v="5.4044746388863885E-3"/>
    <x v="8"/>
  </r>
  <r>
    <x v="6"/>
    <x v="0"/>
    <n v="3494"/>
    <n v="281"/>
    <n v="309517"/>
    <n v="27.765518533715429"/>
    <n v="0.27765518533715428"/>
    <n v="3213"/>
    <n v="1.0380689913639638E-2"/>
    <n v="1.0499210843629401E-2"/>
    <x v="9"/>
  </r>
  <r>
    <x v="7"/>
    <x v="0"/>
    <n v="7610"/>
    <n v="757"/>
    <n v="333052"/>
    <n v="44.450416151231643"/>
    <n v="0.44450416151231642"/>
    <n v="6853"/>
    <n v="2.0576366453286574E-2"/>
    <n v="2.1057515624903978E-2"/>
    <x v="10"/>
  </r>
  <r>
    <x v="8"/>
    <x v="0"/>
    <n v="7488"/>
    <n v="568"/>
    <n v="354010"/>
    <n v="13.47730290104799"/>
    <n v="0.13477302901047991"/>
    <n v="6920"/>
    <n v="1.9547470410440384E-2"/>
    <n v="1.9969872042756305E-2"/>
    <x v="11"/>
  </r>
  <r>
    <x v="8"/>
    <x v="0"/>
    <n v="7525"/>
    <n v="610"/>
    <n v="365996"/>
    <n v="5.7694619613329108"/>
    <n v="5.7694619613329105E-2"/>
    <n v="6915"/>
    <n v="1.8893649110919244E-2"/>
    <n v="1.9290263368584908E-2"/>
    <x v="12"/>
  </r>
  <r>
    <x v="9"/>
    <x v="0"/>
    <n v="9648"/>
    <n v="1417"/>
    <n v="385849"/>
    <n v="3.6633501706626168"/>
    <n v="3.6633501706626166E-2"/>
    <n v="8231"/>
    <n v="2.1332179168534842E-2"/>
    <n v="2.1879261352309005E-2"/>
    <x v="13"/>
  </r>
  <r>
    <x v="10"/>
    <x v="0"/>
    <n v="6448"/>
    <n v="928"/>
    <n v="396672"/>
    <n v="30.118586640851881"/>
    <n v="0.3011858664085188"/>
    <n v="5520"/>
    <n v="1.3915779283639884E-2"/>
    <n v="1.4145721431793021E-2"/>
    <x v="14"/>
  </r>
  <r>
    <x v="10"/>
    <x v="0"/>
    <n v="2179"/>
    <n v="303"/>
    <n v="398548"/>
    <n v="33.909842729106657"/>
    <n v="0.3390984272910666"/>
    <n v="1876"/>
    <n v="4.7070867248110645E-3"/>
    <n v="4.7329634759529634E-3"/>
    <x v="15"/>
  </r>
  <r>
    <x v="11"/>
    <x v="0"/>
    <n v="7907"/>
    <n v="465"/>
    <n v="420811"/>
    <n v="33.257448118038738"/>
    <n v="0.3325744811803874"/>
    <n v="7442"/>
    <n v="1.76848989213685E-2"/>
    <n v="1.8023559955825084E-2"/>
    <x v="16"/>
  </r>
  <r>
    <x v="12"/>
    <x v="0"/>
    <n v="1419"/>
    <n v="110"/>
    <n v="455286"/>
    <n v="31.554451487636339"/>
    <n v="0.31554451487636337"/>
    <n v="1309"/>
    <n v="2.8751158612388694E-3"/>
    <n v="2.88410481484664E-3"/>
    <x v="17"/>
  </r>
  <r>
    <x v="12"/>
    <x v="0"/>
    <n v="4302"/>
    <n v="275"/>
    <n v="464255"/>
    <n v="15.72131694865968"/>
    <n v="0.1572131694865968"/>
    <n v="4027"/>
    <n v="8.6741122874282456E-3"/>
    <n v="8.7552423834609192E-3"/>
    <x v="18"/>
  </r>
  <r>
    <x v="12"/>
    <x v="0"/>
    <n v="8857"/>
    <n v="1153"/>
    <n v="471959"/>
    <n v="19.214592793018038"/>
    <n v="0.19214592793018037"/>
    <n v="7704"/>
    <n v="1.6323451825264481E-2"/>
    <n v="1.6635643983398906E-2"/>
    <x v="19"/>
  </r>
  <r>
    <x v="13"/>
    <x v="0"/>
    <n v="8870"/>
    <n v="509"/>
    <n v="480320"/>
    <n v="25.077864756828781"/>
    <n v="0.25077864756828783"/>
    <n v="8361"/>
    <n v="1.7407145236508995E-2"/>
    <n v="1.7734648425071588E-2"/>
    <x v="20"/>
  </r>
  <r>
    <x v="13"/>
    <x v="0"/>
    <n v="1767"/>
    <n v="224"/>
    <n v="487561"/>
    <n v="13.208603641390511"/>
    <n v="0.13208603641390509"/>
    <n v="1543"/>
    <n v="3.1647322078673231E-3"/>
    <n v="3.1762434282844166E-3"/>
    <x v="21"/>
  </r>
  <r>
    <x v="14"/>
    <x v="0"/>
    <n v="5481"/>
    <n v="673"/>
    <n v="507970"/>
    <n v="13.08758391243577"/>
    <n v="0.13087583912435771"/>
    <n v="4808"/>
    <n v="9.4651258932614123E-3"/>
    <n v="9.5683686608065057E-3"/>
    <x v="22"/>
  </r>
  <r>
    <x v="15"/>
    <x v="0"/>
    <n v="8758"/>
    <n v="1193"/>
    <n v="538906"/>
    <n v="3.4213758985797149"/>
    <n v="3.4213758985797149E-2"/>
    <n v="7565"/>
    <n v="1.4037698596786824E-2"/>
    <n v="1.426960018711756E-2"/>
    <x v="23"/>
  </r>
  <r>
    <x v="15"/>
    <x v="0"/>
    <n v="8638"/>
    <n v="717"/>
    <n v="553745"/>
    <n v="26.921416897669499"/>
    <n v="0.26921416897669498"/>
    <n v="7921"/>
    <n v="1.4304418098583283E-2"/>
    <n v="1.4531092060824756E-2"/>
    <x v="24"/>
  </r>
  <r>
    <x v="15"/>
    <x v="0"/>
    <n v="8993"/>
    <n v="506"/>
    <n v="562232"/>
    <n v="3.5131404829323132"/>
    <n v="3.5131404829323129E-2"/>
    <n v="8487"/>
    <n v="1.509519202037593E-2"/>
    <n v="1.5340567096679735E-2"/>
    <x v="25"/>
  </r>
  <r>
    <x v="16"/>
    <x v="0"/>
    <n v="5798"/>
    <n v="592"/>
    <n v="631128"/>
    <n v="1.6774727155188811"/>
    <n v="1.6774727155188809E-2"/>
    <n v="5206"/>
    <n v="8.2487229214992831E-3"/>
    <n v="8.3252042921337539E-3"/>
    <x v="26"/>
  </r>
  <r>
    <x v="17"/>
    <x v="0"/>
    <n v="8961"/>
    <n v="476"/>
    <n v="655645"/>
    <n v="15.458517947974901"/>
    <n v="0.15458517947974901"/>
    <n v="8485"/>
    <n v="1.2941454598143812E-2"/>
    <n v="1.3120782329545807E-2"/>
    <x v="27"/>
  </r>
  <r>
    <x v="17"/>
    <x v="0"/>
    <n v="6827"/>
    <n v="775"/>
    <n v="661697"/>
    <n v="15.96622018839439"/>
    <n v="0.15966220188394389"/>
    <n v="6052"/>
    <n v="9.1461802003031598E-3"/>
    <n v="9.2415288530548045E-3"/>
    <x v="28"/>
  </r>
  <r>
    <x v="18"/>
    <x v="0"/>
    <n v="1593"/>
    <n v="224"/>
    <n v="677154"/>
    <n v="4.1495730660972248"/>
    <n v="4.1495730660972251E-2"/>
    <n v="1369"/>
    <n v="2.0216966893793729E-3"/>
    <n v="2.0264639314584473E-3"/>
    <x v="29"/>
  </r>
  <r>
    <x v="18"/>
    <x v="0"/>
    <n v="8394"/>
    <n v="764"/>
    <n v="690186"/>
    <n v="6.3556780346167558"/>
    <n v="6.355678034616756E-2"/>
    <n v="7630"/>
    <n v="1.1054990973447738E-2"/>
    <n v="1.119109640476861E-2"/>
    <x v="30"/>
  </r>
  <r>
    <x v="19"/>
    <x v="0"/>
    <n v="3672"/>
    <n v="211"/>
    <n v="704218"/>
    <n v="12.35057894004413"/>
    <n v="0.1235057894004413"/>
    <n v="3461"/>
    <n v="4.9146713091684675E-3"/>
    <n v="4.9404321771875084E-3"/>
    <x v="31"/>
  </r>
  <r>
    <x v="20"/>
    <x v="0"/>
    <n v="4191"/>
    <n v="599"/>
    <n v="713549"/>
    <n v="11.56416728213479"/>
    <n v="0.11564167282134789"/>
    <n v="3592"/>
    <n v="5.033992059410076E-3"/>
    <n v="5.0637336859526505E-3"/>
    <x v="32"/>
  </r>
  <r>
    <x v="20"/>
    <x v="0"/>
    <n v="1392"/>
    <n v="182"/>
    <n v="714759"/>
    <n v="5.9603306848881932"/>
    <n v="5.9603306848881932E-2"/>
    <n v="1210"/>
    <n v="1.6928782988391892E-3"/>
    <n v="1.6961816288109768E-3"/>
    <x v="33"/>
  </r>
  <r>
    <x v="21"/>
    <x v="0"/>
    <n v="4631"/>
    <n v="317"/>
    <n v="735242"/>
    <n v="1.381177897889402"/>
    <n v="1.381177897889402E-2"/>
    <n v="4314"/>
    <n v="5.8674558852731479E-3"/>
    <n v="5.904646932498963E-3"/>
    <x v="34"/>
  </r>
  <r>
    <x v="22"/>
    <x v="0"/>
    <n v="4897"/>
    <n v="683"/>
    <n v="761158"/>
    <n v="15.06231294947961"/>
    <n v="0.15062312949479609"/>
    <n v="4214"/>
    <n v="5.5363012672795921E-3"/>
    <n v="5.5721503554989615E-3"/>
    <x v="35"/>
  </r>
  <r>
    <x v="23"/>
    <x v="0"/>
    <n v="3247"/>
    <n v="328"/>
    <n v="810061"/>
    <n v="13.941172331466399"/>
    <n v="0.139411723314664"/>
    <n v="2919"/>
    <n v="3.6034323341081723E-3"/>
    <n v="3.6179342450676365E-3"/>
    <x v="36"/>
  </r>
  <r>
    <x v="24"/>
    <x v="0"/>
    <n v="4271"/>
    <n v="628"/>
    <n v="868909"/>
    <n v="11.124410036033691"/>
    <n v="0.11124410036033691"/>
    <n v="3643"/>
    <n v="4.1926139561219876E-3"/>
    <n v="4.2133239575406125E-3"/>
    <x v="37"/>
  </r>
  <r>
    <x v="25"/>
    <x v="0"/>
    <n v="6330"/>
    <n v="891"/>
    <n v="922914"/>
    <n v="14.789893749580139"/>
    <n v="0.14789893749580141"/>
    <n v="5439"/>
    <n v="5.8932901657142486E-3"/>
    <n v="5.9339896834332698E-3"/>
    <x v="38"/>
  </r>
  <r>
    <x v="25"/>
    <x v="0"/>
    <n v="6510"/>
    <n v="481"/>
    <n v="928943"/>
    <n v="2.3800168578696428"/>
    <n v="2.3800168578696428E-2"/>
    <n v="6029"/>
    <n v="6.4901721634158397E-3"/>
    <n v="6.5359760546294422E-3"/>
    <x v="39"/>
  </r>
  <r>
    <x v="26"/>
    <x v="0"/>
    <n v="9754"/>
    <n v="629"/>
    <n v="938068"/>
    <n v="3.4123325814333292"/>
    <n v="3.4123325814333291E-2"/>
    <n v="9125"/>
    <n v="9.7274398018054129E-3"/>
    <n v="9.8296481578431429E-3"/>
    <x v="40"/>
  </r>
  <r>
    <x v="26"/>
    <x v="0"/>
    <n v="6439"/>
    <n v="477"/>
    <n v="959389"/>
    <n v="7.4744446725989153"/>
    <n v="7.474444672598915E-2"/>
    <n v="5962"/>
    <n v="6.2143718554204808E-3"/>
    <n v="6.2563618238102737E-3"/>
    <x v="41"/>
  </r>
  <r>
    <x v="27"/>
    <x v="0"/>
    <n v="3376"/>
    <n v="382"/>
    <n v="991495"/>
    <n v="3.8694093263203548"/>
    <n v="3.8694093263203548E-2"/>
    <n v="2994"/>
    <n v="3.0196823988018094E-3"/>
    <n v="3.0299994231464023E-3"/>
    <x v="42"/>
  </r>
  <r>
    <x v="28"/>
    <x v="0"/>
    <n v="9569"/>
    <n v="1277"/>
    <n v="1013386"/>
    <n v="12.45517502708741"/>
    <n v="0.1245517502708741"/>
    <n v="8292"/>
    <n v="8.1824694637581338E-3"/>
    <n v="8.2604697868236942E-3"/>
    <x v="43"/>
  </r>
  <r>
    <x v="29"/>
    <x v="0"/>
    <n v="6607"/>
    <n v="479"/>
    <n v="1063421"/>
    <n v="5.5892257158735816"/>
    <n v="5.5892257158735817E-2"/>
    <n v="6128"/>
    <n v="5.7625343114345116E-3"/>
    <n v="5.7985605792504639E-3"/>
    <x v="44"/>
  </r>
  <r>
    <x v="30"/>
    <x v="0"/>
    <n v="1521"/>
    <n v="96"/>
    <n v="1087368"/>
    <n v="12.709772588488899"/>
    <n v="0.12709772588488899"/>
    <n v="1425"/>
    <n v="1.3105038956452645E-3"/>
    <n v="1.3123395837535121E-3"/>
    <x v="45"/>
  </r>
  <r>
    <x v="31"/>
    <x v="0"/>
    <n v="5941"/>
    <n v="450"/>
    <n v="1117854"/>
    <n v="12.414411899944"/>
    <n v="0.12414411899944"/>
    <n v="5491"/>
    <n v="4.9120904876665469E-3"/>
    <n v="4.9383360029067024E-3"/>
    <x v="46"/>
  </r>
  <r>
    <x v="31"/>
    <x v="0"/>
    <n v="7267"/>
    <n v="842"/>
    <n v="1124279"/>
    <n v="2.2102165031989389"/>
    <n v="2.210216503198939E-2"/>
    <n v="6425"/>
    <n v="5.7147736460433753E-3"/>
    <n v="5.7519525305010149E-3"/>
    <x v="47"/>
  </r>
  <r>
    <x v="31"/>
    <x v="0"/>
    <n v="3461"/>
    <n v="365"/>
    <n v="1134433"/>
    <n v="10.23489267325616"/>
    <n v="0.1023489267325616"/>
    <n v="3096"/>
    <n v="2.7291166600407427E-3"/>
    <n v="2.7374683016025154E-3"/>
    <x v="48"/>
  </r>
  <r>
    <x v="32"/>
    <x v="0"/>
    <n v="8697"/>
    <n v="738"/>
    <n v="1168011"/>
    <n v="3.8777032065622672"/>
    <n v="3.877703206562267E-2"/>
    <n v="7959"/>
    <n v="6.8141481544266276E-3"/>
    <n v="6.8652668733406134E-3"/>
    <x v="49"/>
  </r>
  <r>
    <x v="33"/>
    <x v="0"/>
    <n v="3196"/>
    <n v="391"/>
    <n v="1170816"/>
    <n v="7.2439221876024931"/>
    <n v="7.2439221876024931E-2"/>
    <n v="2805"/>
    <n v="2.3957650049196456E-3"/>
    <n v="2.402322673472534E-3"/>
    <x v="50"/>
  </r>
  <r>
    <x v="2"/>
    <x v="1"/>
    <n v="7097"/>
    <n v="369"/>
    <n v="170518"/>
    <n v="9.2506362964613711"/>
    <n v="9.2506362964613717E-2"/>
    <n v="6728"/>
    <n v="3.9456245088495059E-2"/>
    <n v="4.1169739507162482E-2"/>
    <x v="51"/>
  </r>
  <r>
    <x v="4"/>
    <x v="1"/>
    <n v="5917"/>
    <n v="475"/>
    <n v="210260"/>
    <n v="17.894035955483691"/>
    <n v="0.17894035955483692"/>
    <n v="5442"/>
    <n v="2.5882241034909159E-2"/>
    <n v="2.6631692791042511E-2"/>
    <x v="52"/>
  </r>
  <r>
    <x v="34"/>
    <x v="1"/>
    <n v="2048"/>
    <n v="130"/>
    <n v="233720"/>
    <n v="39.284614068115687"/>
    <n v="0.39284614068115686"/>
    <n v="1918"/>
    <n v="8.2064008214958063E-3"/>
    <n v="8.2789460962049803E-3"/>
    <x v="53"/>
  </r>
  <r>
    <x v="34"/>
    <x v="1"/>
    <n v="6772"/>
    <n v="536"/>
    <n v="239956"/>
    <n v="9.8205504342462788"/>
    <n v="9.8205504342462793E-2"/>
    <n v="6236"/>
    <n v="2.5988097817933289E-2"/>
    <n v="2.6742829696720188E-2"/>
    <x v="54"/>
  </r>
  <r>
    <x v="34"/>
    <x v="1"/>
    <n v="3529"/>
    <n v="305"/>
    <n v="243180"/>
    <n v="41.606628834608109"/>
    <n v="0.41606628834608111"/>
    <n v="3224"/>
    <n v="1.3257669216218439E-2"/>
    <n v="1.3452896086392295E-2"/>
    <x v="55"/>
  </r>
  <r>
    <x v="35"/>
    <x v="1"/>
    <n v="8340"/>
    <n v="911"/>
    <n v="264494"/>
    <n v="37.302925586213682"/>
    <n v="0.37302925586213681"/>
    <n v="7429"/>
    <n v="2.8087593669421613E-2"/>
    <n v="2.9002084683432624E-2"/>
    <x v="56"/>
  </r>
  <r>
    <x v="35"/>
    <x v="1"/>
    <n v="8967"/>
    <n v="993"/>
    <n v="280201"/>
    <n v="52.792102811910027"/>
    <n v="0.52792102811910024"/>
    <n v="7974"/>
    <n v="2.8458142547671136E-2"/>
    <n v="2.9398969155784303E-2"/>
    <x v="57"/>
  </r>
  <r>
    <x v="36"/>
    <x v="1"/>
    <n v="1845"/>
    <n v="104"/>
    <n v="291024"/>
    <n v="28.158158777282971"/>
    <n v="0.28158158777282971"/>
    <n v="1741"/>
    <n v="5.9823244818296775E-3"/>
    <n v="6.0204924977263216E-3"/>
    <x v="58"/>
  </r>
  <r>
    <x v="36"/>
    <x v="1"/>
    <n v="6777"/>
    <n v="981"/>
    <n v="296820"/>
    <n v="23.920557913887201"/>
    <n v="0.239205579138872"/>
    <n v="5796"/>
    <n v="1.952698605215282E-2"/>
    <n v="1.9983243863840879E-2"/>
    <x v="59"/>
  </r>
  <r>
    <x v="6"/>
    <x v="1"/>
    <n v="5349"/>
    <n v="502"/>
    <n v="320404"/>
    <n v="5.2152906954969351"/>
    <n v="5.2152906954969352E-2"/>
    <n v="4847"/>
    <n v="1.5127776182569505E-2"/>
    <n v="1.5384615384615385E-2"/>
    <x v="60"/>
  </r>
  <r>
    <x v="9"/>
    <x v="1"/>
    <n v="1689"/>
    <n v="176"/>
    <n v="371865"/>
    <n v="38.012181840183942"/>
    <n v="0.3801218184018394"/>
    <n v="1513"/>
    <n v="4.068680838476329E-3"/>
    <n v="4.0872449861687416E-3"/>
    <x v="61"/>
  </r>
  <r>
    <x v="10"/>
    <x v="1"/>
    <n v="9591"/>
    <n v="1363"/>
    <n v="413369"/>
    <n v="10.494255737609739"/>
    <n v="0.1049425573760974"/>
    <n v="8228"/>
    <n v="1.9904734026983156E-2"/>
    <n v="2.0377534189579421E-2"/>
    <x v="62"/>
  </r>
  <r>
    <x v="11"/>
    <x v="1"/>
    <n v="6671"/>
    <n v="550"/>
    <n v="438545"/>
    <n v="17.750287883797562"/>
    <n v="0.17750287883797561"/>
    <n v="6121"/>
    <n v="1.3957518612685129E-2"/>
    <n v="1.4173115306779293E-2"/>
    <x v="63"/>
  </r>
  <r>
    <x v="37"/>
    <x v="1"/>
    <n v="2382"/>
    <n v="183"/>
    <n v="447968"/>
    <n v="4.7335970426459033"/>
    <n v="4.7335970426459033E-2"/>
    <n v="2199"/>
    <n v="4.9088327737695546E-3"/>
    <n v="4.9350742617586731E-3"/>
    <x v="64"/>
  </r>
  <r>
    <x v="14"/>
    <x v="1"/>
    <n v="2549"/>
    <n v="128"/>
    <n v="492814"/>
    <n v="12.734216154573531"/>
    <n v="0.1273421615457353"/>
    <n v="2421"/>
    <n v="4.9126039438814641E-3"/>
    <n v="4.9381456967150421E-3"/>
    <x v="65"/>
  </r>
  <r>
    <x v="38"/>
    <x v="1"/>
    <n v="7356"/>
    <n v="904"/>
    <n v="581126"/>
    <n v="17.560907617280929"/>
    <n v="0.1756090761728093"/>
    <n v="6452"/>
    <n v="1.1102583604932494E-2"/>
    <n v="1.1244923924220506E-2"/>
    <x v="66"/>
  </r>
  <r>
    <x v="38"/>
    <x v="1"/>
    <n v="9433"/>
    <n v="1073"/>
    <n v="589486"/>
    <n v="7.2934726185185053"/>
    <n v="7.2934726185185053E-2"/>
    <n v="8360"/>
    <n v="1.4181846557848703E-2"/>
    <n v="1.4412476101321776E-2"/>
    <x v="67"/>
  </r>
  <r>
    <x v="39"/>
    <x v="1"/>
    <n v="5268"/>
    <n v="326"/>
    <n v="604702"/>
    <n v="23.435841125050029"/>
    <n v="0.23435841125050028"/>
    <n v="4942"/>
    <n v="8.1726205635172366E-3"/>
    <n v="8.2444439254363289E-3"/>
    <x v="68"/>
  </r>
  <r>
    <x v="40"/>
    <x v="1"/>
    <n v="5592"/>
    <n v="710"/>
    <n v="620702"/>
    <n v="9.07118069540617"/>
    <n v="9.0711806954061697E-2"/>
    <n v="4882"/>
    <n v="7.8652880126050834E-3"/>
    <n v="7.9367917933377777E-3"/>
    <x v="69"/>
  </r>
  <r>
    <x v="16"/>
    <x v="1"/>
    <n v="3355"/>
    <n v="176"/>
    <n v="640691"/>
    <n v="12.426427091999111"/>
    <n v="0.12426427091999111"/>
    <n v="3179"/>
    <n v="4.9618302738761748E-3"/>
    <n v="4.9879498412140535E-3"/>
    <x v="70"/>
  </r>
  <r>
    <x v="16"/>
    <x v="1"/>
    <n v="6887"/>
    <n v="418"/>
    <n v="647160"/>
    <n v="20.240280610668151"/>
    <n v="0.20240280610668152"/>
    <n v="6469"/>
    <n v="9.9959824463811114E-3"/>
    <n v="1.010350272461903E-2"/>
    <x v="71"/>
  </r>
  <r>
    <x v="17"/>
    <x v="1"/>
    <n v="9737"/>
    <n v="792"/>
    <n v="670642"/>
    <n v="5.301785453341723"/>
    <n v="5.301785453341723E-2"/>
    <n v="8945"/>
    <n v="1.3337965710468476E-2"/>
    <n v="1.353447167142025E-2"/>
    <x v="72"/>
  </r>
  <r>
    <x v="18"/>
    <x v="1"/>
    <n v="5839"/>
    <n v="437"/>
    <n v="682556"/>
    <n v="17.44750613869045"/>
    <n v="0.1744750613869045"/>
    <n v="5402"/>
    <n v="7.9143689309009082E-3"/>
    <n v="7.9826574476479836E-3"/>
    <x v="73"/>
  </r>
  <r>
    <x v="19"/>
    <x v="1"/>
    <n v="1016"/>
    <n v="67"/>
    <n v="709957"/>
    <n v="20.774215903216671"/>
    <n v="0.20774215903216672"/>
    <n v="949"/>
    <n v="1.3367006734210664E-3"/>
    <n v="1.3386163305550108E-3"/>
    <x v="74"/>
  </r>
  <r>
    <x v="20"/>
    <x v="1"/>
    <n v="9616"/>
    <n v="1089"/>
    <n v="723286"/>
    <n v="19.25863351426683"/>
    <n v="0.19258633514266829"/>
    <n v="8527"/>
    <n v="1.178925072516266E-2"/>
    <n v="1.1948099261563467E-2"/>
    <x v="75"/>
  </r>
  <r>
    <x v="21"/>
    <x v="1"/>
    <n v="1571"/>
    <n v="204"/>
    <n v="730928"/>
    <n v="19.449384891535139"/>
    <n v="0.1944938489153514"/>
    <n v="1367"/>
    <n v="1.8702252479040344E-3"/>
    <n v="1.8742536233970471E-3"/>
    <x v="76"/>
  </r>
  <r>
    <x v="21"/>
    <x v="1"/>
    <n v="7172"/>
    <n v="998"/>
    <n v="741416"/>
    <n v="18.0667803230575"/>
    <n v="0.18066780323057499"/>
    <n v="6174"/>
    <n v="8.32730882527488E-3"/>
    <n v="8.4086488960073216E-3"/>
    <x v="77"/>
  </r>
  <r>
    <x v="22"/>
    <x v="1"/>
    <n v="9433"/>
    <n v="1233"/>
    <n v="756944"/>
    <n v="11.391727789638329"/>
    <n v="0.1139172778963833"/>
    <n v="8200"/>
    <n v="1.0833033883616226E-2"/>
    <n v="1.0969738237965728E-2"/>
    <x v="78"/>
  </r>
  <r>
    <x v="22"/>
    <x v="1"/>
    <n v="9123"/>
    <n v="746"/>
    <n v="769535"/>
    <n v="6.3086149427901264"/>
    <n v="6.3086149427901264E-2"/>
    <n v="8377"/>
    <n v="1.0885794668208723E-2"/>
    <n v="1.1016396374596929E-2"/>
    <x v="79"/>
  </r>
  <r>
    <x v="41"/>
    <x v="1"/>
    <n v="9980"/>
    <n v="726"/>
    <n v="781868"/>
    <n v="4.0220344099003924"/>
    <n v="4.0220344099003921E-2"/>
    <n v="9254"/>
    <n v="1.1835757442432739E-2"/>
    <n v="1.198878593785627E-2"/>
    <x v="80"/>
  </r>
  <r>
    <x v="23"/>
    <x v="1"/>
    <n v="7869"/>
    <n v="398"/>
    <n v="807142"/>
    <n v="15.211945357818079"/>
    <n v="0.1521194535781808"/>
    <n v="7471"/>
    <n v="9.2561160241940079E-3"/>
    <n v="9.3472443082651367E-3"/>
    <x v="81"/>
  </r>
  <r>
    <x v="24"/>
    <x v="1"/>
    <n v="8083"/>
    <n v="823"/>
    <n v="853477"/>
    <n v="4.6300017457998282"/>
    <n v="4.6300017457998284E-2"/>
    <n v="7260"/>
    <n v="8.5063803711172073E-3"/>
    <n v="8.5877117651651184E-3"/>
    <x v="82"/>
  </r>
  <r>
    <x v="42"/>
    <x v="1"/>
    <n v="3711"/>
    <n v="291"/>
    <n v="900862"/>
    <n v="14.24879726306582"/>
    <n v="0.14248797263065818"/>
    <n v="3420"/>
    <n v="3.7963639269943676E-3"/>
    <n v="3.8120673108540258E-3"/>
    <x v="83"/>
  </r>
  <r>
    <x v="42"/>
    <x v="1"/>
    <n v="2668"/>
    <n v="143"/>
    <n v="903387"/>
    <n v="15.903372530266649"/>
    <n v="0.15903372530266649"/>
    <n v="2525"/>
    <n v="2.795036900021807E-3"/>
    <n v="2.8033160175371008E-3"/>
    <x v="84"/>
  </r>
  <r>
    <x v="42"/>
    <x v="1"/>
    <n v="7420"/>
    <n v="743"/>
    <n v="911084"/>
    <n v="10.593534734448189"/>
    <n v="0.1059353473444819"/>
    <n v="6677"/>
    <n v="7.3286327056561193E-3"/>
    <n v="7.3888082296074643E-3"/>
    <x v="85"/>
  </r>
  <r>
    <x v="25"/>
    <x v="1"/>
    <n v="5531"/>
    <n v="430"/>
    <n v="917475"/>
    <n v="2.7289026948963189"/>
    <n v="2.728902694896319E-2"/>
    <n v="5101"/>
    <n v="5.5598245183792472E-3"/>
    <n v="5.5935452176888055E-3"/>
    <x v="86"/>
  </r>
  <r>
    <x v="43"/>
    <x v="1"/>
    <n v="8504"/>
    <n v="1072"/>
    <n v="973452"/>
    <n v="6.5651927367759271"/>
    <n v="6.5651927367759266E-2"/>
    <n v="7432"/>
    <n v="7.6346856342171983E-3"/>
    <n v="7.7019694325497334E-3"/>
    <x v="87"/>
  </r>
  <r>
    <x v="27"/>
    <x v="1"/>
    <n v="2827"/>
    <n v="292"/>
    <n v="997585"/>
    <n v="2.4004972007397871"/>
    <n v="2.400497200739787E-2"/>
    <n v="2535"/>
    <n v="2.5411368454818384E-3"/>
    <n v="2.5483584952320061E-3"/>
    <x v="88"/>
  </r>
  <r>
    <x v="28"/>
    <x v="1"/>
    <n v="7979"/>
    <n v="470"/>
    <n v="1005094"/>
    <n v="10.43086517280971"/>
    <n v="0.1043086517280971"/>
    <n v="7509"/>
    <n v="7.4709430162750948E-3"/>
    <n v="7.5307261449281179E-3"/>
    <x v="89"/>
  </r>
  <r>
    <x v="28"/>
    <x v="1"/>
    <n v="5285"/>
    <n v="433"/>
    <n v="1018238"/>
    <n v="8.7022876773406619"/>
    <n v="8.7022876773406616E-2"/>
    <n v="4852"/>
    <n v="4.7650942117658151E-3"/>
    <n v="4.7899557037690789E-3"/>
    <x v="90"/>
  </r>
  <r>
    <x v="28"/>
    <x v="1"/>
    <n v="7910"/>
    <n v="543"/>
    <n v="1025605"/>
    <n v="6.0590578244060822"/>
    <n v="6.0590578244060819E-2"/>
    <n v="7367"/>
    <n v="7.183077305590359E-3"/>
    <n v="7.2389075312348002E-3"/>
    <x v="91"/>
  </r>
  <r>
    <x v="44"/>
    <x v="1"/>
    <n v="9561"/>
    <n v="517"/>
    <n v="1034649"/>
    <n v="6.4086467971263694"/>
    <n v="6.4086467971263689E-2"/>
    <n v="9044"/>
    <n v="8.741128633961856E-3"/>
    <n v="8.8226571767497028E-3"/>
    <x v="92"/>
  </r>
  <r>
    <x v="44"/>
    <x v="1"/>
    <n v="3196"/>
    <n v="348"/>
    <n v="1037497"/>
    <n v="14.03040201562029"/>
    <n v="0.14030402015620289"/>
    <n v="2848"/>
    <n v="2.7450681785103955E-3"/>
    <n v="2.7535504654834521E-3"/>
    <x v="93"/>
  </r>
  <r>
    <x v="44"/>
    <x v="1"/>
    <n v="9843"/>
    <n v="508"/>
    <n v="1051021"/>
    <n v="4.2080986012648651"/>
    <n v="4.2080986012648654E-2"/>
    <n v="9335"/>
    <n v="8.8818396587699005E-3"/>
    <n v="8.9658060389289831E-3"/>
    <x v="94"/>
  </r>
  <r>
    <x v="29"/>
    <x v="1"/>
    <n v="1780"/>
    <n v="120"/>
    <n v="1066648"/>
    <n v="13.86474263299608"/>
    <n v="0.1386474263299608"/>
    <n v="1660"/>
    <n v="1.55627723485161E-3"/>
    <n v="1.5588786591389731E-3"/>
    <x v="95"/>
  </r>
  <r>
    <x v="30"/>
    <x v="1"/>
    <n v="4983"/>
    <n v="441"/>
    <n v="1077624"/>
    <n v="6.8954477628560609"/>
    <n v="6.8954477628560606E-2"/>
    <n v="4542"/>
    <n v="4.2148281775461569E-3"/>
    <n v="4.2344083435184744E-3"/>
    <x v="96"/>
  </r>
  <r>
    <x v="45"/>
    <x v="1"/>
    <n v="8569"/>
    <n v="720"/>
    <n v="1095217"/>
    <n v="9.589697749395782"/>
    <n v="9.5896977493957813E-2"/>
    <n v="7849"/>
    <n v="7.1666162961312686E-3"/>
    <n v="7.2231302132797371E-3"/>
    <x v="97"/>
  </r>
  <r>
    <x v="45"/>
    <x v="1"/>
    <n v="6784"/>
    <n v="416"/>
    <n v="1101585"/>
    <n v="9.3041390360253633"/>
    <n v="9.3041390360253634E-2"/>
    <n v="6368"/>
    <n v="5.7807613574985131E-3"/>
    <n v="5.8165821916494409E-3"/>
    <x v="98"/>
  </r>
  <r>
    <x v="45"/>
    <x v="1"/>
    <n v="5583"/>
    <n v="795"/>
    <n v="1106373"/>
    <n v="12.21550055903389"/>
    <n v="0.1221550055903389"/>
    <n v="4788"/>
    <n v="4.327654416729259E-3"/>
    <n v="4.349603466601259E-3"/>
    <x v="99"/>
  </r>
  <r>
    <x v="45"/>
    <x v="1"/>
    <n v="6946"/>
    <n v="956"/>
    <n v="1112363"/>
    <n v="1.64146056637986"/>
    <n v="1.6414605663798602E-2"/>
    <n v="5990"/>
    <n v="5.3849327962185002E-3"/>
    <n v="5.4187695684072166E-3"/>
    <x v="100"/>
  </r>
  <r>
    <x v="46"/>
    <x v="1"/>
    <n v="1685"/>
    <n v="173"/>
    <n v="1135945"/>
    <n v="8.7776256772995165"/>
    <n v="8.7776256772995165E-2"/>
    <n v="1512"/>
    <n v="1.331050358952238E-3"/>
    <n v="1.3330277008798688E-3"/>
    <x v="101"/>
  </r>
  <r>
    <x v="32"/>
    <x v="1"/>
    <n v="1038"/>
    <n v="145"/>
    <n v="1152775"/>
    <n v="11.093752033137431"/>
    <n v="0.11093752033137431"/>
    <n v="893"/>
    <n v="7.7465246904209403E-4"/>
    <n v="7.7535062258137053E-4"/>
    <x v="102"/>
  </r>
  <r>
    <x v="32"/>
    <x v="1"/>
    <n v="2256"/>
    <n v="189"/>
    <n v="1160052"/>
    <n v="2.8935771844710412"/>
    <n v="2.8935771844710412E-2"/>
    <n v="2067"/>
    <n v="1.7818166771834366E-3"/>
    <n v="1.7852886000642601E-3"/>
    <x v="103"/>
  </r>
  <r>
    <x v="33"/>
    <x v="1"/>
    <n v="8165"/>
    <n v="1140"/>
    <n v="1177841"/>
    <n v="9.095964565675672"/>
    <n v="9.0959645656756724E-2"/>
    <n v="7025"/>
    <n v="5.9643024822535473E-3"/>
    <n v="6.0059366867406018E-3"/>
    <x v="104"/>
  </r>
  <r>
    <x v="33"/>
    <x v="1"/>
    <n v="1301"/>
    <n v="180"/>
    <n v="1178962"/>
    <n v="5.2275645864752214"/>
    <n v="5.2275645864752217E-2"/>
    <n v="1121"/>
    <n v="9.5083641372665107E-4"/>
    <n v="9.5188683330771763E-4"/>
    <x v="105"/>
  </r>
  <r>
    <x v="0"/>
    <x v="2"/>
    <n v="8693"/>
    <n v="1261"/>
    <n v="111209"/>
    <n v="69.475492091467416"/>
    <n v="0.69475492091467417"/>
    <n v="7432"/>
    <n v="6.6829123542159363E-2"/>
    <n v="7.2496000624292789E-2"/>
    <x v="106"/>
  </r>
  <r>
    <x v="1"/>
    <x v="2"/>
    <n v="5225"/>
    <n v="291"/>
    <n v="146830"/>
    <n v="19.551862698358651"/>
    <n v="0.19551862698358652"/>
    <n v="4934"/>
    <n v="3.3603487025812166E-2"/>
    <n v="3.484340242223085E-2"/>
    <x v="107"/>
  </r>
  <r>
    <x v="1"/>
    <x v="2"/>
    <n v="3978"/>
    <n v="543"/>
    <n v="150265"/>
    <n v="49.159817655475329"/>
    <n v="0.4915981765547533"/>
    <n v="3435"/>
    <n v="2.2859614680730708E-2"/>
    <n v="2.3481238934423429E-2"/>
    <x v="108"/>
  </r>
  <r>
    <x v="2"/>
    <x v="2"/>
    <n v="6907"/>
    <n v="834"/>
    <n v="163790"/>
    <n v="54.158984064961238"/>
    <n v="0.54158984064961235"/>
    <n v="6073"/>
    <n v="3.7077965687770928E-2"/>
    <n v="3.8710376522631512E-2"/>
    <x v="109"/>
  </r>
  <r>
    <x v="3"/>
    <x v="2"/>
    <n v="9984"/>
    <n v="1330"/>
    <n v="184850"/>
    <n v="57.524479307546663"/>
    <n v="0.57524479307546661"/>
    <n v="8654"/>
    <n v="4.6816337571003515E-2"/>
    <n v="4.9489323253233908E-2"/>
    <x v="110"/>
  </r>
  <r>
    <x v="3"/>
    <x v="2"/>
    <n v="6901"/>
    <n v="471"/>
    <n v="204818"/>
    <n v="60.827661631301943"/>
    <n v="0.60827661631301944"/>
    <n v="6430"/>
    <n v="3.1393725160874533E-2"/>
    <n v="3.2488366335383011E-2"/>
    <x v="111"/>
  </r>
  <r>
    <x v="4"/>
    <x v="2"/>
    <n v="9429"/>
    <n v="966"/>
    <n v="218723"/>
    <n v="7.6914636320825887"/>
    <n v="7.6914636320825888E-2"/>
    <n v="8463"/>
    <n v="3.8692775794040866E-2"/>
    <n v="4.0435941785239904E-2"/>
    <x v="112"/>
  </r>
  <r>
    <x v="34"/>
    <x v="2"/>
    <n v="8045"/>
    <n v="894"/>
    <n v="231802"/>
    <n v="47.634187798207087"/>
    <n v="0.47634187798207089"/>
    <n v="7151"/>
    <n v="3.084960440375838E-2"/>
    <n v="3.1958776708661631E-2"/>
    <x v="113"/>
  </r>
  <r>
    <x v="5"/>
    <x v="2"/>
    <n v="8137"/>
    <n v="1045"/>
    <n v="253858"/>
    <n v="20.47246886054408"/>
    <n v="0.2047246886054408"/>
    <n v="7092"/>
    <n v="2.7936878097203948E-2"/>
    <n v="2.8862002026688805E-2"/>
    <x v="114"/>
  </r>
  <r>
    <x v="35"/>
    <x v="2"/>
    <n v="8179"/>
    <n v="446"/>
    <n v="272227"/>
    <n v="41.82171496581897"/>
    <n v="0.41821714965818968"/>
    <n v="7733"/>
    <n v="2.8406440213498294E-2"/>
    <n v="2.9286341877234442E-2"/>
    <x v="115"/>
  </r>
  <r>
    <x v="36"/>
    <x v="2"/>
    <n v="6947"/>
    <n v="908"/>
    <n v="306304"/>
    <n v="14.117673944839121"/>
    <n v="0.14117673944839121"/>
    <n v="6039"/>
    <n v="1.9715707271207691E-2"/>
    <n v="2.0173237973389633E-2"/>
    <x v="116"/>
  </r>
  <r>
    <x v="6"/>
    <x v="2"/>
    <n v="3719"/>
    <n v="222"/>
    <n v="313014"/>
    <n v="21.669318305251519"/>
    <n v="0.2166931830525152"/>
    <n v="3497"/>
    <n v="1.1172024254506188E-2"/>
    <n v="1.130635800772725E-2"/>
    <x v="117"/>
  </r>
  <r>
    <x v="7"/>
    <x v="2"/>
    <n v="6179"/>
    <n v="384"/>
    <n v="326199"/>
    <n v="14.71218489327067"/>
    <n v="0.14712184893270672"/>
    <n v="5795"/>
    <n v="1.7765229200580015E-2"/>
    <n v="1.8108243234797827E-2"/>
    <x v="118"/>
  </r>
  <r>
    <x v="7"/>
    <x v="2"/>
    <n v="8154"/>
    <n v="1149"/>
    <n v="347090"/>
    <n v="26.003918292085629"/>
    <n v="0.26003918292085632"/>
    <n v="7005"/>
    <n v="2.0182085338096747E-2"/>
    <n v="2.0667618665470767E-2"/>
    <x v="119"/>
  </r>
  <r>
    <x v="9"/>
    <x v="2"/>
    <n v="6175"/>
    <n v="422"/>
    <n v="377618"/>
    <n v="37.86101298137271"/>
    <n v="0.3786101298137271"/>
    <n v="5753"/>
    <n v="1.523497290913039E-2"/>
    <n v="1.548824449511769E-2"/>
    <x v="120"/>
  </r>
  <r>
    <x v="10"/>
    <x v="2"/>
    <n v="7406"/>
    <n v="813"/>
    <n v="405141"/>
    <n v="24.457411123534769"/>
    <n v="0.2445741112353477"/>
    <n v="6593"/>
    <n v="1.6273346810122897E-2"/>
    <n v="1.6576363659220335E-2"/>
    <x v="121"/>
  </r>
  <r>
    <x v="37"/>
    <x v="2"/>
    <n v="4292"/>
    <n v="367"/>
    <n v="453977"/>
    <n v="3.5037017293827661"/>
    <n v="3.503701729382766E-2"/>
    <n v="3925"/>
    <n v="8.6458124530537899E-3"/>
    <n v="8.7283320546604846E-3"/>
    <x v="122"/>
  </r>
  <r>
    <x v="12"/>
    <x v="2"/>
    <n v="5517"/>
    <n v="575"/>
    <n v="460228"/>
    <n v="29.45844233727631"/>
    <n v="0.29458442337276308"/>
    <n v="4942"/>
    <n v="1.07381558705685E-2"/>
    <n v="1.0868441713527932E-2"/>
    <x v="123"/>
  </r>
  <r>
    <x v="13"/>
    <x v="2"/>
    <n v="6693"/>
    <n v="995"/>
    <n v="486018"/>
    <n v="23.761877132122681"/>
    <n v="0.2376187713212268"/>
    <n v="5698"/>
    <n v="1.1723845618886543E-2"/>
    <n v="1.1887550200803213E-2"/>
    <x v="124"/>
  </r>
  <r>
    <x v="13"/>
    <x v="2"/>
    <n v="3044"/>
    <n v="212"/>
    <n v="490393"/>
    <n v="8.5343795690395261"/>
    <n v="8.5343795690395255E-2"/>
    <n v="2832"/>
    <n v="5.7749600830354431E-3"/>
    <n v="5.8110306987395072E-3"/>
    <x v="125"/>
  </r>
  <r>
    <x v="47"/>
    <x v="2"/>
    <n v="8898"/>
    <n v="1131"/>
    <n v="515737"/>
    <n v="2.1877429775253669"/>
    <n v="2.1877429775253671E-2"/>
    <n v="7767"/>
    <n v="1.5060001512398761E-2"/>
    <n v="1.5324392953186317E-2"/>
    <x v="126"/>
  </r>
  <r>
    <x v="47"/>
    <x v="2"/>
    <n v="3293"/>
    <n v="282"/>
    <n v="525863"/>
    <n v="27.040693108281051"/>
    <n v="0.2704069310828105"/>
    <n v="3011"/>
    <n v="5.7258259280458983E-3"/>
    <n v="5.7619074956465162E-3"/>
    <x v="127"/>
  </r>
  <r>
    <x v="47"/>
    <x v="2"/>
    <n v="5837"/>
    <n v="359"/>
    <n v="531341"/>
    <n v="6.8073045370110723"/>
    <n v="6.8073045370110719E-2"/>
    <n v="5478"/>
    <n v="1.0309763409938251E-2"/>
    <n v="1.0424278407014979E-2"/>
    <x v="128"/>
  </r>
  <r>
    <x v="39"/>
    <x v="2"/>
    <n v="8380"/>
    <n v="1162"/>
    <n v="596704"/>
    <n v="18.05853488496809"/>
    <n v="0.18058534884968089"/>
    <n v="7218"/>
    <n v="1.2096449831072022E-2"/>
    <n v="1.2268749872519224E-2"/>
    <x v="129"/>
  </r>
  <r>
    <x v="39"/>
    <x v="2"/>
    <n v="1671"/>
    <n v="202"/>
    <n v="606171"/>
    <n v="15.150015424690389"/>
    <n v="0.15150015424690388"/>
    <n v="1469"/>
    <n v="2.4234085761278583E-3"/>
    <n v="2.4301075268817205E-3"/>
    <x v="130"/>
  </r>
  <r>
    <x v="40"/>
    <x v="2"/>
    <n v="1163"/>
    <n v="146"/>
    <n v="607188"/>
    <n v="21.77776899411715"/>
    <n v="0.2177776899411715"/>
    <n v="1017"/>
    <n v="1.6749342872388782E-3"/>
    <n v="1.6781485912297348E-3"/>
    <x v="131"/>
  </r>
  <r>
    <x v="40"/>
    <x v="2"/>
    <n v="9656"/>
    <n v="1024"/>
    <n v="615820"/>
    <n v="8.7252768666168681"/>
    <n v="8.7252768666168684E-2"/>
    <n v="8632"/>
    <n v="1.401708291383846E-2"/>
    <n v="1.4240370592776871E-2"/>
    <x v="132"/>
  </r>
  <r>
    <x v="16"/>
    <x v="2"/>
    <n v="7036"/>
    <n v="652"/>
    <n v="637512"/>
    <n v="3.5705994553828009"/>
    <n v="3.5705994553828009E-2"/>
    <n v="6384"/>
    <n v="1.0013929149568949E-2"/>
    <n v="1.0125682817426833E-2"/>
    <x v="133"/>
  </r>
  <r>
    <x v="19"/>
    <x v="2"/>
    <n v="7164"/>
    <n v="522"/>
    <n v="700757"/>
    <n v="13.449169969047761"/>
    <n v="0.13449169969047761"/>
    <n v="6642"/>
    <n v="9.4783213011072308E-3"/>
    <n v="9.5762212133052096E-3"/>
    <x v="134"/>
  </r>
  <r>
    <x v="20"/>
    <x v="2"/>
    <n v="7272"/>
    <n v="997"/>
    <n v="729561"/>
    <n v="13.428486445958599"/>
    <n v="0.13428486445958598"/>
    <n v="6275"/>
    <n v="8.6010628309353167E-3"/>
    <n v="8.6876582642128018E-3"/>
    <x v="135"/>
  </r>
  <r>
    <x v="22"/>
    <x v="2"/>
    <n v="3279"/>
    <n v="200"/>
    <n v="772614"/>
    <n v="5.0212654702089274"/>
    <n v="5.0212654702089271E-2"/>
    <n v="3079"/>
    <n v="3.9851724146857288E-3"/>
    <n v="4.0021577076306157E-3"/>
    <x v="136"/>
  </r>
  <r>
    <x v="41"/>
    <x v="2"/>
    <n v="8451"/>
    <n v="783"/>
    <n v="789536"/>
    <n v="12.407287318121019"/>
    <n v="0.1240728731812102"/>
    <n v="7668"/>
    <n v="9.7120333968305442E-3"/>
    <n v="9.8171133743446617E-3"/>
    <x v="137"/>
  </r>
  <r>
    <x v="41"/>
    <x v="2"/>
    <n v="1775"/>
    <n v="241"/>
    <n v="799671"/>
    <n v="8.1379717408784362"/>
    <n v="8.1379717408784358E-2"/>
    <n v="1534"/>
    <n v="1.918288896308607E-3"/>
    <n v="1.9225563231298314E-3"/>
    <x v="138"/>
  </r>
  <r>
    <x v="23"/>
    <x v="2"/>
    <n v="8088"/>
    <n v="742"/>
    <n v="817407"/>
    <n v="14.664542877660701"/>
    <n v="0.146645428776607"/>
    <n v="7346"/>
    <n v="8.9869550909155421E-3"/>
    <n v="9.0767670102888977E-3"/>
    <x v="139"/>
  </r>
  <r>
    <x v="48"/>
    <x v="2"/>
    <n v="9080"/>
    <n v="562"/>
    <n v="826926"/>
    <n v="7.1083748727213809"/>
    <n v="7.1083748727213805E-2"/>
    <n v="8518"/>
    <n v="1.0300800797169276E-2"/>
    <n v="1.0415163734981891E-2"/>
    <x v="140"/>
  </r>
  <r>
    <x v="48"/>
    <x v="2"/>
    <n v="8099"/>
    <n v="678"/>
    <n v="834347"/>
    <n v="7.6464588474579518"/>
    <n v="7.6464588474579515E-2"/>
    <n v="7421"/>
    <n v="8.8943808751035247E-3"/>
    <n v="8.981564857040502E-3"/>
    <x v="141"/>
  </r>
  <r>
    <x v="48"/>
    <x v="2"/>
    <n v="4926"/>
    <n v="710"/>
    <n v="838563"/>
    <n v="12.96217457722318"/>
    <n v="0.12962174577223182"/>
    <n v="4216"/>
    <n v="5.0276484891415433E-3"/>
    <n v="5.057357099073098E-3"/>
    <x v="142"/>
  </r>
  <r>
    <x v="24"/>
    <x v="2"/>
    <n v="7230"/>
    <n v="869"/>
    <n v="859838"/>
    <n v="7.0117859410726204"/>
    <n v="7.0117859410726208E-2"/>
    <n v="6361"/>
    <n v="7.397905186791E-3"/>
    <n v="7.4606384176550064E-3"/>
    <x v="143"/>
  </r>
  <r>
    <x v="24"/>
    <x v="2"/>
    <n v="5940"/>
    <n v="512"/>
    <n v="865266"/>
    <n v="15.7972230504839"/>
    <n v="0.157972230504839"/>
    <n v="5428"/>
    <n v="6.2732154042803023E-3"/>
    <n v="6.3165783416305335E-3"/>
    <x v="144"/>
  </r>
  <r>
    <x v="49"/>
    <x v="2"/>
    <n v="8788"/>
    <n v="660"/>
    <n v="880842"/>
    <n v="3.7175793161543158"/>
    <n v="3.7175793161543159E-2"/>
    <n v="8128"/>
    <n v="9.2275345635199051E-3"/>
    <n v="9.3205237290351281E-3"/>
    <x v="145"/>
  </r>
  <r>
    <x v="49"/>
    <x v="2"/>
    <n v="8650"/>
    <n v="692"/>
    <n v="897442"/>
    <n v="7.6673478620345374"/>
    <n v="7.6673478620345376E-2"/>
    <n v="7958"/>
    <n v="8.8674254157928862E-3"/>
    <n v="8.9537259561292184E-3"/>
    <x v="146"/>
  </r>
  <r>
    <x v="42"/>
    <x v="2"/>
    <n v="1147"/>
    <n v="127"/>
    <n v="904407"/>
    <n v="1.3997016829812241"/>
    <n v="1.3997016829812241E-2"/>
    <n v="1020"/>
    <n v="1.1278108196862695E-3"/>
    <n v="1.1292429643734916E-3"/>
    <x v="147"/>
  </r>
  <r>
    <x v="25"/>
    <x v="2"/>
    <n v="1365"/>
    <n v="75"/>
    <n v="912374"/>
    <n v="9.2688963078737441"/>
    <n v="9.2688963078737446E-2"/>
    <n v="1290"/>
    <n v="1.4138938637006315E-3"/>
    <n v="1.416012355531065E-3"/>
    <x v="148"/>
  </r>
  <r>
    <x v="43"/>
    <x v="2"/>
    <n v="2246"/>
    <n v="165"/>
    <n v="975533"/>
    <n v="2.9062061457685191"/>
    <n v="2.9062061457685192E-2"/>
    <n v="2081"/>
    <n v="2.1331928289458173E-3"/>
    <n v="2.1381154787847778E-3"/>
    <x v="149"/>
  </r>
  <r>
    <x v="43"/>
    <x v="2"/>
    <n v="4839"/>
    <n v="594"/>
    <n v="979778"/>
    <n v="2.5803804535313102"/>
    <n v="2.5803804535313103E-2"/>
    <n v="4245"/>
    <n v="4.3326141227910814E-3"/>
    <n v="4.3541185653666534E-3"/>
    <x v="150"/>
  </r>
  <r>
    <x v="27"/>
    <x v="2"/>
    <n v="9551"/>
    <n v="828"/>
    <n v="988501"/>
    <n v="1.525036393488727"/>
    <n v="1.5250363934887269E-2"/>
    <n v="8723"/>
    <n v="8.8244726105487E-3"/>
    <n v="8.9105674447111701E-3"/>
    <x v="151"/>
  </r>
  <r>
    <x v="29"/>
    <x v="2"/>
    <n v="6978"/>
    <n v="706"/>
    <n v="1057293"/>
    <n v="5.057443868445171"/>
    <n v="5.057443868445171E-2"/>
    <n v="6272"/>
    <n v="5.9321304501212058E-3"/>
    <n v="5.9715418707721015E-3"/>
    <x v="152"/>
  </r>
  <r>
    <x v="30"/>
    <x v="2"/>
    <n v="9714"/>
    <n v="1395"/>
    <n v="1085943"/>
    <n v="5.2243073531483697"/>
    <n v="5.2243073531483698E-2"/>
    <n v="8319"/>
    <n v="7.6606230713766746E-3"/>
    <n v="7.7297675494713489E-3"/>
    <x v="153"/>
  </r>
  <r>
    <x v="31"/>
    <x v="2"/>
    <n v="8128"/>
    <n v="1070"/>
    <n v="1131337"/>
    <n v="8.1114645768679008"/>
    <n v="8.1114645768679008E-2"/>
    <n v="7058"/>
    <n v="6.2386362330587612E-3"/>
    <n v="6.2837815580181425E-3"/>
    <x v="154"/>
  </r>
  <r>
    <x v="46"/>
    <x v="2"/>
    <n v="3160"/>
    <n v="234"/>
    <n v="1138871"/>
    <n v="5.6959041015180816"/>
    <n v="5.6959041015180817E-2"/>
    <n v="2926"/>
    <n v="2.5692110871204906E-3"/>
    <n v="2.5763596548769889E-3"/>
    <x v="155"/>
  </r>
  <r>
    <x v="46"/>
    <x v="2"/>
    <n v="8031"/>
    <n v="476"/>
    <n v="1146426"/>
    <n v="11.940413075069831"/>
    <n v="0.11940413075069831"/>
    <n v="7555"/>
    <n v="6.5900459340594159E-3"/>
    <n v="6.6365365273037919E-3"/>
    <x v="156"/>
  </r>
  <r>
    <x v="46"/>
    <x v="2"/>
    <n v="6341"/>
    <n v="885"/>
    <n v="1151882"/>
    <n v="6.3457020771224837"/>
    <n v="6.3457020771224837E-2"/>
    <n v="5456"/>
    <n v="4.7365962832998515E-3"/>
    <n v="4.762815124033099E-3"/>
    <x v="11"/>
  </r>
  <r>
    <x v="33"/>
    <x v="2"/>
    <n v="8527"/>
    <n v="1091"/>
    <n v="1186398"/>
    <n v="1.676081719625286"/>
    <n v="1.6760817196252858E-2"/>
    <n v="7436"/>
    <n v="6.267711172810473E-3"/>
    <n v="6.3130852190095522E-3"/>
    <x v="157"/>
  </r>
  <r>
    <x v="0"/>
    <x v="3"/>
    <n v="9264"/>
    <n v="1141"/>
    <n v="119332"/>
    <n v="92.312204605638044"/>
    <n v="0.92312204605638049"/>
    <n v="8123"/>
    <n v="6.8070592967519189E-2"/>
    <n v="7.3799832830613796E-2"/>
    <x v="158"/>
  </r>
  <r>
    <x v="0"/>
    <x v="3"/>
    <n v="8842"/>
    <n v="971"/>
    <n v="127203"/>
    <n v="16.351815601833291"/>
    <n v="0.16351815601833292"/>
    <n v="7871"/>
    <n v="6.1877471443283573E-2"/>
    <n v="6.6499945083262221E-2"/>
    <x v="159"/>
  </r>
  <r>
    <x v="1"/>
    <x v="3"/>
    <n v="8002"/>
    <n v="524"/>
    <n v="141896"/>
    <n v="52.064892597395271"/>
    <n v="0.52064892597395274"/>
    <n v="7478"/>
    <n v="5.270056943113266E-2"/>
    <n v="5.5850150118750656E-2"/>
    <x v="160"/>
  </r>
  <r>
    <x v="3"/>
    <x v="3"/>
    <n v="9286"/>
    <n v="633"/>
    <n v="198388"/>
    <n v="5.4343004617214756"/>
    <n v="5.4343004617214759E-2"/>
    <n v="8653"/>
    <n v="4.3616549388067825E-2"/>
    <n v="4.5758373787691299E-2"/>
    <x v="161"/>
  </r>
  <r>
    <x v="5"/>
    <x v="3"/>
    <n v="1963"/>
    <n v="137"/>
    <n v="255684"/>
    <n v="11.2083665774941"/>
    <n v="0.112083665774941"/>
    <n v="1826"/>
    <n v="7.1416279469970747E-3"/>
    <n v="7.1968816140563852E-3"/>
    <x v="162"/>
  </r>
  <r>
    <x v="35"/>
    <x v="3"/>
    <n v="9734"/>
    <n v="652"/>
    <n v="289283"/>
    <n v="49.647922622483861"/>
    <n v="0.49647922622483859"/>
    <n v="9082"/>
    <n v="3.1394862470314533E-2"/>
    <n v="3.248804324107759E-2"/>
    <x v="1"/>
  </r>
  <r>
    <x v="36"/>
    <x v="3"/>
    <n v="4036"/>
    <n v="591"/>
    <n v="300265"/>
    <n v="44.219272975538267"/>
    <n v="0.44219272975538265"/>
    <n v="3445"/>
    <n v="1.1473198674504187E-2"/>
    <n v="1.1629516353901879E-2"/>
    <x v="163"/>
  </r>
  <r>
    <x v="6"/>
    <x v="3"/>
    <n v="2884"/>
    <n v="341"/>
    <n v="315557"/>
    <n v="46.999749649033298"/>
    <n v="0.46999749649033296"/>
    <n v="2543"/>
    <n v="8.058765928184131E-3"/>
    <n v="8.1330975172144698E-3"/>
    <x v="164"/>
  </r>
  <r>
    <x v="7"/>
    <x v="3"/>
    <n v="7430"/>
    <n v="397"/>
    <n v="340085"/>
    <n v="28.065042562888689"/>
    <n v="0.28065042562888687"/>
    <n v="7033"/>
    <n v="2.0680124086625402E-2"/>
    <n v="2.1142024018878419E-2"/>
    <x v="165"/>
  </r>
  <r>
    <x v="8"/>
    <x v="3"/>
    <n v="5737"/>
    <n v="666"/>
    <n v="359081"/>
    <n v="4.6034181702735593"/>
    <n v="4.6034181702735592E-2"/>
    <n v="5071"/>
    <n v="1.4122161852061233E-2"/>
    <n v="1.4351453541025176E-2"/>
    <x v="166"/>
  </r>
  <r>
    <x v="8"/>
    <x v="3"/>
    <n v="4850"/>
    <n v="494"/>
    <n v="370352"/>
    <n v="20.46539508359615"/>
    <n v="0.2046539508359615"/>
    <n v="4356"/>
    <n v="1.176178338445587E-2"/>
    <n v="1.1917855442651476E-2"/>
    <x v="167"/>
  </r>
  <r>
    <x v="9"/>
    <x v="3"/>
    <n v="6078"/>
    <n v="775"/>
    <n v="391152"/>
    <n v="37.760512537325639"/>
    <n v="0.37760512537325641"/>
    <n v="5303"/>
    <n v="1.3557389454738823E-2"/>
    <n v="1.3771379007671253E-2"/>
    <x v="168"/>
  </r>
  <r>
    <x v="11"/>
    <x v="3"/>
    <n v="9800"/>
    <n v="682"/>
    <n v="429929"/>
    <n v="6.2966210699906267"/>
    <n v="6.2966210699906267E-2"/>
    <n v="9118"/>
    <n v="2.1208152974095722E-2"/>
    <n v="2.1702857931730494E-2"/>
    <x v="169"/>
  </r>
  <r>
    <x v="11"/>
    <x v="3"/>
    <n v="2638"/>
    <n v="143"/>
    <n v="432424"/>
    <n v="6.9547481175882924"/>
    <n v="6.9547481175882928E-2"/>
    <n v="2495"/>
    <n v="5.7698000111002165E-3"/>
    <n v="5.8052146882401944E-3"/>
    <x v="170"/>
  </r>
  <r>
    <x v="37"/>
    <x v="3"/>
    <n v="7928"/>
    <n v="704"/>
    <n v="445769"/>
    <n v="11.194362999670229"/>
    <n v="0.11194362999670229"/>
    <n v="7224"/>
    <n v="1.6205702953772022E-2"/>
    <n v="1.6499140098802989E-2"/>
    <x v="171"/>
  </r>
  <r>
    <x v="37"/>
    <x v="3"/>
    <n v="2403"/>
    <n v="319"/>
    <n v="450052"/>
    <n v="29.92120910472568"/>
    <n v="0.29921209104725682"/>
    <n v="2084"/>
    <n v="4.6305760223263092E-3"/>
    <n v="4.6554331630362178E-3"/>
    <x v="172"/>
  </r>
  <r>
    <x v="14"/>
    <x v="3"/>
    <n v="7140"/>
    <n v="939"/>
    <n v="499015"/>
    <n v="25.120888149654821"/>
    <n v="0.25120888149654819"/>
    <n v="6201"/>
    <n v="1.2426480165926877E-2"/>
    <n v="1.2606861499364677E-2"/>
    <x v="173"/>
  </r>
  <r>
    <x v="14"/>
    <x v="3"/>
    <n v="4716"/>
    <n v="569"/>
    <n v="503162"/>
    <n v="25.64820077827817"/>
    <n v="0.25648200778278168"/>
    <n v="4147"/>
    <n v="8.2418783612434963E-3"/>
    <n v="8.3198581190339575E-3"/>
    <x v="174"/>
  </r>
  <r>
    <x v="47"/>
    <x v="3"/>
    <n v="7548"/>
    <n v="433"/>
    <n v="522852"/>
    <n v="8.3562843787534522"/>
    <n v="8.3562843787534521E-2"/>
    <n v="7115"/>
    <n v="1.3608057347012157E-2"/>
    <n v="1.3807383602688898E-2"/>
    <x v="175"/>
  </r>
  <r>
    <x v="15"/>
    <x v="3"/>
    <n v="7793"/>
    <n v="875"/>
    <n v="545824"/>
    <n v="5.5136820660139527"/>
    <n v="5.5136820660139529E-2"/>
    <n v="6918"/>
    <n v="1.267441519610717E-2"/>
    <n v="1.2857995171281953E-2"/>
    <x v="176"/>
  </r>
  <r>
    <x v="38"/>
    <x v="3"/>
    <n v="7007"/>
    <n v="568"/>
    <n v="568671"/>
    <n v="11.50507059442103"/>
    <n v="0.1150507059442103"/>
    <n v="6439"/>
    <n v="1.1322891443382905E-2"/>
    <n v="1.1464149384685506E-2"/>
    <x v="177"/>
  </r>
  <r>
    <x v="38"/>
    <x v="3"/>
    <n v="6542"/>
    <n v="539"/>
    <n v="574674"/>
    <n v="6.4069368024305948"/>
    <n v="6.4069368024305948E-2"/>
    <n v="6003"/>
    <n v="1.0445922383821088E-2"/>
    <n v="1.0566206444981095E-2"/>
    <x v="178"/>
  </r>
  <r>
    <x v="39"/>
    <x v="3"/>
    <n v="3385"/>
    <n v="329"/>
    <n v="599760"/>
    <n v="17.61788048552755"/>
    <n v="0.17617880485527551"/>
    <n v="3056"/>
    <n v="5.0953714819261036E-3"/>
    <n v="5.1242926011318378E-3"/>
    <x v="179"/>
  </r>
  <r>
    <x v="40"/>
    <x v="3"/>
    <n v="5795"/>
    <n v="575"/>
    <n v="625922"/>
    <n v="3.0908004511744269"/>
    <n v="3.0908004511744268E-2"/>
    <n v="5220"/>
    <n v="8.3396972785746461E-3"/>
    <n v="8.4176305821226944E-3"/>
    <x v="180"/>
  </r>
  <r>
    <x v="17"/>
    <x v="3"/>
    <n v="5719"/>
    <n v="576"/>
    <n v="675785"/>
    <n v="10.21656296011305"/>
    <n v="0.1021656296011305"/>
    <n v="5143"/>
    <n v="7.6104086358827145E-3"/>
    <n v="7.6753633224189858E-3"/>
    <x v="181"/>
  </r>
  <r>
    <x v="18"/>
    <x v="3"/>
    <n v="4493"/>
    <n v="564"/>
    <n v="694115"/>
    <n v="16.625487131094989"/>
    <n v="0.16625487131094988"/>
    <n v="3929"/>
    <n v="5.660445315257558E-3"/>
    <n v="5.6973240412863859E-3"/>
    <x v="182"/>
  </r>
  <r>
    <x v="19"/>
    <x v="3"/>
    <n v="5200"/>
    <n v="410"/>
    <n v="709008"/>
    <n v="12.913394489201821"/>
    <n v="0.12913394489201821"/>
    <n v="4790"/>
    <n v="6.7559181278631555E-3"/>
    <n v="6.8058334091115761E-3"/>
    <x v="183"/>
  </r>
  <r>
    <x v="21"/>
    <x v="3"/>
    <n v="8177"/>
    <n v="849"/>
    <n v="748744"/>
    <n v="10.34986590877523"/>
    <n v="0.1034986590877523"/>
    <n v="7328"/>
    <n v="9.7870567243276748E-3"/>
    <n v="9.8951209006072367E-3"/>
    <x v="184"/>
  </r>
  <r>
    <x v="41"/>
    <x v="3"/>
    <n v="9906"/>
    <n v="1305"/>
    <n v="798137"/>
    <n v="9.1811305577864442"/>
    <n v="9.1811305577864447E-2"/>
    <n v="8601"/>
    <n v="1.0776345414383746E-2"/>
    <n v="1.091177586265955E-2"/>
    <x v="185"/>
  </r>
  <r>
    <x v="23"/>
    <x v="3"/>
    <n v="1078"/>
    <n v="77"/>
    <n v="818408"/>
    <n v="18.236747441373989"/>
    <n v="0.18236747441373991"/>
    <n v="1001"/>
    <n v="1.2231063234963489E-3"/>
    <n v="1.2247195135379834E-3"/>
    <x v="186"/>
  </r>
  <r>
    <x v="48"/>
    <x v="3"/>
    <n v="8340"/>
    <n v="686"/>
    <n v="846217"/>
    <n v="7.201344336027284"/>
    <n v="7.2013443360272836E-2"/>
    <n v="7654"/>
    <n v="9.0449612806171465E-3"/>
    <n v="9.1349923676148168E-3"/>
    <x v="187"/>
  </r>
  <r>
    <x v="49"/>
    <x v="3"/>
    <n v="4456"/>
    <n v="651"/>
    <n v="872714"/>
    <n v="9.5052903929580594"/>
    <n v="9.5052903929580601E-2"/>
    <n v="3805"/>
    <n v="4.3599621410908961E-3"/>
    <n v="4.3823379686682993E-3"/>
    <x v="188"/>
  </r>
  <r>
    <x v="49"/>
    <x v="3"/>
    <n v="9599"/>
    <n v="957"/>
    <n v="889484"/>
    <n v="8.768004820772493"/>
    <n v="8.7680048207724931E-2"/>
    <n v="8642"/>
    <n v="9.7157453085159485E-3"/>
    <n v="9.8217380680429827E-3"/>
    <x v="189"/>
  </r>
  <r>
    <x v="26"/>
    <x v="3"/>
    <n v="9964"/>
    <n v="985"/>
    <n v="947047"/>
    <n v="1.9837452629066989"/>
    <n v="1.9837452629066988E-2"/>
    <n v="8979"/>
    <n v="9.4810500429228957E-3"/>
    <n v="9.5818620122230368E-3"/>
    <x v="190"/>
  </r>
  <r>
    <x v="26"/>
    <x v="3"/>
    <n v="7493"/>
    <n v="1113"/>
    <n v="953427"/>
    <n v="15.684892498324469"/>
    <n v="0.15684892498324468"/>
    <n v="6380"/>
    <n v="6.6916502259743013E-3"/>
    <n v="6.7446566039491129E-3"/>
    <x v="191"/>
  </r>
  <r>
    <x v="43"/>
    <x v="3"/>
    <n v="7511"/>
    <n v="880"/>
    <n v="966020"/>
    <n v="4.6083932009689246"/>
    <n v="4.6083932009689244E-2"/>
    <n v="6631"/>
    <n v="6.8642471170369144E-3"/>
    <n v="6.9180362417045642E-3"/>
    <x v="192"/>
  </r>
  <r>
    <x v="27"/>
    <x v="3"/>
    <n v="4009"/>
    <n v="454"/>
    <n v="995050"/>
    <n v="2.1106477061454201"/>
    <n v="2.1106477061454201E-2"/>
    <n v="3555"/>
    <n v="3.5726847897090599E-3"/>
    <n v="3.5871371618328607E-3"/>
    <x v="193"/>
  </r>
  <r>
    <x v="44"/>
    <x v="3"/>
    <n v="4747"/>
    <n v="558"/>
    <n v="1041686"/>
    <n v="5.7680529449373434"/>
    <n v="5.7680529449373436E-2"/>
    <n v="4189"/>
    <n v="4.021365363458854E-3"/>
    <n v="4.0397747601353604E-3"/>
    <x v="194"/>
  </r>
  <r>
    <x v="29"/>
    <x v="3"/>
    <n v="1769"/>
    <n v="202"/>
    <n v="1064988"/>
    <n v="6.5457075572682513"/>
    <n v="6.5457075572682516E-2"/>
    <n v="1567"/>
    <n v="1.4713780812553757E-3"/>
    <n v="1.4738261825644576E-3"/>
    <x v="195"/>
  </r>
  <r>
    <x v="30"/>
    <x v="3"/>
    <n v="7303"/>
    <n v="869"/>
    <n v="1073082"/>
    <n v="8.1237966902808925"/>
    <n v="8.123796690280892E-2"/>
    <n v="6434"/>
    <n v="5.9958139266151145E-3"/>
    <n v="6.0368988317465438E-3"/>
    <x v="196"/>
  </r>
  <r>
    <x v="32"/>
    <x v="3"/>
    <n v="5875"/>
    <n v="665"/>
    <n v="1157985"/>
    <n v="6.9871371390821126"/>
    <n v="6.9871371390821127E-2"/>
    <n v="5210"/>
    <n v="4.4991947218659999E-3"/>
    <n v="4.5221376431069946E-3"/>
    <x v="197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  <r>
    <x v="50"/>
    <x v="4"/>
    <m/>
    <m/>
    <m/>
    <m/>
    <n v="0"/>
    <n v="0"/>
    <m/>
    <m/>
    <x v="19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4138"/>
    <n v="361"/>
    <n v="103777"/>
    <n v="56.637790647253247"/>
    <n v="0.5663779064725325"/>
    <n v="3777"/>
    <n v="3.6395347716738774E-2"/>
    <x v="0"/>
    <n v="23944"/>
  </r>
  <r>
    <d v="2024-06-03T00:00:00"/>
    <x v="1"/>
    <n v="8693"/>
    <n v="1261"/>
    <n v="111209"/>
    <n v="69.475492091467416"/>
    <n v="0.69475492091467417"/>
    <n v="7432"/>
    <n v="6.6829123542159363E-2"/>
    <x v="0"/>
    <n v="29873"/>
  </r>
  <r>
    <d v="2024-06-03T00:00:00"/>
    <x v="2"/>
    <n v="9264"/>
    <n v="1141"/>
    <n v="119332"/>
    <n v="92.312204605638044"/>
    <n v="0.92312204605638049"/>
    <n v="8123"/>
    <n v="6.8070592967519189E-2"/>
    <x v="0"/>
    <n v="50372"/>
  </r>
  <r>
    <d v="2024-06-03T00:00:00"/>
    <x v="2"/>
    <n v="8842"/>
    <n v="971"/>
    <n v="127203"/>
    <n v="16.351815601833291"/>
    <n v="0.16351815601833292"/>
    <n v="7871"/>
    <n v="6.1877471443283573E-2"/>
    <x v="0"/>
    <n v="33928"/>
  </r>
  <r>
    <d v="2024-06-10T00:00:00"/>
    <x v="0"/>
    <n v="7721"/>
    <n v="506"/>
    <n v="134418"/>
    <n v="35.577824398518047"/>
    <n v="0.35577824398518049"/>
    <n v="7215"/>
    <n v="5.3675846984778827E-2"/>
    <x v="0"/>
    <n v="25379"/>
  </r>
  <r>
    <d v="2024-06-10T00:00:00"/>
    <x v="1"/>
    <n v="5225"/>
    <n v="291"/>
    <n v="146830"/>
    <n v="19.551862698358651"/>
    <n v="0.19551862698358652"/>
    <n v="4934"/>
    <n v="3.3603487025812166E-2"/>
    <x v="0"/>
    <n v="44546"/>
  </r>
  <r>
    <d v="2024-06-10T00:00:00"/>
    <x v="1"/>
    <n v="3978"/>
    <n v="543"/>
    <n v="150265"/>
    <n v="49.159817655475329"/>
    <n v="0.4915981765547533"/>
    <n v="3435"/>
    <n v="2.2859614680730708E-2"/>
    <x v="0"/>
    <n v="34286"/>
  </r>
  <r>
    <d v="2024-06-10T00:00:00"/>
    <x v="2"/>
    <n v="8002"/>
    <n v="524"/>
    <n v="141896"/>
    <n v="52.064892597395271"/>
    <n v="0.52064892597395274"/>
    <n v="7478"/>
    <n v="5.270056943113266E-2"/>
    <x v="0"/>
    <n v="46751"/>
  </r>
  <r>
    <d v="2024-06-17T00:00:00"/>
    <x v="0"/>
    <n v="8373"/>
    <n v="921"/>
    <n v="157717"/>
    <n v="12.2263294381709"/>
    <n v="0.12226329438170901"/>
    <n v="7452"/>
    <n v="4.7249186834646864E-2"/>
    <x v="1"/>
    <n v="15110"/>
  </r>
  <r>
    <d v="2024-06-17T00:00:00"/>
    <x v="0"/>
    <n v="6656"/>
    <n v="978"/>
    <n v="176196"/>
    <n v="60.425889350496043"/>
    <n v="0.60425889350496043"/>
    <n v="5678"/>
    <n v="3.2225476174260484E-2"/>
    <x v="1"/>
    <n v="27081"/>
  </r>
  <r>
    <d v="2024-06-17T00:00:00"/>
    <x v="3"/>
    <n v="7097"/>
    <n v="369"/>
    <n v="170518"/>
    <n v="9.2506362964613711"/>
    <n v="9.2506362964613717E-2"/>
    <n v="6728"/>
    <n v="3.9456245088495059E-2"/>
    <x v="1"/>
    <n v="33762"/>
  </r>
  <r>
    <d v="2024-06-17T00:00:00"/>
    <x v="1"/>
    <n v="6907"/>
    <n v="834"/>
    <n v="163790"/>
    <n v="54.158984064961238"/>
    <n v="0.54158984064961235"/>
    <n v="6073"/>
    <n v="3.7077965687770928E-2"/>
    <x v="1"/>
    <n v="22087"/>
  </r>
  <r>
    <d v="2024-06-24T00:00:00"/>
    <x v="0"/>
    <n v="5259"/>
    <n v="374"/>
    <n v="189735"/>
    <n v="14.827522597306769"/>
    <n v="0.14827522597306769"/>
    <n v="4885"/>
    <n v="2.5746435818378266E-2"/>
    <x v="1"/>
    <n v="19596"/>
  </r>
  <r>
    <d v="2024-06-24T00:00:00"/>
    <x v="1"/>
    <n v="9984"/>
    <n v="1330"/>
    <n v="184850"/>
    <n v="57.524479307546663"/>
    <n v="0.57524479307546661"/>
    <n v="8654"/>
    <n v="4.6816337571003515E-2"/>
    <x v="1"/>
    <n v="44947"/>
  </r>
  <r>
    <d v="2024-06-24T00:00:00"/>
    <x v="1"/>
    <n v="6901"/>
    <n v="471"/>
    <n v="204818"/>
    <n v="60.827661631301943"/>
    <n v="0.60827661631301944"/>
    <n v="6430"/>
    <n v="3.1393725160874533E-2"/>
    <x v="1"/>
    <n v="52003"/>
  </r>
  <r>
    <d v="2024-06-24T00:00:00"/>
    <x v="2"/>
    <n v="9286"/>
    <n v="633"/>
    <n v="198388"/>
    <n v="5.4343004617214756"/>
    <n v="5.4343004617214759E-2"/>
    <n v="8653"/>
    <n v="4.3616549388067825E-2"/>
    <x v="1"/>
    <n v="48019"/>
  </r>
  <r>
    <d v="2024-07-01T00:00:00"/>
    <x v="0"/>
    <n v="3530"/>
    <n v="328"/>
    <n v="221925"/>
    <n v="12.8372197814577"/>
    <n v="0.12837219781457698"/>
    <n v="3202"/>
    <n v="1.4428297848372199E-2"/>
    <x v="1"/>
    <n v="11013"/>
  </r>
  <r>
    <d v="2024-07-01T00:00:00"/>
    <x v="0"/>
    <n v="2960"/>
    <n v="234"/>
    <n v="224651"/>
    <n v="17.41278694508371"/>
    <n v="0.17412786945083711"/>
    <n v="2726"/>
    <n v="1.213437732304775E-2"/>
    <x v="1"/>
    <n v="59378"/>
  </r>
  <r>
    <d v="2024-07-01T00:00:00"/>
    <x v="3"/>
    <n v="5917"/>
    <n v="475"/>
    <n v="210260"/>
    <n v="17.894035955483691"/>
    <n v="0.17894035955483692"/>
    <n v="5442"/>
    <n v="2.5882241034909159E-2"/>
    <x v="1"/>
    <n v="28313"/>
  </r>
  <r>
    <d v="2024-07-01T00:00:00"/>
    <x v="1"/>
    <n v="9429"/>
    <n v="966"/>
    <n v="218723"/>
    <n v="7.6914636320825887"/>
    <n v="7.6914636320825888E-2"/>
    <n v="8463"/>
    <n v="3.8692775794040866E-2"/>
    <x v="1"/>
    <n v="57639"/>
  </r>
  <r>
    <d v="2024-07-08T00:00:00"/>
    <x v="3"/>
    <n v="2048"/>
    <n v="130"/>
    <n v="233720"/>
    <n v="39.284614068115687"/>
    <n v="0.39284614068115686"/>
    <n v="1918"/>
    <n v="8.2064008214958063E-3"/>
    <x v="1"/>
    <n v="11828"/>
  </r>
  <r>
    <d v="2024-07-08T00:00:00"/>
    <x v="3"/>
    <n v="6772"/>
    <n v="536"/>
    <n v="239956"/>
    <n v="9.8205504342462788"/>
    <n v="9.8205504342462793E-2"/>
    <n v="6236"/>
    <n v="2.5988097817933289E-2"/>
    <x v="1"/>
    <n v="17909"/>
  </r>
  <r>
    <d v="2024-07-08T00:00:00"/>
    <x v="3"/>
    <n v="3529"/>
    <n v="305"/>
    <n v="243180"/>
    <n v="41.606628834608109"/>
    <n v="0.41606628834608111"/>
    <n v="3224"/>
    <n v="1.3257669216218439E-2"/>
    <x v="1"/>
    <n v="48356"/>
  </r>
  <r>
    <d v="2024-07-08T00:00:00"/>
    <x v="1"/>
    <n v="8045"/>
    <n v="894"/>
    <n v="231802"/>
    <n v="47.634187798207087"/>
    <n v="0.47634187798207089"/>
    <n v="7151"/>
    <n v="3.084960440375838E-2"/>
    <x v="1"/>
    <n v="33705"/>
  </r>
  <r>
    <d v="2024-07-15T00:00:00"/>
    <x v="0"/>
    <n v="3964"/>
    <n v="378"/>
    <n v="246766"/>
    <n v="13.6355899921383"/>
    <n v="0.136355899921383"/>
    <n v="3586"/>
    <n v="1.453198576789347E-2"/>
    <x v="1"/>
    <n v="23109"/>
  </r>
  <r>
    <d v="2024-07-15T00:00:00"/>
    <x v="0"/>
    <n v="1536"/>
    <n v="155"/>
    <n v="257065"/>
    <n v="12.15762550327738"/>
    <n v="0.12157625503277381"/>
    <n v="1381"/>
    <n v="5.3721821329235798E-3"/>
    <x v="1"/>
    <n v="36661"/>
  </r>
  <r>
    <d v="2024-07-15T00:00:00"/>
    <x v="1"/>
    <n v="8137"/>
    <n v="1045"/>
    <n v="253858"/>
    <n v="20.47246886054408"/>
    <n v="0.2047246886054408"/>
    <n v="7092"/>
    <n v="2.7936878097203948E-2"/>
    <x v="1"/>
    <n v="12023"/>
  </r>
  <r>
    <d v="2024-07-15T00:00:00"/>
    <x v="2"/>
    <n v="1963"/>
    <n v="137"/>
    <n v="255684"/>
    <n v="11.2083665774941"/>
    <n v="0.112083665774941"/>
    <n v="1826"/>
    <n v="7.1416279469970747E-3"/>
    <x v="1"/>
    <n v="24537"/>
  </r>
  <r>
    <d v="2024-07-22T00:00:00"/>
    <x v="3"/>
    <n v="8340"/>
    <n v="911"/>
    <n v="264494"/>
    <n v="37.302925586213682"/>
    <n v="0.37302925586213681"/>
    <n v="7429"/>
    <n v="2.8087593669421613E-2"/>
    <x v="0"/>
    <n v="48659"/>
  </r>
  <r>
    <d v="2024-07-22T00:00:00"/>
    <x v="3"/>
    <n v="8967"/>
    <n v="993"/>
    <n v="280201"/>
    <n v="52.792102811910027"/>
    <n v="0.52792102811910024"/>
    <n v="7974"/>
    <n v="2.8458142547671136E-2"/>
    <x v="0"/>
    <n v="47804"/>
  </r>
  <r>
    <d v="2024-07-22T00:00:00"/>
    <x v="1"/>
    <n v="8179"/>
    <n v="446"/>
    <n v="272227"/>
    <n v="41.82171496581897"/>
    <n v="0.41821714965818968"/>
    <n v="7733"/>
    <n v="2.8406440213498294E-2"/>
    <x v="0"/>
    <n v="43848"/>
  </r>
  <r>
    <d v="2024-07-22T00:00:00"/>
    <x v="2"/>
    <n v="9734"/>
    <n v="652"/>
    <n v="289283"/>
    <n v="49.647922622483861"/>
    <n v="0.49647922622483859"/>
    <n v="9082"/>
    <n v="3.1394862470314533E-2"/>
    <x v="0"/>
    <n v="25379"/>
  </r>
  <r>
    <d v="2024-07-29T00:00:00"/>
    <x v="3"/>
    <n v="1845"/>
    <n v="104"/>
    <n v="291024"/>
    <n v="28.158158777282971"/>
    <n v="0.28158158777282971"/>
    <n v="1741"/>
    <n v="5.9823244818296775E-3"/>
    <x v="0"/>
    <n v="37766"/>
  </r>
  <r>
    <d v="2024-07-29T00:00:00"/>
    <x v="3"/>
    <n v="6777"/>
    <n v="981"/>
    <n v="296820"/>
    <n v="23.920557913887201"/>
    <n v="0.239205579138872"/>
    <n v="5796"/>
    <n v="1.952698605215282E-2"/>
    <x v="0"/>
    <n v="53590"/>
  </r>
  <r>
    <d v="2024-07-29T00:00:00"/>
    <x v="1"/>
    <n v="6947"/>
    <n v="908"/>
    <n v="306304"/>
    <n v="14.117673944839121"/>
    <n v="0.14117673944839121"/>
    <n v="6039"/>
    <n v="1.9715707271207691E-2"/>
    <x v="0"/>
    <n v="46060"/>
  </r>
  <r>
    <d v="2024-07-29T00:00:00"/>
    <x v="2"/>
    <n v="4036"/>
    <n v="591"/>
    <n v="300265"/>
    <n v="44.219272975538267"/>
    <n v="0.44219272975538265"/>
    <n v="3445"/>
    <n v="1.1473198674504187E-2"/>
    <x v="0"/>
    <n v="12563"/>
  </r>
  <r>
    <d v="2024-08-05T00:00:00"/>
    <x v="0"/>
    <n v="3494"/>
    <n v="281"/>
    <n v="309517"/>
    <n v="27.765518533715429"/>
    <n v="0.27765518533715428"/>
    <n v="3213"/>
    <n v="1.0380689913639638E-2"/>
    <x v="0"/>
    <n v="39197"/>
  </r>
  <r>
    <d v="2024-08-05T00:00:00"/>
    <x v="3"/>
    <n v="5349"/>
    <n v="502"/>
    <n v="320404"/>
    <n v="5.2152906954969351"/>
    <n v="5.2152906954969352E-2"/>
    <n v="4847"/>
    <n v="1.5127776182569505E-2"/>
    <x v="0"/>
    <n v="58868"/>
  </r>
  <r>
    <d v="2024-08-05T00:00:00"/>
    <x v="1"/>
    <n v="3719"/>
    <n v="222"/>
    <n v="313014"/>
    <n v="21.669318305251519"/>
    <n v="0.2166931830525152"/>
    <n v="3497"/>
    <n v="1.1172024254506188E-2"/>
    <x v="0"/>
    <n v="13586"/>
  </r>
  <r>
    <d v="2024-08-05T00:00:00"/>
    <x v="2"/>
    <n v="2884"/>
    <n v="341"/>
    <n v="315557"/>
    <n v="46.999749649033298"/>
    <n v="0.46999749649033296"/>
    <n v="2543"/>
    <n v="8.058765928184131E-3"/>
    <x v="0"/>
    <n v="26087"/>
  </r>
  <r>
    <d v="2024-08-12T00:00:00"/>
    <x v="0"/>
    <n v="7610"/>
    <n v="757"/>
    <n v="333052"/>
    <n v="44.450416151231643"/>
    <n v="0.44450416151231642"/>
    <n v="6853"/>
    <n v="2.0576366453286574E-2"/>
    <x v="0"/>
    <n v="39750"/>
  </r>
  <r>
    <d v="2024-08-12T00:00:00"/>
    <x v="1"/>
    <n v="6179"/>
    <n v="384"/>
    <n v="326199"/>
    <n v="14.71218489327067"/>
    <n v="0.14712184893270672"/>
    <n v="5795"/>
    <n v="1.7765229200580015E-2"/>
    <x v="0"/>
    <n v="33225"/>
  </r>
  <r>
    <d v="2024-08-12T00:00:00"/>
    <x v="1"/>
    <n v="8154"/>
    <n v="1149"/>
    <n v="347090"/>
    <n v="26.003918292085629"/>
    <n v="0.26003918292085632"/>
    <n v="7005"/>
    <n v="2.0182085338096747E-2"/>
    <x v="0"/>
    <n v="37523"/>
  </r>
  <r>
    <d v="2024-08-12T00:00:00"/>
    <x v="2"/>
    <n v="7430"/>
    <n v="397"/>
    <n v="340085"/>
    <n v="28.065042562888689"/>
    <n v="0.28065042562888687"/>
    <n v="7033"/>
    <n v="2.0680124086625402E-2"/>
    <x v="0"/>
    <n v="16643"/>
  </r>
  <r>
    <d v="2024-08-19T00:00:00"/>
    <x v="0"/>
    <n v="7488"/>
    <n v="568"/>
    <n v="354010"/>
    <n v="13.47730290104799"/>
    <n v="0.13477302901047991"/>
    <n v="6920"/>
    <n v="1.9547470410440384E-2"/>
    <x v="0"/>
    <n v="46727"/>
  </r>
  <r>
    <d v="2024-08-19T00:00:00"/>
    <x v="0"/>
    <n v="7525"/>
    <n v="610"/>
    <n v="365996"/>
    <n v="5.7694619613329108"/>
    <n v="5.7694619613329105E-2"/>
    <n v="6915"/>
    <n v="1.8893649110919244E-2"/>
    <x v="0"/>
    <n v="53543"/>
  </r>
  <r>
    <d v="2024-08-19T00:00:00"/>
    <x v="2"/>
    <n v="5737"/>
    <n v="666"/>
    <n v="359081"/>
    <n v="4.6034181702735593"/>
    <n v="4.6034181702735592E-2"/>
    <n v="5071"/>
    <n v="1.4122161852061233E-2"/>
    <x v="0"/>
    <n v="21005"/>
  </r>
  <r>
    <d v="2024-08-19T00:00:00"/>
    <x v="2"/>
    <n v="4850"/>
    <n v="494"/>
    <n v="370352"/>
    <n v="20.46539508359615"/>
    <n v="0.2046539508359615"/>
    <n v="4356"/>
    <n v="1.176178338445587E-2"/>
    <x v="0"/>
    <n v="10161"/>
  </r>
  <r>
    <d v="2024-08-26T00:00:00"/>
    <x v="0"/>
    <n v="9648"/>
    <n v="1417"/>
    <n v="385849"/>
    <n v="3.6633501706626168"/>
    <n v="3.6633501706626166E-2"/>
    <n v="8231"/>
    <n v="2.1332179168534842E-2"/>
    <x v="0"/>
    <n v="24226"/>
  </r>
  <r>
    <d v="2024-08-26T00:00:00"/>
    <x v="3"/>
    <n v="1689"/>
    <n v="176"/>
    <n v="371865"/>
    <n v="38.012181840183942"/>
    <n v="0.3801218184018394"/>
    <n v="1513"/>
    <n v="4.068680838476329E-3"/>
    <x v="0"/>
    <n v="26029"/>
  </r>
  <r>
    <d v="2024-08-26T00:00:00"/>
    <x v="1"/>
    <n v="6175"/>
    <n v="422"/>
    <n v="377618"/>
    <n v="37.86101298137271"/>
    <n v="0.3786101298137271"/>
    <n v="5753"/>
    <n v="1.523497290913039E-2"/>
    <x v="0"/>
    <n v="59745"/>
  </r>
  <r>
    <d v="2024-08-26T00:00:00"/>
    <x v="2"/>
    <n v="6078"/>
    <n v="775"/>
    <n v="391152"/>
    <n v="37.760512537325639"/>
    <n v="0.37760512537325641"/>
    <n v="5303"/>
    <n v="1.3557389454738823E-2"/>
    <x v="0"/>
    <n v="38731"/>
  </r>
  <r>
    <d v="2024-09-02T00:00:00"/>
    <x v="0"/>
    <n v="6448"/>
    <n v="928"/>
    <n v="396672"/>
    <n v="30.118586640851881"/>
    <n v="0.3011858664085188"/>
    <n v="5520"/>
    <n v="1.3915779283639884E-2"/>
    <x v="0"/>
    <n v="53922"/>
  </r>
  <r>
    <d v="2024-09-02T00:00:00"/>
    <x v="0"/>
    <n v="2179"/>
    <n v="303"/>
    <n v="398548"/>
    <n v="33.909842729106657"/>
    <n v="0.3390984272910666"/>
    <n v="1876"/>
    <n v="4.7070867248110645E-3"/>
    <x v="0"/>
    <n v="54848"/>
  </r>
  <r>
    <d v="2024-09-02T00:00:00"/>
    <x v="3"/>
    <n v="9591"/>
    <n v="1363"/>
    <n v="413369"/>
    <n v="10.494255737609739"/>
    <n v="0.1049425573760974"/>
    <n v="8228"/>
    <n v="1.9904734026983156E-2"/>
    <x v="0"/>
    <n v="15997"/>
  </r>
  <r>
    <d v="2024-09-02T00:00:00"/>
    <x v="1"/>
    <n v="7406"/>
    <n v="813"/>
    <n v="405141"/>
    <n v="24.457411123534769"/>
    <n v="0.2445741112353477"/>
    <n v="6593"/>
    <n v="1.6273346810122897E-2"/>
    <x v="0"/>
    <n v="13390"/>
  </r>
  <r>
    <d v="2024-09-09T00:00:00"/>
    <x v="0"/>
    <n v="7907"/>
    <n v="465"/>
    <n v="420811"/>
    <n v="33.257448118038738"/>
    <n v="0.3325744811803874"/>
    <n v="7442"/>
    <n v="1.76848989213685E-2"/>
    <x v="0"/>
    <n v="22693"/>
  </r>
  <r>
    <d v="2024-09-09T00:00:00"/>
    <x v="3"/>
    <n v="6671"/>
    <n v="550"/>
    <n v="438545"/>
    <n v="17.750287883797562"/>
    <n v="0.17750287883797561"/>
    <n v="6121"/>
    <n v="1.3957518612685129E-2"/>
    <x v="0"/>
    <n v="10541"/>
  </r>
  <r>
    <d v="2024-09-09T00:00:00"/>
    <x v="2"/>
    <n v="9800"/>
    <n v="682"/>
    <n v="429929"/>
    <n v="6.2966210699906267"/>
    <n v="6.2966210699906267E-2"/>
    <n v="9118"/>
    <n v="2.1208152974095722E-2"/>
    <x v="0"/>
    <n v="59815"/>
  </r>
  <r>
    <d v="2024-09-09T00:00:00"/>
    <x v="2"/>
    <n v="2638"/>
    <n v="143"/>
    <n v="432424"/>
    <n v="6.9547481175882924"/>
    <n v="6.9547481175882928E-2"/>
    <n v="2495"/>
    <n v="5.7698000111002165E-3"/>
    <x v="0"/>
    <n v="52092"/>
  </r>
  <r>
    <d v="2024-09-16T00:00:00"/>
    <x v="3"/>
    <n v="2382"/>
    <n v="183"/>
    <n v="447968"/>
    <n v="4.7335970426459033"/>
    <n v="4.7335970426459033E-2"/>
    <n v="2199"/>
    <n v="4.9088327737695546E-3"/>
    <x v="0"/>
    <n v="47861"/>
  </r>
  <r>
    <d v="2024-09-16T00:00:00"/>
    <x v="1"/>
    <n v="4292"/>
    <n v="367"/>
    <n v="453977"/>
    <n v="3.5037017293827661"/>
    <n v="3.503701729382766E-2"/>
    <n v="3925"/>
    <n v="8.6458124530537899E-3"/>
    <x v="0"/>
    <n v="53934"/>
  </r>
  <r>
    <d v="2024-09-16T00:00:00"/>
    <x v="2"/>
    <n v="7928"/>
    <n v="704"/>
    <n v="445769"/>
    <n v="11.194362999670229"/>
    <n v="0.11194362999670229"/>
    <n v="7224"/>
    <n v="1.6205702953772022E-2"/>
    <x v="0"/>
    <n v="31817"/>
  </r>
  <r>
    <d v="2024-09-16T00:00:00"/>
    <x v="2"/>
    <n v="2403"/>
    <n v="319"/>
    <n v="450052"/>
    <n v="29.92120910472568"/>
    <n v="0.29921209104725682"/>
    <n v="2084"/>
    <n v="4.6305760223263092E-3"/>
    <x v="0"/>
    <n v="23428"/>
  </r>
  <r>
    <d v="2024-09-23T00:00:00"/>
    <x v="0"/>
    <n v="1419"/>
    <n v="110"/>
    <n v="455286"/>
    <n v="31.554451487636339"/>
    <n v="0.31554451487636337"/>
    <n v="1309"/>
    <n v="2.8751158612388694E-3"/>
    <x v="0"/>
    <n v="58831"/>
  </r>
  <r>
    <d v="2024-09-23T00:00:00"/>
    <x v="0"/>
    <n v="4302"/>
    <n v="275"/>
    <n v="464255"/>
    <n v="15.72131694865968"/>
    <n v="0.1572131694865968"/>
    <n v="4027"/>
    <n v="8.6741122874282456E-3"/>
    <x v="0"/>
    <n v="26044"/>
  </r>
  <r>
    <d v="2024-09-23T00:00:00"/>
    <x v="0"/>
    <n v="8857"/>
    <n v="1153"/>
    <n v="471959"/>
    <n v="19.214592793018038"/>
    <n v="0.19214592793018037"/>
    <n v="7704"/>
    <n v="1.6323451825264481E-2"/>
    <x v="0"/>
    <n v="39411"/>
  </r>
  <r>
    <d v="2024-09-23T00:00:00"/>
    <x v="1"/>
    <n v="5517"/>
    <n v="575"/>
    <n v="460228"/>
    <n v="29.45844233727631"/>
    <n v="0.29458442337276308"/>
    <n v="4942"/>
    <n v="1.07381558705685E-2"/>
    <x v="0"/>
    <n v="20258"/>
  </r>
  <r>
    <d v="2024-09-30T00:00:00"/>
    <x v="0"/>
    <n v="8870"/>
    <n v="509"/>
    <n v="480320"/>
    <n v="25.077864756828781"/>
    <n v="0.25077864756828783"/>
    <n v="8361"/>
    <n v="1.7407145236508995E-2"/>
    <x v="0"/>
    <n v="15469"/>
  </r>
  <r>
    <d v="2024-09-30T00:00:00"/>
    <x v="0"/>
    <n v="1767"/>
    <n v="224"/>
    <n v="487561"/>
    <n v="13.208603641390511"/>
    <n v="0.13208603641390509"/>
    <n v="1543"/>
    <n v="3.1647322078673231E-3"/>
    <x v="0"/>
    <n v="16256"/>
  </r>
  <r>
    <d v="2024-09-30T00:00:00"/>
    <x v="1"/>
    <n v="6693"/>
    <n v="995"/>
    <n v="486018"/>
    <n v="23.761877132122681"/>
    <n v="0.2376187713212268"/>
    <n v="5698"/>
    <n v="1.1723845618886543E-2"/>
    <x v="0"/>
    <n v="38854"/>
  </r>
  <r>
    <d v="2024-09-30T00:00:00"/>
    <x v="1"/>
    <n v="3044"/>
    <n v="212"/>
    <n v="490393"/>
    <n v="8.5343795690395261"/>
    <n v="8.5343795690395255E-2"/>
    <n v="2832"/>
    <n v="5.7749600830354431E-3"/>
    <x v="0"/>
    <n v="20720"/>
  </r>
  <r>
    <d v="2024-10-07T00:00:00"/>
    <x v="0"/>
    <n v="5481"/>
    <n v="673"/>
    <n v="507970"/>
    <n v="13.08758391243577"/>
    <n v="0.13087583912435771"/>
    <n v="4808"/>
    <n v="9.4651258932614123E-3"/>
    <x v="2"/>
    <n v="29194"/>
  </r>
  <r>
    <d v="2024-10-07T00:00:00"/>
    <x v="3"/>
    <n v="2549"/>
    <n v="128"/>
    <n v="492814"/>
    <n v="12.734216154573531"/>
    <n v="0.1273421615457353"/>
    <n v="2421"/>
    <n v="4.9126039438814641E-3"/>
    <x v="2"/>
    <n v="43937"/>
  </r>
  <r>
    <d v="2024-10-07T00:00:00"/>
    <x v="2"/>
    <n v="7140"/>
    <n v="939"/>
    <n v="499015"/>
    <n v="25.120888149654821"/>
    <n v="0.25120888149654819"/>
    <n v="6201"/>
    <n v="1.2426480165926877E-2"/>
    <x v="2"/>
    <n v="43598"/>
  </r>
  <r>
    <d v="2024-10-07T00:00:00"/>
    <x v="2"/>
    <n v="4716"/>
    <n v="569"/>
    <n v="503162"/>
    <n v="25.64820077827817"/>
    <n v="0.25648200778278168"/>
    <n v="4147"/>
    <n v="8.2418783612434963E-3"/>
    <x v="2"/>
    <n v="11651"/>
  </r>
  <r>
    <d v="2024-10-14T00:00:00"/>
    <x v="1"/>
    <n v="8898"/>
    <n v="1131"/>
    <n v="515737"/>
    <n v="2.1877429775253669"/>
    <n v="2.1877429775253671E-2"/>
    <n v="7767"/>
    <n v="1.5060001512398761E-2"/>
    <x v="2"/>
    <n v="35051"/>
  </r>
  <r>
    <d v="2024-10-14T00:00:00"/>
    <x v="1"/>
    <n v="3293"/>
    <n v="282"/>
    <n v="525863"/>
    <n v="27.040693108281051"/>
    <n v="0.2704069310828105"/>
    <n v="3011"/>
    <n v="5.7258259280458983E-3"/>
    <x v="2"/>
    <n v="19518"/>
  </r>
  <r>
    <d v="2024-10-14T00:00:00"/>
    <x v="1"/>
    <n v="5837"/>
    <n v="359"/>
    <n v="531341"/>
    <n v="6.8073045370110723"/>
    <n v="6.8073045370110719E-2"/>
    <n v="5478"/>
    <n v="1.0309763409938251E-2"/>
    <x v="2"/>
    <n v="56026"/>
  </r>
  <r>
    <d v="2024-10-14T00:00:00"/>
    <x v="2"/>
    <n v="7548"/>
    <n v="433"/>
    <n v="522852"/>
    <n v="8.3562843787534522"/>
    <n v="8.3562843787534521E-2"/>
    <n v="7115"/>
    <n v="1.3608057347012157E-2"/>
    <x v="2"/>
    <n v="37386"/>
  </r>
  <r>
    <d v="2024-10-21T00:00:00"/>
    <x v="0"/>
    <n v="8758"/>
    <n v="1193"/>
    <n v="538906"/>
    <n v="3.4213758985797149"/>
    <n v="3.4213758985797149E-2"/>
    <n v="7565"/>
    <n v="1.4037698596786824E-2"/>
    <x v="2"/>
    <n v="26184"/>
  </r>
  <r>
    <d v="2024-10-21T00:00:00"/>
    <x v="0"/>
    <n v="8638"/>
    <n v="717"/>
    <n v="553745"/>
    <n v="26.921416897669499"/>
    <n v="0.26921416897669498"/>
    <n v="7921"/>
    <n v="1.4304418098583283E-2"/>
    <x v="2"/>
    <n v="31621"/>
  </r>
  <r>
    <d v="2024-10-21T00:00:00"/>
    <x v="0"/>
    <n v="8993"/>
    <n v="506"/>
    <n v="562232"/>
    <n v="3.5131404829323132"/>
    <n v="3.5131404829323129E-2"/>
    <n v="8487"/>
    <n v="1.509519202037593E-2"/>
    <x v="2"/>
    <n v="20028"/>
  </r>
  <r>
    <d v="2024-10-21T00:00:00"/>
    <x v="2"/>
    <n v="7793"/>
    <n v="875"/>
    <n v="545824"/>
    <n v="5.5136820660139527"/>
    <n v="5.5136820660139529E-2"/>
    <n v="6918"/>
    <n v="1.267441519610717E-2"/>
    <x v="2"/>
    <n v="43787"/>
  </r>
  <r>
    <d v="2024-10-28T00:00:00"/>
    <x v="3"/>
    <n v="7356"/>
    <n v="904"/>
    <n v="581126"/>
    <n v="17.560907617280929"/>
    <n v="0.1756090761728093"/>
    <n v="6452"/>
    <n v="1.1102583604932494E-2"/>
    <x v="2"/>
    <n v="44051"/>
  </r>
  <r>
    <d v="2024-10-28T00:00:00"/>
    <x v="3"/>
    <n v="9433"/>
    <n v="1073"/>
    <n v="589486"/>
    <n v="7.2934726185185053"/>
    <n v="7.2934726185185053E-2"/>
    <n v="8360"/>
    <n v="1.4181846557848703E-2"/>
    <x v="2"/>
    <n v="59811"/>
  </r>
  <r>
    <d v="2024-10-28T00:00:00"/>
    <x v="2"/>
    <n v="7007"/>
    <n v="568"/>
    <n v="568671"/>
    <n v="11.50507059442103"/>
    <n v="0.1150507059442103"/>
    <n v="6439"/>
    <n v="1.1322891443382905E-2"/>
    <x v="2"/>
    <n v="22448"/>
  </r>
  <r>
    <d v="2024-10-28T00:00:00"/>
    <x v="2"/>
    <n v="6542"/>
    <n v="539"/>
    <n v="574674"/>
    <n v="6.4069368024305948"/>
    <n v="6.4069368024305948E-2"/>
    <n v="6003"/>
    <n v="1.0445922383821088E-2"/>
    <x v="2"/>
    <n v="55253"/>
  </r>
  <r>
    <d v="2024-11-04T00:00:00"/>
    <x v="3"/>
    <n v="5268"/>
    <n v="326"/>
    <n v="604702"/>
    <n v="23.435841125050029"/>
    <n v="0.23435841125050028"/>
    <n v="4942"/>
    <n v="8.1726205635172366E-3"/>
    <x v="0"/>
    <n v="44501"/>
  </r>
  <r>
    <d v="2024-11-04T00:00:00"/>
    <x v="1"/>
    <n v="8380"/>
    <n v="1162"/>
    <n v="596704"/>
    <n v="18.05853488496809"/>
    <n v="0.18058534884968089"/>
    <n v="7218"/>
    <n v="1.2096449831072022E-2"/>
    <x v="0"/>
    <n v="40447"/>
  </r>
  <r>
    <d v="2024-11-04T00:00:00"/>
    <x v="1"/>
    <n v="1671"/>
    <n v="202"/>
    <n v="606171"/>
    <n v="15.150015424690389"/>
    <n v="0.15150015424690388"/>
    <n v="1469"/>
    <n v="2.4234085761278583E-3"/>
    <x v="0"/>
    <n v="40254"/>
  </r>
  <r>
    <d v="2024-11-04T00:00:00"/>
    <x v="2"/>
    <n v="3385"/>
    <n v="329"/>
    <n v="599760"/>
    <n v="17.61788048552755"/>
    <n v="0.17617880485527551"/>
    <n v="3056"/>
    <n v="5.0953714819261036E-3"/>
    <x v="0"/>
    <n v="28394"/>
  </r>
  <r>
    <d v="2024-11-11T00:00:00"/>
    <x v="3"/>
    <n v="5592"/>
    <n v="710"/>
    <n v="620702"/>
    <n v="9.07118069540617"/>
    <n v="9.0711806954061697E-2"/>
    <n v="4882"/>
    <n v="7.8652880126050834E-3"/>
    <x v="0"/>
    <n v="24472"/>
  </r>
  <r>
    <d v="2024-11-11T00:00:00"/>
    <x v="1"/>
    <n v="1163"/>
    <n v="146"/>
    <n v="607188"/>
    <n v="21.77776899411715"/>
    <n v="0.2177776899411715"/>
    <n v="1017"/>
    <n v="1.6749342872388782E-3"/>
    <x v="0"/>
    <n v="28509"/>
  </r>
  <r>
    <d v="2024-11-11T00:00:00"/>
    <x v="1"/>
    <n v="9656"/>
    <n v="1024"/>
    <n v="615820"/>
    <n v="8.7252768666168681"/>
    <n v="8.7252768666168684E-2"/>
    <n v="8632"/>
    <n v="1.401708291383846E-2"/>
    <x v="0"/>
    <n v="58998"/>
  </r>
  <r>
    <d v="2024-11-11T00:00:00"/>
    <x v="2"/>
    <n v="5795"/>
    <n v="575"/>
    <n v="625922"/>
    <n v="3.0908004511744269"/>
    <n v="3.0908004511744268E-2"/>
    <n v="5220"/>
    <n v="8.3396972785746461E-3"/>
    <x v="0"/>
    <n v="55657"/>
  </r>
  <r>
    <d v="2024-11-18T00:00:00"/>
    <x v="0"/>
    <n v="5798"/>
    <n v="592"/>
    <n v="631128"/>
    <n v="1.6774727155188811"/>
    <n v="1.6774727155188809E-2"/>
    <n v="5206"/>
    <n v="8.2487229214992831E-3"/>
    <x v="0"/>
    <n v="13471"/>
  </r>
  <r>
    <d v="2024-11-18T00:00:00"/>
    <x v="3"/>
    <n v="3355"/>
    <n v="176"/>
    <n v="640691"/>
    <n v="12.426427091999111"/>
    <n v="0.12426427091999111"/>
    <n v="3179"/>
    <n v="4.9618302738761748E-3"/>
    <x v="0"/>
    <n v="40268"/>
  </r>
  <r>
    <d v="2024-11-18T00:00:00"/>
    <x v="3"/>
    <n v="6887"/>
    <n v="418"/>
    <n v="647160"/>
    <n v="20.240280610668151"/>
    <n v="0.20240280610668152"/>
    <n v="6469"/>
    <n v="9.9959824463811114E-3"/>
    <x v="0"/>
    <n v="18329"/>
  </r>
  <r>
    <d v="2024-11-18T00:00:00"/>
    <x v="1"/>
    <n v="7036"/>
    <n v="652"/>
    <n v="637512"/>
    <n v="3.5705994553828009"/>
    <n v="3.5705994553828009E-2"/>
    <n v="6384"/>
    <n v="1.0013929149568949E-2"/>
    <x v="0"/>
    <n v="51796"/>
  </r>
  <r>
    <d v="2024-11-25T00:00:00"/>
    <x v="0"/>
    <n v="8961"/>
    <n v="476"/>
    <n v="655645"/>
    <n v="15.458517947974901"/>
    <n v="0.15458517947974901"/>
    <n v="8485"/>
    <n v="1.2941454598143812E-2"/>
    <x v="0"/>
    <n v="44865"/>
  </r>
  <r>
    <d v="2024-11-25T00:00:00"/>
    <x v="0"/>
    <n v="6827"/>
    <n v="775"/>
    <n v="661697"/>
    <n v="15.96622018839439"/>
    <n v="0.15966220188394389"/>
    <n v="6052"/>
    <n v="9.1461802003031598E-3"/>
    <x v="0"/>
    <n v="56850"/>
  </r>
  <r>
    <d v="2024-11-25T00:00:00"/>
    <x v="3"/>
    <n v="9737"/>
    <n v="792"/>
    <n v="670642"/>
    <n v="5.301785453341723"/>
    <n v="5.301785453341723E-2"/>
    <n v="8945"/>
    <n v="1.3337965710468476E-2"/>
    <x v="0"/>
    <n v="56698"/>
  </r>
  <r>
    <d v="2024-11-25T00:00:00"/>
    <x v="2"/>
    <n v="5719"/>
    <n v="576"/>
    <n v="675785"/>
    <n v="10.21656296011305"/>
    <n v="0.1021656296011305"/>
    <n v="5143"/>
    <n v="7.6104086358827145E-3"/>
    <x v="0"/>
    <n v="38272"/>
  </r>
  <r>
    <d v="2024-12-02T00:00:00"/>
    <x v="0"/>
    <n v="1593"/>
    <n v="224"/>
    <n v="677154"/>
    <n v="4.1495730660972248"/>
    <n v="4.1495730660972251E-2"/>
    <n v="1369"/>
    <n v="2.0216966893793729E-3"/>
    <x v="0"/>
    <n v="52845"/>
  </r>
  <r>
    <d v="2024-12-02T00:00:00"/>
    <x v="0"/>
    <n v="8394"/>
    <n v="764"/>
    <n v="690186"/>
    <n v="6.3556780346167558"/>
    <n v="6.355678034616756E-2"/>
    <n v="7630"/>
    <n v="1.1054990973447738E-2"/>
    <x v="0"/>
    <n v="42373"/>
  </r>
  <r>
    <d v="2024-12-02T00:00:00"/>
    <x v="3"/>
    <n v="5839"/>
    <n v="437"/>
    <n v="682556"/>
    <n v="17.44750613869045"/>
    <n v="0.1744750613869045"/>
    <n v="5402"/>
    <n v="7.9143689309009082E-3"/>
    <x v="0"/>
    <n v="16397"/>
  </r>
  <r>
    <d v="2024-12-02T00:00:00"/>
    <x v="2"/>
    <n v="4493"/>
    <n v="564"/>
    <n v="694115"/>
    <n v="16.625487131094989"/>
    <n v="0.16625487131094988"/>
    <n v="3929"/>
    <n v="5.660445315257558E-3"/>
    <x v="0"/>
    <n v="45525"/>
  </r>
  <r>
    <d v="2024-12-09T00:00:00"/>
    <x v="0"/>
    <n v="3672"/>
    <n v="211"/>
    <n v="704218"/>
    <n v="12.35057894004413"/>
    <n v="0.1235057894004413"/>
    <n v="3461"/>
    <n v="4.9146713091684675E-3"/>
    <x v="0"/>
    <n v="28284"/>
  </r>
  <r>
    <d v="2024-12-09T00:00:00"/>
    <x v="3"/>
    <n v="1016"/>
    <n v="67"/>
    <n v="709957"/>
    <n v="20.774215903216671"/>
    <n v="0.20774215903216672"/>
    <n v="949"/>
    <n v="1.3367006734210664E-3"/>
    <x v="0"/>
    <n v="33284"/>
  </r>
  <r>
    <d v="2024-12-09T00:00:00"/>
    <x v="1"/>
    <n v="7164"/>
    <n v="522"/>
    <n v="700757"/>
    <n v="13.449169969047761"/>
    <n v="0.13449169969047761"/>
    <n v="6642"/>
    <n v="9.4783213011072308E-3"/>
    <x v="0"/>
    <n v="34570"/>
  </r>
  <r>
    <d v="2024-12-09T00:00:00"/>
    <x v="2"/>
    <n v="5200"/>
    <n v="410"/>
    <n v="709008"/>
    <n v="12.913394489201821"/>
    <n v="0.12913394489201821"/>
    <n v="4790"/>
    <n v="6.7559181278631555E-3"/>
    <x v="0"/>
    <n v="28994"/>
  </r>
  <r>
    <d v="2024-12-16T00:00:00"/>
    <x v="0"/>
    <n v="4191"/>
    <n v="599"/>
    <n v="713549"/>
    <n v="11.56416728213479"/>
    <n v="0.11564167282134789"/>
    <n v="3592"/>
    <n v="5.033992059410076E-3"/>
    <x v="0"/>
    <n v="27833"/>
  </r>
  <r>
    <d v="2024-12-16T00:00:00"/>
    <x v="0"/>
    <n v="1392"/>
    <n v="182"/>
    <n v="714759"/>
    <n v="5.9603306848881932"/>
    <n v="5.9603306848881932E-2"/>
    <n v="1210"/>
    <n v="1.6928782988391892E-3"/>
    <x v="0"/>
    <n v="35122"/>
  </r>
  <r>
    <d v="2024-12-16T00:00:00"/>
    <x v="3"/>
    <n v="9616"/>
    <n v="1089"/>
    <n v="723286"/>
    <n v="19.25863351426683"/>
    <n v="0.19258633514266829"/>
    <n v="8527"/>
    <n v="1.178925072516266E-2"/>
    <x v="0"/>
    <n v="15017"/>
  </r>
  <r>
    <d v="2024-12-16T00:00:00"/>
    <x v="1"/>
    <n v="7272"/>
    <n v="997"/>
    <n v="729561"/>
    <n v="13.428486445958599"/>
    <n v="0.13428486445958598"/>
    <n v="6275"/>
    <n v="8.6010628309353167E-3"/>
    <x v="0"/>
    <n v="26370"/>
  </r>
  <r>
    <d v="2024-12-23T00:00:00"/>
    <x v="0"/>
    <n v="4631"/>
    <n v="317"/>
    <n v="735242"/>
    <n v="1.381177897889402"/>
    <n v="1.381177897889402E-2"/>
    <n v="4314"/>
    <n v="5.8674558852731479E-3"/>
    <x v="0"/>
    <n v="17999"/>
  </r>
  <r>
    <d v="2024-12-23T00:00:00"/>
    <x v="3"/>
    <n v="1571"/>
    <n v="204"/>
    <n v="730928"/>
    <n v="19.449384891535139"/>
    <n v="0.1944938489153514"/>
    <n v="1367"/>
    <n v="1.8702252479040344E-3"/>
    <x v="0"/>
    <n v="39252"/>
  </r>
  <r>
    <d v="2024-12-23T00:00:00"/>
    <x v="3"/>
    <n v="7172"/>
    <n v="998"/>
    <n v="741416"/>
    <n v="18.0667803230575"/>
    <n v="0.18066780323057499"/>
    <n v="6174"/>
    <n v="8.32730882527488E-3"/>
    <x v="0"/>
    <n v="32436"/>
  </r>
  <r>
    <d v="2024-12-23T00:00:00"/>
    <x v="2"/>
    <n v="8177"/>
    <n v="849"/>
    <n v="748744"/>
    <n v="10.34986590877523"/>
    <n v="0.1034986590877523"/>
    <n v="7328"/>
    <n v="9.7870567243276748E-3"/>
    <x v="0"/>
    <n v="52963"/>
  </r>
  <r>
    <d v="2024-12-30T00:00:00"/>
    <x v="0"/>
    <n v="4897"/>
    <n v="683"/>
    <n v="761158"/>
    <n v="15.06231294947961"/>
    <n v="0.15062312949479609"/>
    <n v="4214"/>
    <n v="5.5363012672795921E-3"/>
    <x v="3"/>
    <n v="58201"/>
  </r>
  <r>
    <d v="2024-12-30T00:00:00"/>
    <x v="3"/>
    <n v="9433"/>
    <n v="1233"/>
    <n v="756944"/>
    <n v="11.391727789638329"/>
    <n v="0.1139172778963833"/>
    <n v="8200"/>
    <n v="1.0833033883616226E-2"/>
    <x v="3"/>
    <n v="12096"/>
  </r>
  <r>
    <d v="2024-12-30T00:00:00"/>
    <x v="3"/>
    <n v="9123"/>
    <n v="746"/>
    <n v="769535"/>
    <n v="6.3086149427901264"/>
    <n v="6.3086149427901264E-2"/>
    <n v="8377"/>
    <n v="1.0885794668208723E-2"/>
    <x v="3"/>
    <n v="35279"/>
  </r>
  <r>
    <d v="2024-12-30T00:00:00"/>
    <x v="1"/>
    <n v="3279"/>
    <n v="200"/>
    <n v="772614"/>
    <n v="5.0212654702089274"/>
    <n v="5.0212654702089271E-2"/>
    <n v="3079"/>
    <n v="3.9851724146857288E-3"/>
    <x v="3"/>
    <n v="53363"/>
  </r>
  <r>
    <d v="2025-01-06T00:00:00"/>
    <x v="3"/>
    <n v="9980"/>
    <n v="726"/>
    <n v="781868"/>
    <n v="4.0220344099003924"/>
    <n v="4.0220344099003921E-2"/>
    <n v="9254"/>
    <n v="1.1835757442432739E-2"/>
    <x v="3"/>
    <n v="58709"/>
  </r>
  <r>
    <d v="2025-01-06T00:00:00"/>
    <x v="1"/>
    <n v="8451"/>
    <n v="783"/>
    <n v="789536"/>
    <n v="12.407287318121019"/>
    <n v="0.1240728731812102"/>
    <n v="7668"/>
    <n v="9.7120333968305442E-3"/>
    <x v="3"/>
    <n v="36201"/>
  </r>
  <r>
    <d v="2025-01-06T00:00:00"/>
    <x v="1"/>
    <n v="1775"/>
    <n v="241"/>
    <n v="799671"/>
    <n v="8.1379717408784362"/>
    <n v="8.1379717408784358E-2"/>
    <n v="1534"/>
    <n v="1.918288896308607E-3"/>
    <x v="3"/>
    <n v="39309"/>
  </r>
  <r>
    <d v="2025-01-06T00:00:00"/>
    <x v="2"/>
    <n v="9906"/>
    <n v="1305"/>
    <n v="798137"/>
    <n v="9.1811305577864442"/>
    <n v="9.1811305577864447E-2"/>
    <n v="8601"/>
    <n v="1.0776345414383746E-2"/>
    <x v="3"/>
    <n v="29715"/>
  </r>
  <r>
    <d v="2025-01-13T00:00:00"/>
    <x v="0"/>
    <n v="3247"/>
    <n v="328"/>
    <n v="810061"/>
    <n v="13.941172331466399"/>
    <n v="0.139411723314664"/>
    <n v="2919"/>
    <n v="3.6034323341081723E-3"/>
    <x v="0"/>
    <n v="15105"/>
  </r>
  <r>
    <d v="2025-01-13T00:00:00"/>
    <x v="3"/>
    <n v="7869"/>
    <n v="398"/>
    <n v="807142"/>
    <n v="15.211945357818079"/>
    <n v="0.1521194535781808"/>
    <n v="7471"/>
    <n v="9.2561160241940079E-3"/>
    <x v="0"/>
    <n v="25078"/>
  </r>
  <r>
    <d v="2025-01-13T00:00:00"/>
    <x v="1"/>
    <n v="8088"/>
    <n v="742"/>
    <n v="817407"/>
    <n v="14.664542877660701"/>
    <n v="0.146645428776607"/>
    <n v="7346"/>
    <n v="8.9869550909155421E-3"/>
    <x v="0"/>
    <n v="39312"/>
  </r>
  <r>
    <d v="2025-01-13T00:00:00"/>
    <x v="2"/>
    <n v="1078"/>
    <n v="77"/>
    <n v="818408"/>
    <n v="18.236747441373989"/>
    <n v="0.18236747441373991"/>
    <n v="1001"/>
    <n v="1.2231063234963489E-3"/>
    <x v="0"/>
    <n v="12839"/>
  </r>
  <r>
    <d v="2025-01-20T00:00:00"/>
    <x v="1"/>
    <n v="9080"/>
    <n v="562"/>
    <n v="826926"/>
    <n v="7.1083748727213809"/>
    <n v="7.1083748727213805E-2"/>
    <n v="8518"/>
    <n v="1.0300800797169276E-2"/>
    <x v="0"/>
    <n v="13384"/>
  </r>
  <r>
    <d v="2025-01-20T00:00:00"/>
    <x v="1"/>
    <n v="8099"/>
    <n v="678"/>
    <n v="834347"/>
    <n v="7.6464588474579518"/>
    <n v="7.6464588474579515E-2"/>
    <n v="7421"/>
    <n v="8.8943808751035247E-3"/>
    <x v="0"/>
    <n v="53619"/>
  </r>
  <r>
    <d v="2025-01-20T00:00:00"/>
    <x v="1"/>
    <n v="4926"/>
    <n v="710"/>
    <n v="838563"/>
    <n v="12.96217457722318"/>
    <n v="0.12962174577223182"/>
    <n v="4216"/>
    <n v="5.0276484891415433E-3"/>
    <x v="0"/>
    <n v="52821"/>
  </r>
  <r>
    <d v="2025-01-20T00:00:00"/>
    <x v="2"/>
    <n v="8340"/>
    <n v="686"/>
    <n v="846217"/>
    <n v="7.201344336027284"/>
    <n v="7.2013443360272836E-2"/>
    <n v="7654"/>
    <n v="9.0449612806171465E-3"/>
    <x v="0"/>
    <n v="23493"/>
  </r>
  <r>
    <d v="2025-01-27T00:00:00"/>
    <x v="0"/>
    <n v="4271"/>
    <n v="628"/>
    <n v="868909"/>
    <n v="11.124410036033691"/>
    <n v="0.11124410036033691"/>
    <n v="3643"/>
    <n v="4.1926139561219876E-3"/>
    <x v="0"/>
    <n v="47051"/>
  </r>
  <r>
    <d v="2025-01-27T00:00:00"/>
    <x v="3"/>
    <n v="8083"/>
    <n v="823"/>
    <n v="853477"/>
    <n v="4.6300017457998282"/>
    <n v="4.6300017457998284E-2"/>
    <n v="7260"/>
    <n v="8.5063803711172073E-3"/>
    <x v="0"/>
    <n v="27069"/>
  </r>
  <r>
    <d v="2025-01-27T00:00:00"/>
    <x v="1"/>
    <n v="7230"/>
    <n v="869"/>
    <n v="859838"/>
    <n v="7.0117859410726204"/>
    <n v="7.0117859410726208E-2"/>
    <n v="6361"/>
    <n v="7.397905186791E-3"/>
    <x v="0"/>
    <n v="56907"/>
  </r>
  <r>
    <d v="2025-01-27T00:00:00"/>
    <x v="1"/>
    <n v="5940"/>
    <n v="512"/>
    <n v="865266"/>
    <n v="15.7972230504839"/>
    <n v="0.157972230504839"/>
    <n v="5428"/>
    <n v="6.2732154042803023E-3"/>
    <x v="0"/>
    <n v="17531"/>
  </r>
  <r>
    <d v="2025-02-03T00:00:00"/>
    <x v="1"/>
    <n v="8788"/>
    <n v="660"/>
    <n v="880842"/>
    <n v="3.7175793161543158"/>
    <n v="3.7175793161543159E-2"/>
    <n v="8128"/>
    <n v="9.2275345635199051E-3"/>
    <x v="0"/>
    <n v="17710"/>
  </r>
  <r>
    <d v="2025-02-03T00:00:00"/>
    <x v="1"/>
    <n v="8650"/>
    <n v="692"/>
    <n v="897442"/>
    <n v="7.6673478620345374"/>
    <n v="7.6673478620345376E-2"/>
    <n v="7958"/>
    <n v="8.8674254157928862E-3"/>
    <x v="0"/>
    <n v="23975"/>
  </r>
  <r>
    <d v="2025-02-03T00:00:00"/>
    <x v="2"/>
    <n v="4456"/>
    <n v="651"/>
    <n v="872714"/>
    <n v="9.5052903929580594"/>
    <n v="9.5052903929580601E-2"/>
    <n v="3805"/>
    <n v="4.3599621410908961E-3"/>
    <x v="0"/>
    <n v="17736"/>
  </r>
  <r>
    <d v="2025-02-03T00:00:00"/>
    <x v="2"/>
    <n v="9599"/>
    <n v="957"/>
    <n v="889484"/>
    <n v="8.768004820772493"/>
    <n v="8.7680048207724931E-2"/>
    <n v="8642"/>
    <n v="9.7157453085159485E-3"/>
    <x v="0"/>
    <n v="11619"/>
  </r>
  <r>
    <d v="2025-02-10T00:00:00"/>
    <x v="3"/>
    <n v="3711"/>
    <n v="291"/>
    <n v="900862"/>
    <n v="14.24879726306582"/>
    <n v="0.14248797263065818"/>
    <n v="3420"/>
    <n v="3.7963639269943676E-3"/>
    <x v="0"/>
    <n v="55603"/>
  </r>
  <r>
    <d v="2025-02-10T00:00:00"/>
    <x v="3"/>
    <n v="2668"/>
    <n v="143"/>
    <n v="903387"/>
    <n v="15.903372530266649"/>
    <n v="0.15903372530266649"/>
    <n v="2525"/>
    <n v="2.795036900021807E-3"/>
    <x v="0"/>
    <n v="33252"/>
  </r>
  <r>
    <d v="2025-02-10T00:00:00"/>
    <x v="3"/>
    <n v="7420"/>
    <n v="743"/>
    <n v="911084"/>
    <n v="10.593534734448189"/>
    <n v="0.1059353473444819"/>
    <n v="6677"/>
    <n v="7.3286327056561193E-3"/>
    <x v="0"/>
    <n v="11431"/>
  </r>
  <r>
    <d v="2025-02-10T00:00:00"/>
    <x v="1"/>
    <n v="1147"/>
    <n v="127"/>
    <n v="904407"/>
    <n v="1.3997016829812241"/>
    <n v="1.3997016829812241E-2"/>
    <n v="1020"/>
    <n v="1.1278108196862695E-3"/>
    <x v="0"/>
    <n v="25261"/>
  </r>
  <r>
    <d v="2025-02-17T00:00:00"/>
    <x v="0"/>
    <n v="6330"/>
    <n v="891"/>
    <n v="922914"/>
    <n v="14.789893749580139"/>
    <n v="0.14789893749580141"/>
    <n v="5439"/>
    <n v="5.8932901657142486E-3"/>
    <x v="0"/>
    <n v="37037"/>
  </r>
  <r>
    <d v="2025-02-17T00:00:00"/>
    <x v="0"/>
    <n v="6510"/>
    <n v="481"/>
    <n v="928943"/>
    <n v="2.3800168578696428"/>
    <n v="2.3800168578696428E-2"/>
    <n v="6029"/>
    <n v="6.4901721634158397E-3"/>
    <x v="0"/>
    <n v="19557"/>
  </r>
  <r>
    <d v="2025-02-17T00:00:00"/>
    <x v="3"/>
    <n v="5531"/>
    <n v="430"/>
    <n v="917475"/>
    <n v="2.7289026948963189"/>
    <n v="2.728902694896319E-2"/>
    <n v="5101"/>
    <n v="5.5598245183792472E-3"/>
    <x v="0"/>
    <n v="47481"/>
  </r>
  <r>
    <d v="2025-02-17T00:00:00"/>
    <x v="1"/>
    <n v="1365"/>
    <n v="75"/>
    <n v="912374"/>
    <n v="9.2688963078737441"/>
    <n v="9.2688963078737446E-2"/>
    <n v="1290"/>
    <n v="1.4138938637006315E-3"/>
    <x v="0"/>
    <n v="19067"/>
  </r>
  <r>
    <d v="2025-02-24T00:00:00"/>
    <x v="0"/>
    <n v="9754"/>
    <n v="629"/>
    <n v="938068"/>
    <n v="3.4123325814333292"/>
    <n v="3.4123325814333291E-2"/>
    <n v="9125"/>
    <n v="9.7274398018054129E-3"/>
    <x v="0"/>
    <n v="19435"/>
  </r>
  <r>
    <d v="2025-02-24T00:00:00"/>
    <x v="0"/>
    <n v="6439"/>
    <n v="477"/>
    <n v="959389"/>
    <n v="7.4744446725989153"/>
    <n v="7.474444672598915E-2"/>
    <n v="5962"/>
    <n v="6.2143718554204808E-3"/>
    <x v="0"/>
    <n v="44742"/>
  </r>
  <r>
    <d v="2025-02-24T00:00:00"/>
    <x v="2"/>
    <n v="9964"/>
    <n v="985"/>
    <n v="947047"/>
    <n v="1.9837452629066989"/>
    <n v="1.9837452629066988E-2"/>
    <n v="8979"/>
    <n v="9.4810500429228957E-3"/>
    <x v="0"/>
    <n v="47766"/>
  </r>
  <r>
    <d v="2025-02-24T00:00:00"/>
    <x v="2"/>
    <n v="7493"/>
    <n v="1113"/>
    <n v="953427"/>
    <n v="15.684892498324469"/>
    <n v="0.15684892498324468"/>
    <n v="6380"/>
    <n v="6.6916502259743013E-3"/>
    <x v="0"/>
    <n v="10162"/>
  </r>
  <r>
    <d v="2025-03-03T00:00:00"/>
    <x v="3"/>
    <n v="8504"/>
    <n v="1072"/>
    <n v="973452"/>
    <n v="6.5651927367759271"/>
    <n v="6.5651927367759266E-2"/>
    <n v="7432"/>
    <n v="7.6346856342171983E-3"/>
    <x v="4"/>
    <n v="18461"/>
  </r>
  <r>
    <d v="2025-03-03T00:00:00"/>
    <x v="1"/>
    <n v="2246"/>
    <n v="165"/>
    <n v="975533"/>
    <n v="2.9062061457685191"/>
    <n v="2.9062061457685192E-2"/>
    <n v="2081"/>
    <n v="2.1331928289458173E-3"/>
    <x v="4"/>
    <n v="27015"/>
  </r>
  <r>
    <d v="2025-03-03T00:00:00"/>
    <x v="1"/>
    <n v="4839"/>
    <n v="594"/>
    <n v="979778"/>
    <n v="2.5803804535313102"/>
    <n v="2.5803804535313103E-2"/>
    <n v="4245"/>
    <n v="4.3326141227910814E-3"/>
    <x v="4"/>
    <n v="42591"/>
  </r>
  <r>
    <d v="2025-03-03T00:00:00"/>
    <x v="2"/>
    <n v="7511"/>
    <n v="880"/>
    <n v="966020"/>
    <n v="4.6083932009689246"/>
    <n v="4.6083932009689244E-2"/>
    <n v="6631"/>
    <n v="6.8642471170369144E-3"/>
    <x v="4"/>
    <n v="29675"/>
  </r>
  <r>
    <d v="2025-03-10T00:00:00"/>
    <x v="0"/>
    <n v="3376"/>
    <n v="382"/>
    <n v="991495"/>
    <n v="3.8694093263203548"/>
    <n v="3.8694093263203548E-2"/>
    <n v="2994"/>
    <n v="3.0196823988018094E-3"/>
    <x v="4"/>
    <n v="44782"/>
  </r>
  <r>
    <d v="2025-03-10T00:00:00"/>
    <x v="3"/>
    <n v="2827"/>
    <n v="292"/>
    <n v="997585"/>
    <n v="2.4004972007397871"/>
    <n v="2.400497200739787E-2"/>
    <n v="2535"/>
    <n v="2.5411368454818384E-3"/>
    <x v="4"/>
    <n v="17896"/>
  </r>
  <r>
    <d v="2025-03-10T00:00:00"/>
    <x v="1"/>
    <n v="9551"/>
    <n v="828"/>
    <n v="988501"/>
    <n v="1.525036393488727"/>
    <n v="1.5250363934887269E-2"/>
    <n v="8723"/>
    <n v="8.8244726105487E-3"/>
    <x v="4"/>
    <n v="38047"/>
  </r>
  <r>
    <d v="2025-03-10T00:00:00"/>
    <x v="2"/>
    <n v="4009"/>
    <n v="454"/>
    <n v="995050"/>
    <n v="2.1106477061454201"/>
    <n v="2.1106477061454201E-2"/>
    <n v="3555"/>
    <n v="3.5726847897090599E-3"/>
    <x v="4"/>
    <n v="19833"/>
  </r>
  <r>
    <d v="2025-03-17T00:00:00"/>
    <x v="0"/>
    <n v="9569"/>
    <n v="1277"/>
    <n v="1013386"/>
    <n v="12.45517502708741"/>
    <n v="0.1245517502708741"/>
    <n v="8292"/>
    <n v="8.1824694637581338E-3"/>
    <x v="4"/>
    <n v="59733"/>
  </r>
  <r>
    <d v="2025-03-17T00:00:00"/>
    <x v="3"/>
    <n v="7979"/>
    <n v="470"/>
    <n v="1005094"/>
    <n v="10.43086517280971"/>
    <n v="0.1043086517280971"/>
    <n v="7509"/>
    <n v="7.4709430162750948E-3"/>
    <x v="4"/>
    <n v="42972"/>
  </r>
  <r>
    <d v="2025-03-17T00:00:00"/>
    <x v="3"/>
    <n v="5285"/>
    <n v="433"/>
    <n v="1018238"/>
    <n v="8.7022876773406619"/>
    <n v="8.7022876773406616E-2"/>
    <n v="4852"/>
    <n v="4.7650942117658151E-3"/>
    <x v="4"/>
    <n v="51800"/>
  </r>
  <r>
    <d v="2025-03-17T00:00:00"/>
    <x v="3"/>
    <n v="7910"/>
    <n v="543"/>
    <n v="1025605"/>
    <n v="6.0590578244060822"/>
    <n v="6.0590578244060819E-2"/>
    <n v="7367"/>
    <n v="7.183077305590359E-3"/>
    <x v="4"/>
    <n v="40508"/>
  </r>
  <r>
    <d v="2025-03-24T00:00:00"/>
    <x v="3"/>
    <n v="9561"/>
    <n v="517"/>
    <n v="1034649"/>
    <n v="6.4086467971263694"/>
    <n v="6.4086467971263689E-2"/>
    <n v="9044"/>
    <n v="8.741128633961856E-3"/>
    <x v="4"/>
    <n v="15347"/>
  </r>
  <r>
    <d v="2025-03-24T00:00:00"/>
    <x v="3"/>
    <n v="3196"/>
    <n v="348"/>
    <n v="1037497"/>
    <n v="14.03040201562029"/>
    <n v="0.14030402015620289"/>
    <n v="2848"/>
    <n v="2.7450681785103955E-3"/>
    <x v="4"/>
    <n v="40314"/>
  </r>
  <r>
    <d v="2025-03-24T00:00:00"/>
    <x v="3"/>
    <n v="9843"/>
    <n v="508"/>
    <n v="1051021"/>
    <n v="4.2080986012648651"/>
    <n v="4.2080986012648654E-2"/>
    <n v="9335"/>
    <n v="8.8818396587699005E-3"/>
    <x v="4"/>
    <n v="50785"/>
  </r>
  <r>
    <d v="2025-03-24T00:00:00"/>
    <x v="2"/>
    <n v="4747"/>
    <n v="558"/>
    <n v="1041686"/>
    <n v="5.7680529449373434"/>
    <n v="5.7680529449373436E-2"/>
    <n v="4189"/>
    <n v="4.021365363458854E-3"/>
    <x v="4"/>
    <n v="12643"/>
  </r>
  <r>
    <d v="2025-03-31T00:00:00"/>
    <x v="0"/>
    <n v="6607"/>
    <n v="479"/>
    <n v="1063421"/>
    <n v="5.5892257158735816"/>
    <n v="5.5892257158735817E-2"/>
    <n v="6128"/>
    <n v="5.7625343114345116E-3"/>
    <x v="4"/>
    <n v="48328"/>
  </r>
  <r>
    <d v="2025-03-31T00:00:00"/>
    <x v="3"/>
    <n v="1780"/>
    <n v="120"/>
    <n v="1066648"/>
    <n v="13.86474263299608"/>
    <n v="0.1386474263299608"/>
    <n v="1660"/>
    <n v="1.55627723485161E-3"/>
    <x v="4"/>
    <n v="57299"/>
  </r>
  <r>
    <d v="2025-03-31T00:00:00"/>
    <x v="1"/>
    <n v="6978"/>
    <n v="706"/>
    <n v="1057293"/>
    <n v="5.057443868445171"/>
    <n v="5.057443868445171E-2"/>
    <n v="6272"/>
    <n v="5.9321304501212058E-3"/>
    <x v="4"/>
    <n v="28681"/>
  </r>
  <r>
    <d v="2025-03-31T00:00:00"/>
    <x v="2"/>
    <n v="1769"/>
    <n v="202"/>
    <n v="1064988"/>
    <n v="6.5457075572682513"/>
    <n v="6.5457075572682516E-2"/>
    <n v="1567"/>
    <n v="1.4713780812553757E-3"/>
    <x v="4"/>
    <n v="25892"/>
  </r>
  <r>
    <d v="2025-04-07T00:00:00"/>
    <x v="0"/>
    <n v="1521"/>
    <n v="96"/>
    <n v="1087368"/>
    <n v="12.709772588488899"/>
    <n v="0.12709772588488899"/>
    <n v="1425"/>
    <n v="1.3105038956452645E-3"/>
    <x v="0"/>
    <n v="42262"/>
  </r>
  <r>
    <d v="2025-04-07T00:00:00"/>
    <x v="3"/>
    <n v="4983"/>
    <n v="441"/>
    <n v="1077624"/>
    <n v="6.8954477628560609"/>
    <n v="6.8954477628560606E-2"/>
    <n v="4542"/>
    <n v="4.2148281775461569E-3"/>
    <x v="0"/>
    <n v="46768"/>
  </r>
  <r>
    <d v="2025-04-07T00:00:00"/>
    <x v="1"/>
    <n v="9714"/>
    <n v="1395"/>
    <n v="1085943"/>
    <n v="5.2243073531483697"/>
    <n v="5.2243073531483698E-2"/>
    <n v="8319"/>
    <n v="7.6606230713766746E-3"/>
    <x v="0"/>
    <n v="40682"/>
  </r>
  <r>
    <d v="2025-04-07T00:00:00"/>
    <x v="2"/>
    <n v="7303"/>
    <n v="869"/>
    <n v="1073082"/>
    <n v="8.1237966902808925"/>
    <n v="8.123796690280892E-2"/>
    <n v="6434"/>
    <n v="5.9958139266151145E-3"/>
    <x v="0"/>
    <n v="27073"/>
  </r>
  <r>
    <d v="2025-04-14T00:00:00"/>
    <x v="3"/>
    <n v="8569"/>
    <n v="720"/>
    <n v="1095217"/>
    <n v="9.589697749395782"/>
    <n v="9.5896977493957813E-2"/>
    <n v="7849"/>
    <n v="7.1666162961312686E-3"/>
    <x v="0"/>
    <n v="41358"/>
  </r>
  <r>
    <d v="2025-04-14T00:00:00"/>
    <x v="3"/>
    <n v="6784"/>
    <n v="416"/>
    <n v="1101585"/>
    <n v="9.3041390360253633"/>
    <n v="9.3041390360253634E-2"/>
    <n v="6368"/>
    <n v="5.7807613574985131E-3"/>
    <x v="0"/>
    <n v="24289"/>
  </r>
  <r>
    <d v="2025-04-14T00:00:00"/>
    <x v="3"/>
    <n v="5583"/>
    <n v="795"/>
    <n v="1106373"/>
    <n v="12.21550055903389"/>
    <n v="0.1221550055903389"/>
    <n v="4788"/>
    <n v="4.327654416729259E-3"/>
    <x v="0"/>
    <n v="59823"/>
  </r>
  <r>
    <d v="2025-04-14T00:00:00"/>
    <x v="3"/>
    <n v="6946"/>
    <n v="956"/>
    <n v="1112363"/>
    <n v="1.64146056637986"/>
    <n v="1.6414605663798602E-2"/>
    <n v="5990"/>
    <n v="5.3849327962185002E-3"/>
    <x v="0"/>
    <n v="17927"/>
  </r>
  <r>
    <d v="2025-04-21T00:00:00"/>
    <x v="0"/>
    <n v="5941"/>
    <n v="450"/>
    <n v="1117854"/>
    <n v="12.414411899944"/>
    <n v="0.12414411899944"/>
    <n v="5491"/>
    <n v="4.9120904876665469E-3"/>
    <x v="0"/>
    <n v="58330"/>
  </r>
  <r>
    <d v="2025-04-21T00:00:00"/>
    <x v="0"/>
    <n v="7267"/>
    <n v="842"/>
    <n v="1124279"/>
    <n v="2.2102165031989389"/>
    <n v="2.210216503198939E-2"/>
    <n v="6425"/>
    <n v="5.7147736460433753E-3"/>
    <x v="0"/>
    <n v="11171"/>
  </r>
  <r>
    <d v="2025-04-21T00:00:00"/>
    <x v="0"/>
    <n v="3461"/>
    <n v="365"/>
    <n v="1134433"/>
    <n v="10.23489267325616"/>
    <n v="0.1023489267325616"/>
    <n v="3096"/>
    <n v="2.7291166600407427E-3"/>
    <x v="0"/>
    <n v="51903"/>
  </r>
  <r>
    <d v="2025-04-21T00:00:00"/>
    <x v="1"/>
    <n v="8128"/>
    <n v="1070"/>
    <n v="1131337"/>
    <n v="8.1114645768679008"/>
    <n v="8.1114645768679008E-2"/>
    <n v="7058"/>
    <n v="6.2386362330587612E-3"/>
    <x v="0"/>
    <n v="21918"/>
  </r>
  <r>
    <d v="2025-04-28T00:00:00"/>
    <x v="3"/>
    <n v="1685"/>
    <n v="173"/>
    <n v="1135945"/>
    <n v="8.7776256772995165"/>
    <n v="8.7776256772995165E-2"/>
    <n v="1512"/>
    <n v="1.331050358952238E-3"/>
    <x v="0"/>
    <n v="49110"/>
  </r>
  <r>
    <d v="2025-04-28T00:00:00"/>
    <x v="1"/>
    <n v="3160"/>
    <n v="234"/>
    <n v="1138871"/>
    <n v="5.6959041015180816"/>
    <n v="5.6959041015180817E-2"/>
    <n v="2926"/>
    <n v="2.5692110871204906E-3"/>
    <x v="0"/>
    <n v="21929"/>
  </r>
  <r>
    <d v="2025-04-28T00:00:00"/>
    <x v="1"/>
    <n v="8031"/>
    <n v="476"/>
    <n v="1146426"/>
    <n v="11.940413075069831"/>
    <n v="0.11940413075069831"/>
    <n v="7555"/>
    <n v="6.5900459340594159E-3"/>
    <x v="0"/>
    <n v="12539"/>
  </r>
  <r>
    <d v="2025-04-28T00:00:00"/>
    <x v="1"/>
    <n v="6341"/>
    <n v="885"/>
    <n v="1151882"/>
    <n v="6.3457020771224837"/>
    <n v="6.3457020771224837E-2"/>
    <n v="5456"/>
    <n v="4.7365962832998515E-3"/>
    <x v="0"/>
    <n v="46727"/>
  </r>
  <r>
    <d v="2025-05-05T00:00:00"/>
    <x v="0"/>
    <n v="8697"/>
    <n v="738"/>
    <n v="1168011"/>
    <n v="3.8777032065622672"/>
    <n v="3.877703206562267E-2"/>
    <n v="7959"/>
    <n v="6.8141481544266276E-3"/>
    <x v="0"/>
    <n v="30644"/>
  </r>
  <r>
    <d v="2025-05-05T00:00:00"/>
    <x v="3"/>
    <n v="1038"/>
    <n v="145"/>
    <n v="1152775"/>
    <n v="11.093752033137431"/>
    <n v="0.11093752033137431"/>
    <n v="893"/>
    <n v="7.7465246904209403E-4"/>
    <x v="0"/>
    <n v="55951"/>
  </r>
  <r>
    <d v="2025-05-05T00:00:00"/>
    <x v="3"/>
    <n v="2256"/>
    <n v="189"/>
    <n v="1160052"/>
    <n v="2.8935771844710412"/>
    <n v="2.8935771844710412E-2"/>
    <n v="2067"/>
    <n v="1.7818166771834366E-3"/>
    <x v="0"/>
    <n v="15432"/>
  </r>
  <r>
    <d v="2025-05-05T00:00:00"/>
    <x v="2"/>
    <n v="5875"/>
    <n v="665"/>
    <n v="1157985"/>
    <n v="6.9871371390821126"/>
    <n v="6.9871371390821127E-2"/>
    <n v="5210"/>
    <n v="4.4991947218659999E-3"/>
    <x v="0"/>
    <n v="32669"/>
  </r>
  <r>
    <d v="2025-05-12T00:00:00"/>
    <x v="0"/>
    <n v="3196"/>
    <n v="391"/>
    <n v="1170816"/>
    <n v="7.2439221876024931"/>
    <n v="7.2439221876024931E-2"/>
    <n v="2805"/>
    <n v="2.3957650049196456E-3"/>
    <x v="0"/>
    <n v="28745"/>
  </r>
  <r>
    <d v="2025-05-12T00:00:00"/>
    <x v="3"/>
    <n v="8165"/>
    <n v="1140"/>
    <n v="1177841"/>
    <n v="9.095964565675672"/>
    <n v="9.0959645656756724E-2"/>
    <n v="7025"/>
    <n v="5.9643024822535473E-3"/>
    <x v="0"/>
    <n v="38228"/>
  </r>
  <r>
    <d v="2025-05-12T00:00:00"/>
    <x v="3"/>
    <n v="1301"/>
    <n v="180"/>
    <n v="1178962"/>
    <n v="5.2275645864752214"/>
    <n v="5.2275645864752217E-2"/>
    <n v="1121"/>
    <n v="9.5083641372665107E-4"/>
    <x v="0"/>
    <n v="44521"/>
  </r>
  <r>
    <d v="2025-05-12T00:00:00"/>
    <x v="1"/>
    <n v="8527"/>
    <n v="1091"/>
    <n v="1186398"/>
    <n v="1.676081719625286"/>
    <n v="1.6760817196252858E-2"/>
    <n v="7436"/>
    <n v="6.267711172810473E-3"/>
    <x v="0"/>
    <n v="41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1C4B0-DAFE-46F6-9164-04F4D88F36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15:B20" firstHeaderRow="1" firstDataRow="1" firstDataCol="1"/>
  <pivotFields count="13">
    <pivotField showAll="0"/>
    <pivotField axis="axisRow" showAll="0">
      <items count="6">
        <item x="3"/>
        <item x="0"/>
        <item x="2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Rate" fld="11" subtotal="average" baseField="1" baseItem="0"/>
  </dataFields>
  <formats count="5">
    <format dxfId="216">
      <pivotArea collapsedLevelsAreSubtotals="1" fieldPosition="0">
        <references count="1">
          <reference field="1" count="4">
            <x v="0"/>
            <x v="1"/>
            <x v="2"/>
            <x v="3"/>
          </reference>
        </references>
      </pivotArea>
    </format>
    <format dxfId="215">
      <pivotArea dataOnly="0" labelOnly="1" outline="0" axis="axisValues" fieldPosition="0"/>
    </format>
    <format dxfId="214">
      <pivotArea grandRow="1" outline="0" collapsedLevelsAreSubtotals="1" fieldPosition="0"/>
    </format>
    <format dxfId="213">
      <pivotArea collapsedLevelsAreSubtotals="1" fieldPosition="0">
        <references count="1">
          <reference field="1" count="1">
            <x v="2"/>
          </reference>
        </references>
      </pivotArea>
    </format>
    <format dxfId="212">
      <pivotArea dataOnly="0" labelOnly="1" fieldPosition="0">
        <references count="1"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42134-57C5-4F60-A70C-1B125819E40F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B70:C83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14">
        <item x="7"/>
        <item x="4"/>
        <item x="3"/>
        <item x="0"/>
        <item x="5"/>
        <item x="2"/>
        <item x="10"/>
        <item x="9"/>
        <item x="6"/>
        <item x="8"/>
        <item x="1"/>
        <item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3">
    <i>
      <x v="6"/>
    </i>
    <i>
      <x v="4"/>
    </i>
    <i>
      <x v="7"/>
    </i>
    <i>
      <x v="8"/>
    </i>
    <i>
      <x v="5"/>
    </i>
    <i>
      <x v="10"/>
    </i>
    <i>
      <x/>
    </i>
    <i>
      <x v="2"/>
    </i>
    <i>
      <x v="1"/>
    </i>
    <i>
      <x v="3"/>
    </i>
    <i>
      <x v="11"/>
    </i>
    <i>
      <x v="9"/>
    </i>
    <i t="grand">
      <x/>
    </i>
  </rowItems>
  <colItems count="1">
    <i/>
  </colItems>
  <dataFields count="1">
    <dataField name="Average of Clicks" fld="8" subtotal="average" baseField="4" baseItem="0" numFmtId="3"/>
  </dataFields>
  <formats count="15">
    <format dxfId="231">
      <pivotArea dataOnly="0" labelOnly="1" outline="0" axis="axisValues" fieldPosition="0"/>
    </format>
    <format dxfId="230">
      <pivotArea outline="0" collapsedLevelsAreSubtotals="1" fieldPosition="0"/>
    </format>
    <format dxfId="229">
      <pivotArea dataOnly="0" fieldPosition="0">
        <references count="1">
          <reference field="4" count="6">
            <x v="4"/>
            <x v="5"/>
            <x v="6"/>
            <x v="7"/>
            <x v="8"/>
            <x v="10"/>
          </reference>
        </references>
      </pivotArea>
    </format>
    <format dxfId="228">
      <pivotArea dataOnly="0" fieldPosition="0">
        <references count="1">
          <reference field="4" count="6">
            <x v="4"/>
            <x v="5"/>
            <x v="6"/>
            <x v="7"/>
            <x v="8"/>
            <x v="10"/>
          </reference>
        </references>
      </pivotArea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4" type="button" dataOnly="0" labelOnly="1" outline="0" axis="axisRow" fieldPosition="0"/>
    </format>
    <format dxfId="224">
      <pivotArea dataOnly="0" labelOnly="1" fieldPosition="0">
        <references count="1">
          <reference field="4" count="0"/>
        </references>
      </pivotArea>
    </format>
    <format dxfId="223">
      <pivotArea dataOnly="0" labelOnly="1" grandRow="1" outline="0" fieldPosition="0"/>
    </format>
    <format dxfId="222">
      <pivotArea dataOnly="0" labelOnly="1" outline="0" axis="axisValues" fieldPosition="0"/>
    </format>
    <format dxfId="221">
      <pivotArea collapsedLevelsAreSubtotals="1" fieldPosition="0">
        <references count="1">
          <reference field="4" count="1">
            <x v="6"/>
          </reference>
        </references>
      </pivotArea>
    </format>
    <format dxfId="220">
      <pivotArea outline="0" collapsedLevelsAreSubtotals="1" fieldPosition="0"/>
    </format>
    <format dxfId="219">
      <pivotArea collapsedLevelsAreSubtotals="1" fieldPosition="0">
        <references count="1">
          <reference field="4" count="1">
            <x v="10"/>
          </reference>
        </references>
      </pivotArea>
    </format>
    <format dxfId="218">
      <pivotArea dataOnly="0" labelOnly="1" fieldPosition="0">
        <references count="1">
          <reference field="4" count="1">
            <x v="10"/>
          </reference>
        </references>
      </pivotArea>
    </format>
    <format dxfId="217">
      <pivotArea dataOnly="0" fieldPosition="0">
        <references count="1">
          <reference field="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37ED9-2FFD-4E9F-82FB-F1FA1AD3D93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D61" firstHeaderRow="0" firstDataRow="1" firstDataCol="1"/>
  <pivotFields count="13">
    <pivotField showAll="0"/>
    <pivotField axis="axisRow" showAll="0">
      <items count="6">
        <item x="3"/>
        <item x="0"/>
        <item x="2"/>
        <item x="1"/>
        <item h="1" x="4"/>
        <item t="default"/>
      </items>
    </pivotField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13">
    <format dxfId="244">
      <pivotArea type="all" dataOnly="0" outline="0" fieldPosition="0"/>
    </format>
    <format dxfId="243">
      <pivotArea outline="0" collapsedLevelsAreSubtotals="1" fieldPosition="0"/>
    </format>
    <format dxfId="242">
      <pivotArea type="origin" dataOnly="0" labelOnly="1" outline="0" fieldPosition="0"/>
    </format>
    <format dxfId="241">
      <pivotArea field="3" type="button" dataOnly="0" labelOnly="1" outline="0" axis="axisRow" fieldPosition="1"/>
    </format>
    <format dxfId="240">
      <pivotArea field="-2" type="button" dataOnly="0" labelOnly="1" outline="0" axis="axisCol" fieldPosition="0"/>
    </format>
    <format dxfId="239">
      <pivotArea type="topRight" dataOnly="0" labelOnly="1" outline="0" fieldPosition="0"/>
    </format>
    <format dxfId="238">
      <pivotArea field="1" type="button" dataOnly="0" labelOnly="1" outline="0" axis="axisRow" fieldPosition="0"/>
    </format>
    <format dxfId="237">
      <pivotArea dataOnly="0" labelOnly="1" fieldPosition="0">
        <references count="1">
          <reference field="1" count="0"/>
        </references>
      </pivotArea>
    </format>
    <format dxfId="236">
      <pivotArea dataOnly="0" labelOnly="1" grandRow="1" outline="0" fieldPosition="0"/>
    </format>
    <format dxfId="235">
      <pivotArea field="3" dataOnly="0" labelOnly="1" outline="0" axis="axisRow" fieldPosition="1">
        <references count="1">
          <reference field="4294967294" count="1" selected="0">
            <x v="0"/>
          </reference>
        </references>
      </pivotArea>
    </format>
    <format dxfId="234">
      <pivotArea field="3" dataOnly="0" labelOnly="1" outline="0" axis="axisRow" fieldPosition="1">
        <references count="1">
          <reference field="4294967294" count="1" selected="0">
            <x v="1"/>
          </reference>
        </references>
      </pivotArea>
    </format>
    <format dxfId="233">
      <pivotArea field="3" dataOnly="0" labelOnly="1" outline="0" axis="axisRow" fieldPosition="1">
        <references count="1">
          <reference field="4294967294" count="1" selected="0">
            <x v="2"/>
          </reference>
        </references>
      </pivotArea>
    </format>
    <format dxfId="232">
      <pivotArea dataOnly="0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94B74-672E-4BCD-B308-A3CAA4438BF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11" firstHeaderRow="1" firstDataRow="3" firstDataCol="1"/>
  <pivotFields count="13"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axis="axisCol" showAll="0">
      <items count="6">
        <item x="3"/>
        <item x="2"/>
        <item x="1"/>
        <item x="0"/>
        <item x="4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05040-563B-45E4-AC8F-C6A5938E7B77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A3:B17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14">
        <item x="7"/>
        <item x="4"/>
        <item x="3"/>
        <item x="0"/>
        <item x="5"/>
        <item x="2"/>
        <item x="10"/>
        <item x="9"/>
        <item x="6"/>
        <item x="8"/>
        <item x="1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4">
    <i>
      <x v="6"/>
    </i>
    <i>
      <x v="4"/>
    </i>
    <i>
      <x v="7"/>
    </i>
    <i>
      <x v="8"/>
    </i>
    <i>
      <x v="5"/>
    </i>
    <i>
      <x v="10"/>
    </i>
    <i>
      <x/>
    </i>
    <i>
      <x v="2"/>
    </i>
    <i>
      <x v="1"/>
    </i>
    <i>
      <x v="3"/>
    </i>
    <i>
      <x v="11"/>
    </i>
    <i>
      <x v="9"/>
    </i>
    <i>
      <x v="12"/>
    </i>
    <i t="grand">
      <x/>
    </i>
  </rowItems>
  <colItems count="1">
    <i/>
  </colItems>
  <dataFields count="1">
    <dataField name="Average of Clicks" fld="8" subtotal="average" baseField="4" baseItem="0" numFmtId="2"/>
  </dataFields>
  <formats count="4">
    <format dxfId="203">
      <pivotArea dataOnly="0" labelOnly="1" outline="0" axis="axisValues" fieldPosition="0"/>
    </format>
    <format dxfId="202">
      <pivotArea outline="0" collapsedLevelsAreSubtotals="1" fieldPosition="0"/>
    </format>
    <format dxfId="201">
      <pivotArea dataOnly="0" fieldPosition="0">
        <references count="1">
          <reference field="4" count="6">
            <x v="4"/>
            <x v="5"/>
            <x v="6"/>
            <x v="7"/>
            <x v="8"/>
            <x v="10"/>
          </reference>
        </references>
      </pivotArea>
    </format>
    <format dxfId="200">
      <pivotArea dataOnly="0" fieldPosition="0">
        <references count="1">
          <reference field="4" count="6">
            <x v="4"/>
            <x v="5"/>
            <x v="6"/>
            <x v="7"/>
            <x v="8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AC226-8F08-41ED-A4E4-B5C420193F6F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latform">
  <location ref="A28:B33" firstHeaderRow="1" firstDataRow="1" firstDataCol="1"/>
  <pivotFields count="11">
    <pivotField showAll="0"/>
    <pivotField axis="axisRow" showAll="0" sortType="descending">
      <items count="6">
        <item x="0"/>
        <item x="1"/>
        <item x="2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3" showAll="0"/>
    <pivotField dataField="1" numFmtId="10" showAll="0"/>
    <pivotField showAll="0"/>
    <pivotField showAll="0"/>
    <pivotField numFmtId="165"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Follower_Growth_Rate" fld="7" subtotal="average" baseField="1" baseItem="2" numFmtId="10"/>
  </dataFields>
  <formats count="13">
    <format dxfId="188">
      <pivotArea dataOnly="0" fieldPosition="0">
        <references count="1">
          <reference field="1" count="1">
            <x v="2"/>
          </reference>
        </references>
      </pivotArea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1" type="button" dataOnly="0" labelOnly="1" outline="0" axis="axisRow" fieldPosition="0"/>
    </format>
    <format dxfId="184">
      <pivotArea dataOnly="0" labelOnly="1" fieldPosition="0">
        <references count="1">
          <reference field="1" count="0"/>
        </references>
      </pivotArea>
    </format>
    <format dxfId="183">
      <pivotArea dataOnly="0" labelOnly="1" grandRow="1" outline="0" fieldPosition="0"/>
    </format>
    <format dxfId="182">
      <pivotArea dataOnly="0" labelOnly="1" outline="0" axis="axisValues" fieldPosition="0"/>
    </format>
    <format dxfId="181">
      <pivotArea collapsedLevelsAreSubtotals="1" fieldPosition="0">
        <references count="1">
          <reference field="1" count="1">
            <x v="2"/>
          </reference>
        </references>
      </pivotArea>
    </format>
    <format dxfId="180">
      <pivotArea dataOnly="0" labelOnly="1" fieldPosition="0">
        <references count="1">
          <reference field="1" count="1">
            <x v="2"/>
          </reference>
        </references>
      </pivotArea>
    </format>
    <format dxfId="179">
      <pivotArea collapsedLevelsAreSubtotals="1" fieldPosition="0">
        <references count="1">
          <reference field="1" count="1">
            <x v="3"/>
          </reference>
        </references>
      </pivotArea>
    </format>
    <format dxfId="178">
      <pivotArea dataOnly="0" labelOnly="1" fieldPosition="0">
        <references count="1">
          <reference field="1" count="1">
            <x v="3"/>
          </reference>
        </references>
      </pivotArea>
    </format>
    <format dxfId="177">
      <pivotArea collapsedLevelsAreSubtotals="1" fieldPosition="0">
        <references count="1">
          <reference field="1" count="1">
            <x v="3"/>
          </reference>
        </references>
      </pivotArea>
    </format>
    <format dxfId="176">
      <pivotArea dataOnly="0" labelOnly="1" fieldPosition="0">
        <references count="1">
          <reference field="1" count="1">
            <x v="3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6665C-0F4D-4EB7-BD95-B55835E558EE}" name="PivotTable1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4:E10" firstHeaderRow="1" firstDataRow="2" firstDataCol="1"/>
  <pivotFields count="13">
    <pivotField showAll="0"/>
    <pivotField axis="axisCol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dataField="1" numFmtId="10" showAll="0"/>
    <pivotField axis="axisRow" showAll="0">
      <items count="6">
        <item x="4"/>
        <item x="0"/>
        <item x="1"/>
        <item x="2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4">
    <i>
      <x v="2"/>
    </i>
    <i>
      <x v="1"/>
    </i>
    <i>
      <x/>
    </i>
    <i>
      <x v="3"/>
    </i>
  </colItems>
  <dataFields count="1">
    <dataField name="Average of EngagementRate" fld="11" subtotal="average" baseField="1" baseItem="0" numFmtId="10"/>
  </dataFields>
  <formats count="11">
    <format dxfId="199">
      <pivotArea collapsedLevelsAreSubtotals="1" fieldPosition="0">
        <references count="1">
          <reference field="1" count="1">
            <x v="2"/>
          </reference>
        </references>
      </pivotArea>
    </format>
    <format dxfId="198">
      <pivotArea dataOnly="0" labelOnly="1" fieldPosition="0">
        <references count="1">
          <reference field="1" count="1">
            <x v="2"/>
          </reference>
        </references>
      </pivotArea>
    </format>
    <format dxfId="197">
      <pivotArea collapsedLevelsAreSubtotals="1" fieldPosition="0">
        <references count="2">
          <reference field="1" count="2" selected="0">
            <x v="1"/>
            <x v="2"/>
          </reference>
          <reference field="12" count="4">
            <x v="1"/>
            <x v="2"/>
            <x v="3"/>
            <x v="4"/>
          </reference>
        </references>
      </pivotArea>
    </format>
    <format dxfId="196">
      <pivotArea collapsedLevelsAreSubtotals="1" fieldPosition="0">
        <references count="2">
          <reference field="1" count="1" selected="0">
            <x v="2"/>
          </reference>
          <reference field="12" count="3">
            <x v="2"/>
            <x v="3"/>
            <x v="4"/>
          </reference>
        </references>
      </pivotArea>
    </format>
    <format dxfId="195">
      <pivotArea outline="0" collapsedLevelsAreSubtotals="1" fieldPosition="0">
        <references count="1">
          <reference field="1" count="2" selected="0">
            <x v="1"/>
            <x v="2"/>
          </reference>
        </references>
      </pivotArea>
    </format>
    <format dxfId="194">
      <pivotArea collapsedLevelsAreSubtotals="1" fieldPosition="0">
        <references count="2">
          <reference field="1" count="1" selected="0">
            <x v="2"/>
          </reference>
          <reference field="12" count="1">
            <x v="0"/>
          </reference>
        </references>
      </pivotArea>
    </format>
    <format dxfId="193">
      <pivotArea collapsedLevelsAreSubtotals="1" fieldPosition="0">
        <references count="2">
          <reference field="1" count="1" selected="0">
            <x v="2"/>
          </reference>
          <reference field="12" count="1">
            <x v="3"/>
          </reference>
        </references>
      </pivotArea>
    </format>
    <format dxfId="192">
      <pivotArea collapsedLevelsAreSubtotals="1" fieldPosition="0">
        <references count="2">
          <reference field="1" count="1" selected="0">
            <x v="2"/>
          </reference>
          <reference field="12" count="1">
            <x v="4"/>
          </reference>
        </references>
      </pivotArea>
    </format>
    <format dxfId="191">
      <pivotArea collapsedLevelsAreSubtotals="1" fieldPosition="0">
        <references count="2">
          <reference field="1" count="1" selected="0">
            <x v="2"/>
          </reference>
          <reference field="12" count="1">
            <x v="2"/>
          </reference>
        </references>
      </pivotArea>
    </format>
    <format dxfId="190">
      <pivotArea collapsedLevelsAreSubtotals="1" fieldPosition="0">
        <references count="2">
          <reference field="1" count="1" selected="0">
            <x v="2"/>
          </reference>
          <reference field="12" count="1">
            <x v="1"/>
          </reference>
        </references>
      </pivotArea>
    </format>
    <format dxfId="189">
      <pivotArea collapsedLevelsAreSubtotals="1" fieldPosition="0">
        <references count="2">
          <reference field="1" count="1" selected="0">
            <x v="1"/>
          </reference>
          <reference field="12" count="1"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A75A6-4D31-4CBD-BC43-3B42BEFADD7B}" name="PivotTable4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6" firstHeaderRow="1" firstDataRow="1" firstDataCol="1"/>
  <pivotFields count="13">
    <pivotField showAll="0"/>
    <pivotField showAll="0"/>
    <pivotField numFmtId="164" showAll="0"/>
    <pivotField showAll="0"/>
    <pivotField axis="axisRow" showAll="0">
      <items count="13">
        <item x="7"/>
        <item x="4"/>
        <item x="3"/>
        <item x="0"/>
        <item x="5"/>
        <item x="2"/>
        <item x="10"/>
        <item x="9"/>
        <item x="6"/>
        <item x="8"/>
        <item x="1"/>
        <item x="11"/>
        <item t="default"/>
      </items>
    </pivotField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dataField="1" numFmtId="10" showAll="0">
      <items count="301"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EngagementRate" fld="11" subtotal="average" baseField="4" baseItem="0" numFmtId="10"/>
  </dataFields>
  <formats count="8"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4" type="button" dataOnly="0" labelOnly="1" outline="0" axis="axisRow" fieldPosition="0"/>
    </format>
    <format dxfId="164">
      <pivotArea dataOnly="0" labelOnly="1" fieldPosition="0">
        <references count="1">
          <reference field="4" count="0"/>
        </references>
      </pivotArea>
    </format>
    <format dxfId="163">
      <pivotArea dataOnly="0" labelOnly="1" grandRow="1" outline="0" fieldPosition="0"/>
    </format>
    <format dxfId="162">
      <pivotArea dataOnly="0" labelOnly="1" outline="0" axis="axisValues" fieldPosition="0"/>
    </format>
    <format dxfId="161">
      <pivotArea collapsedLevelsAreSubtotals="1" fieldPosition="0">
        <references count="1">
          <reference field="4" count="1">
            <x v="10"/>
          </reference>
        </references>
      </pivotArea>
    </format>
    <format dxfId="160">
      <pivotArea dataOnly="0" labelOnly="1" fieldPosition="0">
        <references count="1">
          <reference field="4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1D4A0-9A88-4A9C-86F7-D24E013B82EE}" name="PivotTable40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5" firstHeaderRow="1" firstDataRow="1" firstDataCol="1"/>
  <pivotFields count="13">
    <pivotField showAll="0"/>
    <pivotField showAll="0"/>
    <pivotField numFmtId="164" showAll="0"/>
    <pivotField showAll="0"/>
    <pivotField axis="axisRow" dataField="1" showAll="0">
      <items count="13">
        <item x="7"/>
        <item x="4"/>
        <item x="3"/>
        <item x="0"/>
        <item x="5"/>
        <item x="2"/>
        <item x="10"/>
        <item x="9"/>
        <item x="6"/>
        <item x="8"/>
        <item x="1"/>
        <item x="11"/>
        <item t="default"/>
      </items>
    </pivotField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0"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Count of Hashtags" fld="4" subtotal="count" baseField="0" baseItem="0"/>
  </dataFields>
  <formats count="8"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4" type="button" dataOnly="0" labelOnly="1" outline="0" axis="axisRow" fieldPosition="0"/>
    </format>
    <format dxfId="172">
      <pivotArea dataOnly="0" labelOnly="1" fieldPosition="0">
        <references count="1">
          <reference field="4" count="0"/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collapsedLevelsAreSubtotals="1" fieldPosition="0">
        <references count="1">
          <reference field="4" count="1">
            <x v="4"/>
          </reference>
        </references>
      </pivotArea>
    </format>
    <format dxfId="168">
      <pivotArea dataOnly="0" labelOnly="1" fieldPosition="0">
        <references count="1">
          <reference field="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F2073-164A-4920-8773-8A13082290A5}" name="PivotTable4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16:D36" firstHeaderRow="1" firstDataRow="1" firstDataCol="1"/>
  <pivotFields count="13">
    <pivotField showAll="0"/>
    <pivotField axis="axisRow" showAll="0">
      <items count="5">
        <item x="3"/>
        <item x="0"/>
        <item x="2"/>
        <item x="1"/>
        <item t="default"/>
      </items>
    </pivotField>
    <pivotField numFmtId="164"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numFmtId="3" showAll="0"/>
    <pivotField numFmtId="3" showAll="0"/>
    <pivotField numFmtId="165" showAll="0"/>
    <pivotField numFmtId="165" showAll="0"/>
    <pivotField numFmtId="165" showAll="0"/>
    <pivotField numFmtId="165" showAll="0"/>
    <pivotField numFmtId="10" showAll="0"/>
    <pivotField showAll="0"/>
  </pivotFields>
  <rowFields count="2">
    <field x="3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</rowItems>
  <colItems count="1">
    <i/>
  </colItems>
  <dataFields count="1">
    <dataField name="Sum of Likes" fld="5" baseField="0" baseItem="0" numFmtId="3"/>
  </dataFields>
  <formats count="18"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3" type="button" dataOnly="0" labelOnly="1" outline="0" axis="axisRow" fieldPosition="0"/>
    </format>
    <format dxfId="151">
      <pivotArea dataOnly="0" labelOnly="1" fieldPosition="0">
        <references count="1">
          <reference field="3" count="0"/>
        </references>
      </pivotArea>
    </format>
    <format dxfId="150">
      <pivotArea dataOnly="0" labelOnly="1" grandRow="1" outline="0" fieldPosition="0"/>
    </format>
    <format dxfId="149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148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147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146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145">
      <pivotArea dataOnly="0" labelOnly="1" outline="0" axis="axisValues" fieldPosition="0"/>
    </format>
    <format dxfId="144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143">
      <pivotArea dataOnly="0" labelOnly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142">
      <pivotArea collapsedLevelsAreSubtotals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141">
      <pivotArea dataOnly="0" labelOnly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140">
      <pivotArea collapsedLevelsAreSubtotals="1" fieldPosition="0">
        <references count="2">
          <reference field="1" count="1">
            <x v="1"/>
          </reference>
          <reference field="3" count="1" selected="0">
            <x v="2"/>
          </reference>
        </references>
      </pivotArea>
    </format>
    <format dxfId="139">
      <pivotArea dataOnly="0" labelOnly="1" fieldPosition="0">
        <references count="2">
          <reference field="1" count="1">
            <x v="1"/>
          </reference>
          <reference field="3" count="1" selected="0">
            <x v="2"/>
          </reference>
        </references>
      </pivotArea>
    </format>
    <format dxfId="138">
      <pivotArea collapsedLevelsAreSubtotals="1" fieldPosition="0">
        <references count="2">
          <reference field="1" count="1">
            <x v="3"/>
          </reference>
          <reference field="3" count="1" selected="0">
            <x v="3"/>
          </reference>
        </references>
      </pivotArea>
    </format>
    <format dxfId="137">
      <pivotArea dataOnly="0" labelOnly="1" fieldPosition="0">
        <references count="2">
          <reference field="1" count="1">
            <x v="3"/>
          </reference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82B06-75A2-4D66-B573-F8B459818ABF}" name="PivotTable4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G12" firstHeaderRow="1" firstDataRow="2" firstDataCol="1"/>
  <pivotFields count="13">
    <pivotField showAll="0"/>
    <pivotField showAll="0"/>
    <pivotField numFmtId="164" showAll="0"/>
    <pivotField axis="axisRow" showAll="0">
      <items count="5">
        <item x="3"/>
        <item x="2"/>
        <item x="1"/>
        <item x="0"/>
        <item t="default"/>
      </items>
    </pivotField>
    <pivotField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dataField="1" numFmtId="10" showAll="0">
      <items count="301"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6">
        <item x="4"/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EngagementRate" fld="11" subtotal="average" baseField="3" baseItem="0" numFmtId="10"/>
  </dataFields>
  <formats count="4">
    <format dxfId="158">
      <pivotArea collapsedLevelsAreSubtotals="1" fieldPosition="0">
        <references count="2">
          <reference field="3" count="1">
            <x v="1"/>
          </reference>
          <reference field="12" count="1" selected="0">
            <x v="0"/>
          </reference>
        </references>
      </pivotArea>
    </format>
    <format dxfId="157">
      <pivotArea type="all" dataOnly="0" outline="0" fieldPosition="0"/>
    </format>
    <format dxfId="156">
      <pivotArea collapsedLevelsAreSubtotals="1" fieldPosition="0">
        <references count="2">
          <reference field="3" count="1">
            <x v="3"/>
          </reference>
          <reference field="12" count="2" selected="0">
            <x v="0"/>
            <x v="1"/>
          </reference>
        </references>
      </pivotArea>
    </format>
    <format dxfId="155">
      <pivotArea field="3" grandCol="1" collapsedLevelsAreSubtotals="1" axis="axisRow" fieldPosition="0">
        <references count="1">
          <reference field="3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5A39D-C0C7-445B-9EB8-4E722B80EEFB}" name="PivotTable4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mpaign">
  <location ref="A10:G15" firstHeaderRow="0" firstDataRow="1" firstDataCol="1"/>
  <pivotFields count="13">
    <pivotField showAll="0"/>
    <pivotField showAll="0"/>
    <pivotField numFmtId="164" showAll="0"/>
    <pivotField showAll="0"/>
    <pivotField showAll="0"/>
    <pivotField dataField="1" numFmtId="3" showAll="0"/>
    <pivotField numFmtId="3" showAll="0"/>
    <pivotField numFmtId="165" showAll="0"/>
    <pivotField dataField="1" numFmtId="165" showAll="0">
      <items count="282">
        <item x="188"/>
        <item x="200"/>
        <item x="3"/>
        <item x="39"/>
        <item x="108"/>
        <item x="183"/>
        <item x="87"/>
        <item x="148"/>
        <item x="134"/>
        <item x="245"/>
        <item x="242"/>
        <item x="273"/>
        <item x="13"/>
        <item x="140"/>
        <item x="11"/>
        <item x="208"/>
        <item x="6"/>
        <item x="38"/>
        <item x="204"/>
        <item x="144"/>
        <item x="18"/>
        <item x="153"/>
        <item x="193"/>
        <item x="25"/>
        <item x="268"/>
        <item x="218"/>
        <item x="207"/>
        <item x="209"/>
        <item x="216"/>
        <item x="256"/>
        <item x="195"/>
        <item x="220"/>
        <item x="80"/>
        <item x="102"/>
        <item x="249"/>
        <item x="100"/>
        <item x="65"/>
        <item x="222"/>
        <item x="205"/>
        <item x="267"/>
        <item x="201"/>
        <item x="192"/>
        <item x="37"/>
        <item x="121"/>
        <item x="206"/>
        <item x="164"/>
        <item x="29"/>
        <item x="271"/>
        <item x="234"/>
        <item x="91"/>
        <item x="12"/>
        <item x="199"/>
        <item x="22"/>
        <item x="217"/>
        <item x="44"/>
        <item x="270"/>
        <item x="275"/>
        <item x="41"/>
        <item x="95"/>
        <item x="26"/>
        <item x="197"/>
        <item x="119"/>
        <item x="28"/>
        <item x="15"/>
        <item x="61"/>
        <item x="184"/>
        <item x="31"/>
        <item x="250"/>
        <item x="8"/>
        <item x="136"/>
        <item x="105"/>
        <item x="86"/>
        <item x="113"/>
        <item x="59"/>
        <item x="133"/>
        <item x="82"/>
        <item x="48"/>
        <item x="257"/>
        <item x="88"/>
        <item x="177"/>
        <item x="158"/>
        <item x="150"/>
        <item x="71"/>
        <item x="185"/>
        <item x="182"/>
        <item x="118"/>
        <item x="16"/>
        <item x="53"/>
        <item x="238"/>
        <item x="169"/>
        <item x="264"/>
        <item x="47"/>
        <item x="258"/>
        <item x="120"/>
        <item x="35"/>
        <item x="149"/>
        <item x="110"/>
        <item x="125"/>
        <item x="72"/>
        <item x="20"/>
        <item x="104"/>
        <item x="19"/>
        <item x="255"/>
        <item x="147"/>
        <item x="213"/>
        <item x="30"/>
        <item x="60"/>
        <item x="128"/>
        <item x="146"/>
        <item x="181"/>
        <item x="52"/>
        <item x="21"/>
        <item x="40"/>
        <item x="78"/>
        <item x="176"/>
        <item x="243"/>
        <item x="10"/>
        <item x="81"/>
        <item x="50"/>
        <item x="57"/>
        <item x="262"/>
        <item x="124"/>
        <item x="156"/>
        <item x="2"/>
        <item x="73"/>
        <item x="109"/>
        <item x="233"/>
        <item x="180"/>
        <item x="236"/>
        <item x="152"/>
        <item x="123"/>
        <item x="0"/>
        <item x="127"/>
        <item x="277"/>
        <item x="62"/>
        <item x="228"/>
        <item x="84"/>
        <item x="142"/>
        <item x="214"/>
        <item x="132"/>
        <item x="45"/>
        <item x="157"/>
        <item x="167"/>
        <item x="154"/>
        <item x="254"/>
        <item x="97"/>
        <item x="4"/>
        <item x="7"/>
        <item x="79"/>
        <item x="75"/>
        <item x="130"/>
        <item x="194"/>
        <item x="46"/>
        <item x="64"/>
        <item x="173"/>
        <item x="231"/>
        <item x="9"/>
        <item x="223"/>
        <item x="94"/>
        <item x="66"/>
        <item x="126"/>
        <item x="232"/>
        <item x="251"/>
        <item x="92"/>
        <item x="159"/>
        <item x="114"/>
        <item x="43"/>
        <item x="55"/>
        <item x="278"/>
        <item x="219"/>
        <item x="137"/>
        <item x="122"/>
        <item x="248"/>
        <item x="279"/>
        <item x="212"/>
        <item x="99"/>
        <item x="247"/>
        <item x="1"/>
        <item x="36"/>
        <item x="239"/>
        <item x="23"/>
        <item x="5"/>
        <item x="170"/>
        <item x="160"/>
        <item x="190"/>
        <item x="163"/>
        <item x="58"/>
        <item x="33"/>
        <item x="83"/>
        <item x="168"/>
        <item x="54"/>
        <item x="263"/>
        <item x="143"/>
        <item x="93"/>
        <item x="280"/>
        <item x="139"/>
        <item x="17"/>
        <item x="227"/>
        <item x="178"/>
        <item x="77"/>
        <item x="155"/>
        <item x="135"/>
        <item x="151"/>
        <item x="117"/>
        <item x="69"/>
        <item x="221"/>
        <item x="161"/>
        <item x="265"/>
        <item x="165"/>
        <item x="51"/>
        <item x="98"/>
        <item x="106"/>
        <item x="240"/>
        <item x="186"/>
        <item x="187"/>
        <item x="131"/>
        <item x="259"/>
        <item x="211"/>
        <item x="198"/>
        <item x="42"/>
        <item x="189"/>
        <item x="67"/>
        <item x="32"/>
        <item x="141"/>
        <item x="260"/>
        <item x="24"/>
        <item x="103"/>
        <item x="226"/>
        <item x="166"/>
        <item x="96"/>
        <item x="266"/>
        <item x="191"/>
        <item x="27"/>
        <item x="63"/>
        <item x="276"/>
        <item x="138"/>
        <item x="230"/>
        <item x="225"/>
        <item x="210"/>
        <item x="76"/>
        <item x="14"/>
        <item x="101"/>
        <item x="111"/>
        <item x="107"/>
        <item x="261"/>
        <item x="175"/>
        <item x="237"/>
        <item x="116"/>
        <item x="224"/>
        <item x="179"/>
        <item x="90"/>
        <item x="70"/>
        <item x="115"/>
        <item x="246"/>
        <item x="162"/>
        <item x="68"/>
        <item x="49"/>
        <item x="244"/>
        <item x="74"/>
        <item x="274"/>
        <item x="174"/>
        <item x="215"/>
        <item x="172"/>
        <item x="56"/>
        <item x="253"/>
        <item x="202"/>
        <item x="252"/>
        <item x="85"/>
        <item x="145"/>
        <item x="269"/>
        <item x="34"/>
        <item x="229"/>
        <item x="112"/>
        <item x="272"/>
        <item x="196"/>
        <item x="89"/>
        <item x="203"/>
        <item x="129"/>
        <item x="235"/>
        <item x="241"/>
        <item x="171"/>
        <item t="default"/>
      </items>
    </pivotField>
    <pivotField numFmtId="165" showAll="0"/>
    <pivotField dataField="1" numFmtId="165" showAll="0"/>
    <pivotField numFmtId="10" showAll="0"/>
    <pivotField axis="axisRow" showAll="0">
      <items count="6">
        <item x="4"/>
        <item x="0"/>
        <item x="1"/>
        <item x="2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licks" fld="8" baseField="0" baseItem="0" numFmtId="165"/>
    <dataField name="Average of Clicks" fld="8" subtotal="average" baseField="12" baseItem="0" numFmtId="165"/>
    <dataField name="Sum of Impressions" fld="10" baseField="0" baseItem="0" numFmtId="165"/>
    <dataField name="Average of Impressions" fld="10" subtotal="average" baseField="12" baseItem="0" numFmtId="165"/>
    <dataField name="Sum of Likes" fld="5" baseField="0" baseItem="0" numFmtId="3"/>
    <dataField name="Average of Likes" fld="5" subtotal="average" baseField="12" baseItem="0" numFmtId="3"/>
  </dataFields>
  <formats count="5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2" type="button" dataOnly="0" labelOnly="1" outline="0" axis="axisRow" fieldPosition="0"/>
    </format>
    <format dxfId="126">
      <pivotArea dataOnly="0" labelOnly="1" fieldPosition="0">
        <references count="1">
          <reference field="12" count="0"/>
        </references>
      </pivotArea>
    </format>
    <format dxfId="1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7">
    <conditionalFormat type="all" priority="7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  <conditionalFormat type="all" priority="6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  <conditionalFormat type="all" priority="5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  <conditionalFormat type="all" priority="4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  <conditionalFormat type="all" priority="3">
      <pivotAreas count="1">
        <pivotArea outline="0" fieldPosition="0">
          <references count="1">
            <reference field="4294967294" count="1">
              <x v="3"/>
            </reference>
          </references>
        </pivotArea>
      </pivotAreas>
    </conditionalFormat>
    <conditionalFormat type="all" priority="2">
      <pivotAreas count="1">
        <pivotArea outline="0" fieldPosition="0">
          <references count="1">
            <reference field="4294967294" count="1">
              <x v="4"/>
            </reference>
          </references>
        </pivotArea>
      </pivotAreas>
    </conditionalFormat>
    <conditionalFormat type="all" priority="1">
      <pivotAreas count="1">
        <pivotArea outline="0" fieldPosition="0">
          <references count="1">
            <reference field="4294967294" count="1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6A302-DC8F-4268-AD26-DCE06E7F122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:C11" firstHeaderRow="0" firstDataRow="1" firstDataCol="1"/>
  <pivotFields count="11">
    <pivotField numFmtId="166" showAll="0"/>
    <pivotField showAll="0"/>
    <pivotField showAll="0"/>
    <pivotField showAll="0"/>
    <pivotField showAll="0"/>
    <pivotField showAll="0"/>
    <pivotField dataField="1" numFmtId="10" showAll="0"/>
    <pivotField showAll="0"/>
    <pivotField numFmtId="10" showAll="0"/>
    <pivotField axis="axisRow" showAll="0">
      <items count="6">
        <item h="1" x="0"/>
        <item x="3"/>
        <item x="1"/>
        <item x="2"/>
        <item x="4"/>
        <item t="default"/>
      </items>
    </pivotField>
    <pivotField dataField="1" showAll="0"/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6" subtotal="average" baseField="9" baseItem="0" numFmtId="10"/>
    <dataField name="Average of Ad_Spend" fld="10" subtotal="average" baseField="9" baseItem="0"/>
  </dataFields>
  <conditionalFormats count="1">
    <conditionalFormat type="all" priority="1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</conditional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4A515-E892-47F1-AA5D-855659E1314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6:B31" firstHeaderRow="1" firstDataRow="1" firstDataCol="1"/>
  <pivotFields count="11">
    <pivotField numFmtId="166" showAll="0"/>
    <pivotField showAll="0"/>
    <pivotField showAll="0"/>
    <pivotField showAll="0"/>
    <pivotField showAll="0"/>
    <pivotField showAll="0"/>
    <pivotField numFmtId="10" showAll="0"/>
    <pivotField showAll="0"/>
    <pivotField dataField="1" numFmtId="10" showAll="0"/>
    <pivotField axis="axisRow" showAll="0">
      <items count="6">
        <item h="1" x="0"/>
        <item x="3"/>
        <item x="1"/>
        <item x="2"/>
        <item x="4"/>
        <item t="default"/>
      </items>
    </pivotField>
    <pivotField showAll="0"/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Follower_Growth_Rate" fld="8" subtotal="average" baseField="9" baseItem="0" numFmtId="10"/>
  </dataFields>
  <formats count="1">
    <format dxfId="123">
      <pivotArea collapsedLevelsAreSubtotals="1" fieldPosition="0">
        <references count="1">
          <reference field="9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480E1-23FC-4887-B1B5-4AFCFBC69DCE}" name="PivotTable50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3">
  <location ref="H6:M57" firstHeaderRow="1" firstDataRow="2" firstDataCol="1"/>
  <pivotFields count="11">
    <pivotField axis="axisRow" showAll="0" sortType="ascending">
      <items count="102"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x="0"/>
        <item x="1"/>
        <item x="2"/>
        <item x="3"/>
        <item x="4"/>
        <item x="34"/>
        <item x="5"/>
        <item x="35"/>
        <item x="36"/>
        <item x="6"/>
        <item x="7"/>
        <item x="8"/>
        <item x="9"/>
        <item x="10"/>
        <item x="11"/>
        <item x="37"/>
        <item x="12"/>
        <item x="13"/>
        <item x="14"/>
        <item x="47"/>
        <item x="15"/>
        <item x="38"/>
        <item x="39"/>
        <item x="40"/>
        <item x="16"/>
        <item x="17"/>
        <item x="18"/>
        <item x="19"/>
        <item x="20"/>
        <item x="21"/>
        <item x="22"/>
        <item x="41"/>
        <item x="23"/>
        <item x="48"/>
        <item x="24"/>
        <item x="49"/>
        <item x="42"/>
        <item x="25"/>
        <item x="26"/>
        <item x="43"/>
        <item x="27"/>
        <item x="28"/>
        <item x="44"/>
        <item x="29"/>
        <item x="30"/>
        <item x="45"/>
        <item x="31"/>
        <item x="46"/>
        <item x="32"/>
        <item x="33"/>
        <item h="1" x="5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numFmtId="3" showAll="0"/>
    <pivotField numFmtId="10" showAll="0"/>
    <pivotField showAll="0"/>
    <pivotField showAll="0"/>
    <pivotField numFmtId="165" showAll="0"/>
  </pivotFields>
  <rowFields count="1">
    <field x="0"/>
  </rowFields>
  <rowItems count="50"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w_Followers" fld="2" baseField="0" baseItem="0"/>
  </dataFields>
  <formats count="14">
    <format dxfId="121">
      <pivotArea type="all" dataOnly="0" outline="0" fieldPosition="0"/>
    </format>
    <format dxfId="120">
      <pivotArea outline="0" collapsedLevelsAreSubtotals="1" fieldPosition="0"/>
    </format>
    <format dxfId="119">
      <pivotArea type="origin" dataOnly="0" labelOnly="1" outline="0" fieldPosition="0"/>
    </format>
    <format dxfId="118">
      <pivotArea field="1" type="button" dataOnly="0" labelOnly="1" outline="0" axis="axisCol" fieldPosition="0"/>
    </format>
    <format dxfId="117">
      <pivotArea type="topRight" dataOnly="0" labelOnly="1" outline="0" fieldPosition="0"/>
    </format>
    <format dxfId="116">
      <pivotArea field="0" type="button" dataOnly="0" labelOnly="1" outline="0" axis="axisRow" fieldPosition="0"/>
    </format>
    <format dxfId="115">
      <pivotArea dataOnly="0" labelOnly="1" fieldPosition="0">
        <references count="1">
          <reference field="0" count="0"/>
        </references>
      </pivotArea>
    </format>
    <format dxfId="114">
      <pivotArea dataOnly="0" labelOnly="1" grandRow="1" outline="0" fieldPosition="0"/>
    </format>
    <format dxfId="113">
      <pivotArea dataOnly="0" labelOnly="1" fieldPosition="0">
        <references count="1">
          <reference field="1" count="0"/>
        </references>
      </pivotArea>
    </format>
    <format dxfId="112">
      <pivotArea dataOnly="0" labelOnly="1" grandCol="1" outline="0" fieldPosition="0"/>
    </format>
    <format dxfId="111">
      <pivotArea dataOnly="0" fieldPosition="0">
        <references count="1">
          <reference field="0" count="1">
            <x v="7"/>
          </reference>
        </references>
      </pivotArea>
    </format>
    <format dxfId="110">
      <pivotArea collapsedLevelsAreSubtotals="1" fieldPosition="0">
        <references count="1">
          <reference field="0" count="1">
            <x v="7"/>
          </reference>
        </references>
      </pivotArea>
    </format>
    <format dxfId="109">
      <pivotArea dataOnly="0" labelOnly="1" fieldPosition="0">
        <references count="1">
          <reference field="0" count="1">
            <x v="7"/>
          </reference>
        </references>
      </pivotArea>
    </format>
    <format dxfId="108">
      <pivotArea dataOnly="0" labelOnly="1" fieldPosition="0">
        <references count="1">
          <reference field="0" count="1">
            <x v="99"/>
          </reference>
        </references>
      </pivotArea>
    </format>
  </formats>
  <conditionalFormats count="1">
    <conditionalFormat type="all" priority="1">
      <pivotAreas count="1">
        <pivotArea grandCol="1" outline="0" fieldPosition="0"/>
      </pivotAreas>
    </conditionalFormat>
  </conditionalFormats>
  <chartFormats count="9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0C348-4431-4AB6-8021-A38F8D66973A}" name="PivotTable5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8" firstHeaderRow="1" firstDataRow="1" firstDataCol="1"/>
  <pivotFields count="12">
    <pivotField axis="axisRow" showAll="0">
      <items count="52">
        <item x="0"/>
        <item x="1"/>
        <item x="2"/>
        <item x="3"/>
        <item x="4"/>
        <item x="34"/>
        <item x="5"/>
        <item x="35"/>
        <item x="36"/>
        <item x="6"/>
        <item x="7"/>
        <item x="8"/>
        <item x="9"/>
        <item x="10"/>
        <item x="11"/>
        <item x="37"/>
        <item x="12"/>
        <item x="13"/>
        <item x="14"/>
        <item x="47"/>
        <item x="15"/>
        <item x="38"/>
        <item x="39"/>
        <item x="40"/>
        <item x="16"/>
        <item x="17"/>
        <item x="18"/>
        <item x="19"/>
        <item x="20"/>
        <item x="21"/>
        <item x="22"/>
        <item x="41"/>
        <item x="23"/>
        <item x="48"/>
        <item x="24"/>
        <item x="49"/>
        <item x="42"/>
        <item x="25"/>
        <item x="26"/>
        <item x="43"/>
        <item x="27"/>
        <item x="28"/>
        <item x="44"/>
        <item x="29"/>
        <item x="30"/>
        <item x="45"/>
        <item x="31"/>
        <item x="46"/>
        <item x="32"/>
        <item x="33"/>
        <item x="50"/>
        <item t="default"/>
      </items>
    </pivotField>
    <pivotField showAll="0"/>
    <pivotField showAll="0"/>
    <pivotField showAll="0"/>
    <pivotField showAll="0"/>
    <pivotField showAll="0"/>
    <pivotField numFmtId="10"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1"/>
    <field x="0"/>
  </rowFields>
  <rowItems count="65">
    <i>
      <x/>
    </i>
    <i r="1">
      <x v="50"/>
    </i>
    <i>
      <x v="1"/>
    </i>
    <i r="1">
      <x v="31"/>
    </i>
    <i r="1">
      <x v="32"/>
    </i>
    <i r="1">
      <x v="33"/>
    </i>
    <i r="1">
      <x v="34"/>
    </i>
    <i>
      <x v="2"/>
    </i>
    <i r="1">
      <x v="35"/>
    </i>
    <i r="1">
      <x v="36"/>
    </i>
    <i r="1">
      <x v="37"/>
    </i>
    <i r="1">
      <x v="38"/>
    </i>
    <i>
      <x v="3"/>
    </i>
    <i r="1">
      <x v="39"/>
    </i>
    <i r="1">
      <x v="40"/>
    </i>
    <i r="1">
      <x v="41"/>
    </i>
    <i r="1">
      <x v="42"/>
    </i>
    <i r="1">
      <x v="43"/>
    </i>
    <i>
      <x v="4"/>
    </i>
    <i r="1">
      <x v="44"/>
    </i>
    <i r="1">
      <x v="45"/>
    </i>
    <i r="1">
      <x v="46"/>
    </i>
    <i r="1">
      <x v="47"/>
    </i>
    <i>
      <x v="5"/>
    </i>
    <i r="1">
      <x v="48"/>
    </i>
    <i r="1">
      <x v="49"/>
    </i>
    <i>
      <x v="6"/>
    </i>
    <i r="1">
      <x/>
    </i>
    <i r="1">
      <x v="1"/>
    </i>
    <i r="1">
      <x v="2"/>
    </i>
    <i r="1">
      <x v="3"/>
    </i>
    <i>
      <x v="7"/>
    </i>
    <i r="1">
      <x v="4"/>
    </i>
    <i r="1">
      <x v="5"/>
    </i>
    <i r="1">
      <x v="6"/>
    </i>
    <i r="1">
      <x v="7"/>
    </i>
    <i r="1">
      <x v="8"/>
    </i>
    <i>
      <x v="8"/>
    </i>
    <i r="1">
      <x v="9"/>
    </i>
    <i r="1">
      <x v="10"/>
    </i>
    <i r="1">
      <x v="11"/>
    </i>
    <i r="1">
      <x v="12"/>
    </i>
    <i>
      <x v="9"/>
    </i>
    <i r="1">
      <x v="13"/>
    </i>
    <i r="1">
      <x v="14"/>
    </i>
    <i r="1">
      <x v="15"/>
    </i>
    <i r="1">
      <x v="16"/>
    </i>
    <i r="1">
      <x v="17"/>
    </i>
    <i>
      <x v="10"/>
    </i>
    <i r="1">
      <x v="18"/>
    </i>
    <i r="1">
      <x v="19"/>
    </i>
    <i r="1">
      <x v="20"/>
    </i>
    <i r="1">
      <x v="21"/>
    </i>
    <i>
      <x v="11"/>
    </i>
    <i r="1">
      <x v="22"/>
    </i>
    <i r="1">
      <x v="23"/>
    </i>
    <i r="1">
      <x v="24"/>
    </i>
    <i r="1">
      <x v="25"/>
    </i>
    <i>
      <x v="12"/>
    </i>
    <i r="1">
      <x v="26"/>
    </i>
    <i r="1">
      <x v="27"/>
    </i>
    <i r="1">
      <x v="28"/>
    </i>
    <i r="1">
      <x v="29"/>
    </i>
    <i r="1">
      <x v="30"/>
    </i>
    <i t="grand">
      <x/>
    </i>
  </rowItems>
  <colItems count="1">
    <i/>
  </colItems>
  <dataFields count="1">
    <dataField name="Sum of NewFollower-Unfollowe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BEA68-2BB9-4BAF-AD17-B992FE2AA59F}" name="PivotTable5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8" firstHeaderRow="1" firstDataRow="1" firstDataCol="1"/>
  <pivotFields count="12">
    <pivotField axis="axisRow" showAll="0">
      <items count="52">
        <item x="0"/>
        <item x="1"/>
        <item x="2"/>
        <item x="3"/>
        <item x="4"/>
        <item x="34"/>
        <item x="5"/>
        <item x="35"/>
        <item x="36"/>
        <item x="6"/>
        <item x="7"/>
        <item x="8"/>
        <item x="9"/>
        <item x="10"/>
        <item x="11"/>
        <item x="37"/>
        <item x="12"/>
        <item x="13"/>
        <item x="14"/>
        <item x="47"/>
        <item x="15"/>
        <item x="38"/>
        <item x="39"/>
        <item x="40"/>
        <item x="16"/>
        <item x="17"/>
        <item x="18"/>
        <item x="19"/>
        <item x="20"/>
        <item x="21"/>
        <item x="22"/>
        <item x="41"/>
        <item x="23"/>
        <item x="48"/>
        <item x="24"/>
        <item x="49"/>
        <item x="42"/>
        <item x="25"/>
        <item x="26"/>
        <item x="43"/>
        <item x="27"/>
        <item x="28"/>
        <item x="44"/>
        <item x="29"/>
        <item x="30"/>
        <item x="45"/>
        <item x="31"/>
        <item x="46"/>
        <item x="32"/>
        <item x="33"/>
        <item x="50"/>
        <item t="default"/>
      </items>
    </pivotField>
    <pivotField showAll="0"/>
    <pivotField showAll="0"/>
    <pivotField showAll="0"/>
    <pivotField showAll="0"/>
    <pivotField showAll="0"/>
    <pivotField numFmtId="10"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1"/>
    <field x="0"/>
  </rowFields>
  <rowItems count="65">
    <i>
      <x/>
    </i>
    <i r="1">
      <x v="50"/>
    </i>
    <i>
      <x v="1"/>
    </i>
    <i r="1">
      <x v="31"/>
    </i>
    <i r="1">
      <x v="32"/>
    </i>
    <i r="1">
      <x v="33"/>
    </i>
    <i r="1">
      <x v="34"/>
    </i>
    <i>
      <x v="2"/>
    </i>
    <i r="1">
      <x v="35"/>
    </i>
    <i r="1">
      <x v="36"/>
    </i>
    <i r="1">
      <x v="37"/>
    </i>
    <i r="1">
      <x v="38"/>
    </i>
    <i>
      <x v="3"/>
    </i>
    <i r="1">
      <x v="39"/>
    </i>
    <i r="1">
      <x v="40"/>
    </i>
    <i r="1">
      <x v="41"/>
    </i>
    <i r="1">
      <x v="42"/>
    </i>
    <i r="1">
      <x v="43"/>
    </i>
    <i>
      <x v="4"/>
    </i>
    <i r="1">
      <x v="44"/>
    </i>
    <i r="1">
      <x v="45"/>
    </i>
    <i r="1">
      <x v="46"/>
    </i>
    <i r="1">
      <x v="47"/>
    </i>
    <i>
      <x v="5"/>
    </i>
    <i r="1">
      <x v="48"/>
    </i>
    <i r="1">
      <x v="49"/>
    </i>
    <i>
      <x v="6"/>
    </i>
    <i r="1">
      <x/>
    </i>
    <i r="1">
      <x v="1"/>
    </i>
    <i r="1">
      <x v="2"/>
    </i>
    <i r="1">
      <x v="3"/>
    </i>
    <i>
      <x v="7"/>
    </i>
    <i r="1">
      <x v="4"/>
    </i>
    <i r="1">
      <x v="5"/>
    </i>
    <i r="1">
      <x v="6"/>
    </i>
    <i r="1">
      <x v="7"/>
    </i>
    <i r="1">
      <x v="8"/>
    </i>
    <i>
      <x v="8"/>
    </i>
    <i r="1">
      <x v="9"/>
    </i>
    <i r="1">
      <x v="10"/>
    </i>
    <i r="1">
      <x v="11"/>
    </i>
    <i r="1">
      <x v="12"/>
    </i>
    <i>
      <x v="9"/>
    </i>
    <i r="1">
      <x v="13"/>
    </i>
    <i r="1">
      <x v="14"/>
    </i>
    <i r="1">
      <x v="15"/>
    </i>
    <i r="1">
      <x v="16"/>
    </i>
    <i r="1">
      <x v="17"/>
    </i>
    <i>
      <x v="10"/>
    </i>
    <i r="1">
      <x v="18"/>
    </i>
    <i r="1">
      <x v="19"/>
    </i>
    <i r="1">
      <x v="20"/>
    </i>
    <i r="1">
      <x v="21"/>
    </i>
    <i>
      <x v="11"/>
    </i>
    <i r="1">
      <x v="22"/>
    </i>
    <i r="1">
      <x v="23"/>
    </i>
    <i r="1">
      <x v="24"/>
    </i>
    <i r="1">
      <x v="25"/>
    </i>
    <i>
      <x v="12"/>
    </i>
    <i r="1">
      <x v="26"/>
    </i>
    <i r="1">
      <x v="27"/>
    </i>
    <i r="1">
      <x v="28"/>
    </i>
    <i r="1">
      <x v="29"/>
    </i>
    <i r="1">
      <x v="30"/>
    </i>
    <i t="grand">
      <x/>
    </i>
  </rowItems>
  <colItems count="1">
    <i/>
  </colItems>
  <dataFields count="1">
    <dataField name="Sum of NewFollower-Unfollowe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7D798-6C1A-4777-976E-A1B59B5FA83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C8" firstHeaderRow="0" firstDataRow="1" firstDataCol="1"/>
  <pivotFields count="11">
    <pivotField numFmtId="166"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dataField="1" numFmtId="10" showAll="0"/>
    <pivotField showAll="0"/>
    <pivotField numFmtId="10"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6" subtotal="average" baseField="1" baseItem="0" numFmtId="10"/>
    <dataField name="Average of Ad_Spend" fld="10" subtotal="average" baseField="1" baseItem="0"/>
  </dataFields>
  <formats count="1">
    <format dxfId="91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6C89B-870A-40D0-96DD-C9641DF9E7C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1">
    <pivotField numFmtId="166" showAll="0"/>
    <pivotField showAll="0"/>
    <pivotField showAll="0"/>
    <pivotField showAll="0"/>
    <pivotField showAll="0"/>
    <pivotField showAll="0"/>
    <pivotField numFmtId="10" showAll="0"/>
    <pivotField showAll="0"/>
    <pivotField dataField="1" numFmtId="10" showAll="0"/>
    <pivotField axis="axisRow" showAll="0">
      <items count="6">
        <item h="1" x="0"/>
        <item x="3"/>
        <item x="1"/>
        <item x="2"/>
        <item x="4"/>
        <item t="default"/>
      </items>
    </pivotField>
    <pivotField showAll="0"/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Follower_Growth_Rate" fld="8" subtotal="average" baseField="9" baseItem="0" numFmtId="10"/>
  </dataFields>
  <formats count="1">
    <format dxfId="90">
      <pivotArea collapsedLevelsAreSubtotals="1" fieldPosition="0">
        <references count="1">
          <reference field="9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358B9-6230-4C18-A6D6-A9DBB4DFD683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3:B9" firstHeaderRow="1" firstDataRow="1" firstDataCol="1"/>
  <pivotFields count="11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numFmtId="3" showAll="0"/>
    <pivotField dataField="1" numFmtId="10" showAll="0"/>
    <pivotField showAll="0"/>
    <pivotField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ollower_Growth_Rate" fld="7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3D0B0AE-A87C-4D89-9535-7C2D5BA75DE7}" autoFormatId="16" applyNumberFormats="0" applyBorderFormats="0" applyFontFormats="0" applyPatternFormats="0" applyAlignmentFormats="0" applyWidthHeightFormats="0">
  <queryTableRefresh nextId="14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EngagementRate" tableColumnId="12"/>
      <queryTableField id="13" name="Campaign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C74602-22F0-4279-AF0E-22ACF845A9D1}" autoFormatId="16" applyNumberFormats="0" applyBorderFormats="0" applyFontFormats="0" applyPatternFormats="0" applyAlignmentFormats="0" applyWidthHeightFormats="0">
  <queryTableRefresh nextId="14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EngagementRate" tableColumnId="12"/>
      <queryTableField id="13" name="Campaign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3D4030-58F2-47CB-A488-F4BC82FF57D9}" name="Table15" displayName="Table15" ref="A1:J301" totalsRowShown="0" headerRowDxfId="272" dataDxfId="270" headerRowBorderDxfId="271" tableBorderDxfId="269" totalsRowBorderDxfId="268">
  <autoFilter ref="A1:J301" xr:uid="{823D4030-58F2-47CB-A488-F4BC82FF57D9}"/>
  <tableColumns count="10">
    <tableColumn id="1" xr3:uid="{0453F577-8802-4D3F-B719-09D506A6A966}" name="PostID" dataDxfId="267"/>
    <tableColumn id="2" xr3:uid="{01E7E938-9244-46C2-93DE-14F5146F6579}" name="Platform" dataDxfId="266"/>
    <tableColumn id="3" xr3:uid="{21818929-E9F6-4512-9B41-2958BF6E6CCA}" name="Date" dataDxfId="265"/>
    <tableColumn id="5" xr3:uid="{993E5276-0933-4F12-BF9A-4DA1AA76B940}" name="Hashtags" dataDxfId="264"/>
    <tableColumn id="6" xr3:uid="{E3A49E1A-C0A3-47C8-9B12-960831A24BD3}" name="Likes" dataDxfId="263"/>
    <tableColumn id="7" xr3:uid="{3F7F5DD4-491E-4F3E-B699-7C011CA58AF2}" name="Shares" dataDxfId="262"/>
    <tableColumn id="8" xr3:uid="{0B84A329-84ED-48B3-BB68-1F634D783975}" name="Comments" dataDxfId="261" dataCellStyle="Comma"/>
    <tableColumn id="9" xr3:uid="{1C298BB6-5AB8-470B-AA17-53987F9E1466}" name="Clicks" dataDxfId="260" dataCellStyle="Comma"/>
    <tableColumn id="10" xr3:uid="{C49E331F-EEB0-4A86-BE4A-138EED9FDCDE}" name="Reach" dataDxfId="259" dataCellStyle="Comma"/>
    <tableColumn id="11" xr3:uid="{EFEB2779-7576-48F8-9021-A1ED2EAED467}" name="Impressions" dataDxfId="258" dataCellStyle="Comma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209B65-1797-42C7-A526-349DBD5880EE}" name="Table1_17" displayName="Table1_17" ref="A1:M301" tableType="queryTable" totalsRowShown="0">
  <autoFilter ref="A1:M301" xr:uid="{19209B65-1797-42C7-A526-349DBD5880EE}"/>
  <tableColumns count="13">
    <tableColumn id="1" xr3:uid="{27703AF9-699D-4B9C-8632-2C283C48028D}" uniqueName="1" name="PostID" queryTableFieldId="1" dataDxfId="257"/>
    <tableColumn id="2" xr3:uid="{440F7FFF-E0D7-445F-8DD6-002E450F4C98}" uniqueName="2" name="Platform" queryTableFieldId="2" dataDxfId="256"/>
    <tableColumn id="3" xr3:uid="{080D115C-451D-4694-B857-D908C6B6516E}" uniqueName="3" name="Date" queryTableFieldId="3" dataDxfId="255"/>
    <tableColumn id="4" xr3:uid="{8D9F6EBA-B83B-4288-9395-8E3723550EBD}" uniqueName="4" name="ContentType" queryTableFieldId="4" dataDxfId="254"/>
    <tableColumn id="5" xr3:uid="{56B484ED-D0FE-4C99-B6D1-4D403DD9299C}" uniqueName="5" name="Hashtags" queryTableFieldId="5" dataDxfId="253"/>
    <tableColumn id="6" xr3:uid="{30DDF9CA-E751-4EA2-ABC1-8299C5BB9403}" uniqueName="6" name="Likes" queryTableFieldId="6" dataDxfId="252"/>
    <tableColumn id="7" xr3:uid="{E64F3DEA-A866-4A3A-9589-4EF566D9E96B}" uniqueName="7" name="Shares" queryTableFieldId="7" dataDxfId="251"/>
    <tableColumn id="8" xr3:uid="{416DACD5-4D74-4F39-903C-F5A3FC4C745F}" uniqueName="8" name="Comments" queryTableFieldId="8" dataDxfId="250"/>
    <tableColumn id="9" xr3:uid="{BEBD5E75-6A8A-481B-8A15-2276F60CF5F5}" uniqueName="9" name="Clicks" queryTableFieldId="9" dataDxfId="249"/>
    <tableColumn id="10" xr3:uid="{A8793051-E80F-414D-88AF-E8160161B1E1}" uniqueName="10" name="Reach" queryTableFieldId="10" dataDxfId="248"/>
    <tableColumn id="11" xr3:uid="{692EC030-667B-48F1-A6B3-10ADD5C0234B}" uniqueName="11" name="Impressions" queryTableFieldId="11" dataDxfId="247"/>
    <tableColumn id="12" xr3:uid="{112242A7-1CEC-4964-8FB7-521E5370B951}" uniqueName="12" name="EngagementRate" queryTableFieldId="12" dataDxfId="246" dataCellStyle="Percent"/>
    <tableColumn id="13" xr3:uid="{0538BE61-8822-472A-AE93-C14AB14029B9}" uniqueName="13" name="Campaign" queryTableFieldId="13" dataDxfId="2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255E237-623B-4D88-AD42-52656EEB57A8}" name="Table810" displayName="Table810" ref="A26:C36" totalsRowShown="0" tableBorderDxfId="211">
  <autoFilter ref="A26:C36" xr:uid="{F255E237-623B-4D88-AD42-52656EEB57A8}"/>
  <tableColumns count="3">
    <tableColumn id="1" xr3:uid="{683A1058-989E-4EB6-B60F-5C49F472615C}" name="PostID" dataDxfId="210"/>
    <tableColumn id="2" xr3:uid="{5C7D0989-47DF-450F-B813-C115D53BFB6C}" name="Platform" dataDxfId="209"/>
    <tableColumn id="3" xr3:uid="{0757BA94-3B36-424D-84BD-43BDF9DAA73F}" name="EngagementRate" dataDxfId="208" dataCellStyle="Percent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0CD208-6F73-4DCD-97F6-A88317D284EE}" name="Table8" displayName="Table8" ref="A1:C11" totalsRowShown="0" tableBorderDxfId="207">
  <autoFilter ref="A1:C11" xr:uid="{980CD208-6F73-4DCD-97F6-A88317D284EE}"/>
  <tableColumns count="3">
    <tableColumn id="1" xr3:uid="{00718C43-5DB7-425F-BF8C-20E4835F7A1A}" name="PostID" dataDxfId="206"/>
    <tableColumn id="2" xr3:uid="{376F39C5-AE1D-4176-9380-9B4187F64293}" name="Platform" dataDxfId="205"/>
    <tableColumn id="3" xr3:uid="{94C0433C-295A-4C0F-A8A8-AC92401A3AA6}" name="EngagementRate" dataDxfId="204" dataCellStyle="Percent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928F18-08A6-4BA2-AB01-49CAF56E0588}" name="Table11" displayName="Table11" ref="A3:M22" totalsRowShown="0">
  <autoFilter ref="A3:M22" xr:uid="{53928F18-08A6-4BA2-AB01-49CAF56E0588}"/>
  <tableColumns count="13">
    <tableColumn id="1" xr3:uid="{5CEAC4F0-2E2D-4D02-A826-5307B7551C19}" name="PostID"/>
    <tableColumn id="2" xr3:uid="{CDB8C4FE-D7B8-43E3-8B4B-597020AFB13B}" name="Platform"/>
    <tableColumn id="3" xr3:uid="{3A42A925-214E-4E6B-A9E6-7070CCECF8B6}" name="Date" dataDxfId="159"/>
    <tableColumn id="4" xr3:uid="{31ADA79A-A6D3-446D-A183-1B7576C58808}" name="ContentType"/>
    <tableColumn id="5" xr3:uid="{53EC45F4-375F-40D9-BA36-EA3B032A3DD1}" name="Hashtags"/>
    <tableColumn id="6" xr3:uid="{1DBFBE93-5C19-49EF-AD18-6CE9363464C2}" name="Likes"/>
    <tableColumn id="7" xr3:uid="{444DE8E0-3177-4FB8-B614-9128D936AA47}" name="Shares"/>
    <tableColumn id="8" xr3:uid="{1E1802DB-EF2D-428E-A476-1D9CB35D9410}" name="Comments"/>
    <tableColumn id="9" xr3:uid="{607A9766-4BCA-45E1-91CA-2693DDCF0CC8}" name="Clicks"/>
    <tableColumn id="10" xr3:uid="{A57F4851-EE2E-4B55-80B3-DE4E7AACBF63}" name="Reach"/>
    <tableColumn id="11" xr3:uid="{504FBD7B-F398-4F07-95FB-149E244BA588}" name="Impressions"/>
    <tableColumn id="12" xr3:uid="{24AAC4E0-B983-434D-9633-291514372854}" name="EngagementRate"/>
    <tableColumn id="13" xr3:uid="{1054EE14-F61B-40A2-A02D-0CD7D32C8557}" name="Campaig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95924-A58E-4EAC-A4D4-7549BF425637}" name="Table16" displayName="Table16" ref="A1:E80" totalsRowShown="0">
  <autoFilter ref="A1:E80" xr:uid="{96195924-A58E-4EAC-A4D4-7549BF425637}"/>
  <tableColumns count="5">
    <tableColumn id="1" xr3:uid="{9EFA1C6C-BAB5-435E-B169-980667F29EEA}" name="Row Labels" dataDxfId="107"/>
    <tableColumn id="2" xr3:uid="{BB1EC7FF-1214-4486-84AF-6691B51B27FD}" name="Sum of NewFollower-Unfollower"/>
    <tableColumn id="3" xr3:uid="{F3A129CB-FB0C-4A52-91E6-6B3E7F84E042}" name="Forecast(Sum of NewFollower-Unfollower)">
      <calculatedColumnFormula>_xlfn.FORECAST.ETS(A2,$B$2:$B$51,$A$2:$A$51,10,1)</calculatedColumnFormula>
    </tableColumn>
    <tableColumn id="4" xr3:uid="{19DC00BC-D0C4-442D-B62B-E6CB0F186D90}" name="Lower Confidence Bound(Sum of NewFollower-Unfollower)" dataDxfId="106">
      <calculatedColumnFormula>C2-_xlfn.FORECAST.ETS.CONFINT(A2,$B$2:$B$51,$A$2:$A$51,0.95,10,1)</calculatedColumnFormula>
    </tableColumn>
    <tableColumn id="5" xr3:uid="{CB174F12-7D98-449A-AB80-3D1197BB16F4}" name="Upper Confidence Bound(Sum of NewFollower-Unfollower)" dataDxfId="105">
      <calculatedColumnFormula>C2+_xlfn.FORECAST.ETS.CONFINT(A2,$B$2:$B$51,$A$2:$A$51,0.95,10,1)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1DE945-281E-484C-BB6F-D62E8A381286}" name="Table1_1" displayName="Table1_1" ref="A1:M301" tableType="queryTable" totalsRowShown="0">
  <autoFilter ref="A1:M301" xr:uid="{F71DE945-281E-484C-BB6F-D62E8A381286}"/>
  <tableColumns count="13">
    <tableColumn id="1" xr3:uid="{18F35871-1D83-4189-AC0C-9230DD4FA0E4}" uniqueName="1" name="PostID" queryTableFieldId="1" dataDxfId="104"/>
    <tableColumn id="2" xr3:uid="{A1922620-B91C-4FBC-9360-48FD1A468846}" uniqueName="2" name="Platform" queryTableFieldId="2" dataDxfId="103"/>
    <tableColumn id="3" xr3:uid="{40B75A42-920D-4E6A-AD53-F226B264FF3A}" uniqueName="3" name="Date" queryTableFieldId="3" dataDxfId="102"/>
    <tableColumn id="4" xr3:uid="{BA4DF13D-9D9E-42D2-93C6-A5CB1C185BF0}" uniqueName="4" name="ContentType" queryTableFieldId="4" dataDxfId="101"/>
    <tableColumn id="5" xr3:uid="{25ECFB90-DA78-4AAA-9D74-D6C6EEEE18BF}" uniqueName="5" name="Hashtags" queryTableFieldId="5" dataDxfId="100"/>
    <tableColumn id="6" xr3:uid="{22C3F1B7-82ED-4C83-841A-9CADC1DAA867}" uniqueName="6" name="Likes" queryTableFieldId="6" dataDxfId="99"/>
    <tableColumn id="7" xr3:uid="{CDF93457-6913-498D-8069-3A0F51739B44}" uniqueName="7" name="Shares" queryTableFieldId="7" dataDxfId="98"/>
    <tableColumn id="8" xr3:uid="{ED2B1D6F-68BE-4594-A06D-B99302E04A8B}" uniqueName="8" name="Comments" queryTableFieldId="8" dataDxfId="97"/>
    <tableColumn id="9" xr3:uid="{80340C34-911B-4A82-B3D2-E62BC959A086}" uniqueName="9" name="Clicks" queryTableFieldId="9" dataDxfId="96"/>
    <tableColumn id="10" xr3:uid="{25AC0E28-0AB6-4777-87BC-5353579488DB}" uniqueName="10" name="Reach" queryTableFieldId="10" dataDxfId="95"/>
    <tableColumn id="11" xr3:uid="{C79DA377-4E4D-4F83-9CCA-FD1B29DAE949}" uniqueName="11" name="Impressions" queryTableFieldId="11" dataDxfId="94"/>
    <tableColumn id="12" xr3:uid="{35D6AD7D-5763-44FD-81B1-B43CC5EE2862}" uniqueName="12" name="EngagementRate" queryTableFieldId="12" dataDxfId="93" dataCellStyle="Percent"/>
    <tableColumn id="13" xr3:uid="{6010A819-9699-45A9-B855-6D384E8A879E}" uniqueName="13" name="Campaign" queryTableFieldId="13" dataDxfId="9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78F5D-FD49-44CA-9B06-EF60AA494B7E}" name="Table1" displayName="Table1" ref="A1:M301" totalsRowShown="0" headerRowDxfId="89" dataDxfId="87" headerRowBorderDxfId="88" tableBorderDxfId="86" totalsRowBorderDxfId="85">
  <autoFilter ref="A1:M301" xr:uid="{38078F5D-FD49-44CA-9B06-EF60AA494B7E}"/>
  <sortState xmlns:xlrd2="http://schemas.microsoft.com/office/spreadsheetml/2017/richdata2" ref="A2:M301">
    <sortCondition descending="1" ref="L2:L301"/>
  </sortState>
  <tableColumns count="13">
    <tableColumn id="1" xr3:uid="{DDBEBCC9-90CF-49F7-B68D-47A9C45214DE}" name="PostID" dataDxfId="84"/>
    <tableColumn id="2" xr3:uid="{A540DD82-8D4D-4B8A-9005-43B5F8CC3FC6}" name="Platform" dataDxfId="83"/>
    <tableColumn id="3" xr3:uid="{FCC4CE7B-4CD5-4DC2-B99E-FD4B974213CB}" name="Date" dataDxfId="82"/>
    <tableColumn id="4" xr3:uid="{DF103881-29AE-49E6-9A58-A13B55666E25}" name="ContentType" dataDxfId="81"/>
    <tableColumn id="5" xr3:uid="{96889CE1-96A5-41CA-9AB9-5ECF93C89FD5}" name="Hashtags" dataDxfId="80"/>
    <tableColumn id="6" xr3:uid="{CE2CB2FF-9028-4DB6-95EB-7EE608A48C38}" name="Likes" dataDxfId="79"/>
    <tableColumn id="7" xr3:uid="{BEA31BC6-7FB6-4FA6-B282-560A89D6885F}" name="Shares" dataDxfId="78"/>
    <tableColumn id="8" xr3:uid="{89FF142B-287A-4361-91BB-1E392C63DE2E}" name="Comments" dataDxfId="77" dataCellStyle="Comma"/>
    <tableColumn id="9" xr3:uid="{E6895DDF-F8A9-43C9-8373-FBDDE870FF58}" name="Clicks" dataDxfId="76" dataCellStyle="Comma"/>
    <tableColumn id="10" xr3:uid="{8B998DD4-2D8B-4ECC-AA13-845A10179C16}" name="Reach" dataDxfId="75" dataCellStyle="Comma"/>
    <tableColumn id="11" xr3:uid="{4E5DAEE5-9A67-4ED4-90CA-44ABCD4E69F7}" name="Impressions" dataDxfId="74" dataCellStyle="Comma"/>
    <tableColumn id="14" xr3:uid="{1D481C13-EDA4-4A65-8194-09DA7349888B}" name="EngagementRate" dataDxfId="73" dataCellStyle="Percent">
      <calculatedColumnFormula>(F2+G2+H2)/K2</calculatedColumnFormula>
    </tableColumn>
    <tableColumn id="12" xr3:uid="{43CC20FA-B0DF-4DD3-9BCF-654E2F03C1BE}" name="Campaign" dataDxfId="72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D7E271-E519-4ABA-89F8-287266E684B3}" name="Table2" displayName="Table2" ref="A1:J1000" totalsRowShown="0" headerRowDxfId="71" dataDxfId="69" headerRowBorderDxfId="70" tableBorderDxfId="68" totalsRowBorderDxfId="67">
  <autoFilter ref="A1:J1000" xr:uid="{A7D7E271-E519-4ABA-89F8-287266E684B3}"/>
  <sortState xmlns:xlrd2="http://schemas.microsoft.com/office/spreadsheetml/2017/richdata2" ref="A2:J201">
    <sortCondition ref="B1:B201"/>
  </sortState>
  <tableColumns count="10">
    <tableColumn id="1" xr3:uid="{A4EF6650-9E3E-4EF0-8C1C-2332A1DFACF6}" name="Week_Start_Date" dataDxfId="66"/>
    <tableColumn id="2" xr3:uid="{8AE185E5-F1B2-4AB4-8AD2-18D2D19FBD1B}" name="Platform" dataDxfId="65"/>
    <tableColumn id="3" xr3:uid="{D8419799-7AD5-47B5-AC79-D39066C8C3B8}" name="New_Followers" dataDxfId="64"/>
    <tableColumn id="4" xr3:uid="{69AA324C-863F-4302-BCE9-7086D6DF58AD}" name="Unfollows" dataDxfId="63"/>
    <tableColumn id="5" xr3:uid="{30DFA920-3812-4256-91A5-486A6650BA7E}" name="Total_Followers" dataDxfId="62"/>
    <tableColumn id="6" xr3:uid="{950A1DE9-A2C1-4546-8CD9-B54858BE9A2C}" name="Engagement_Rate" dataDxfId="61" dataCellStyle="Percent"/>
    <tableColumn id="14" xr3:uid="{A0545999-08CD-4C85-9E32-94F0DA714133}" name="NewFollower-Unfollower" dataDxfId="60" dataCellStyle="Percent">
      <calculatedColumnFormula>C2-D2</calculatedColumnFormula>
    </tableColumn>
    <tableColumn id="8" xr3:uid="{3B646802-F9D1-4CA6-AFC6-4A80EF1FF24F}" name="Follower_Growth_Rate" dataDxfId="59">
      <calculatedColumnFormula>(C2-D2)/E2</calculatedColumnFormula>
    </tableColumn>
    <tableColumn id="12" xr3:uid="{2EC19DB8-058E-4336-A50C-DAB0D2073F3F}" name="F_Growth_rate" dataDxfId="58">
      <calculatedColumnFormula>(C2 - D2) / (E2 - C2)</calculatedColumnFormula>
    </tableColumn>
    <tableColumn id="7" xr3:uid="{A277F06A-A9B9-4624-B314-973132F8CA25}" name="Ad_Spend" dataDxfId="57" dataCellStyle="Comma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FA3F4F-9175-4D94-B55F-6F95C69FAF6B}" name="Table3" displayName="Table3" ref="A1:G1000" totalsRowShown="0" headerRowDxfId="56" headerRowBorderDxfId="55" tableBorderDxfId="54" totalsRowBorderDxfId="53">
  <autoFilter ref="A1:G1000" xr:uid="{52FA3F4F-9175-4D94-B55F-6F95C69FAF6B}"/>
  <tableColumns count="7">
    <tableColumn id="1" xr3:uid="{9B8E0391-22B1-478E-A6EA-271BD3325EA8}" name="Campaign_Name" dataDxfId="52"/>
    <tableColumn id="2" xr3:uid="{35CEB27D-EB27-491B-8E8F-C7B518E7A792}" name="Start_Date" dataDxfId="51"/>
    <tableColumn id="3" xr3:uid="{B5FB7A20-B8FD-487D-BE93-D828EA6B0A1B}" name="End_Date" dataDxfId="50"/>
    <tableColumn id="4" xr3:uid="{089AA570-A329-40B6-941B-1B3C299556EF}" name="Objective" dataDxfId="49"/>
    <tableColumn id="5" xr3:uid="{965DA245-F009-406A-BF70-2A4F5ACC97BD}" name="Ad_Spend" dataDxfId="48" dataCellStyle="Comma"/>
    <tableColumn id="6" xr3:uid="{DCD3CE77-F5A2-44A4-81AE-2FA5C96B334C}" name="Impressions" dataDxfId="47" dataCellStyle="Comma"/>
    <tableColumn id="7" xr3:uid="{62EA251D-A9D8-4133-8EE7-1282213175AC}" name="Engagement_Uplift" dataDxfId="4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B225-A518-4905-B0C2-2643E3E3EE06}">
  <dimension ref="A1:L301"/>
  <sheetViews>
    <sheetView workbookViewId="0">
      <selection activeCell="L13" sqref="L13"/>
    </sheetView>
  </sheetViews>
  <sheetFormatPr defaultRowHeight="14.4" x14ac:dyDescent="0.3"/>
  <cols>
    <col min="1" max="1" width="10.88671875" bestFit="1" customWidth="1"/>
    <col min="2" max="2" width="12.77734375" bestFit="1" customWidth="1"/>
    <col min="3" max="3" width="27.88671875" style="1" bestFit="1" customWidth="1"/>
    <col min="4" max="4" width="31.88671875" bestFit="1" customWidth="1"/>
    <col min="5" max="5" width="9.5546875" bestFit="1" customWidth="1"/>
    <col min="6" max="6" width="11" bestFit="1" customWidth="1"/>
    <col min="8" max="9" width="11" bestFit="1" customWidth="1"/>
    <col min="10" max="10" width="16.33203125" bestFit="1" customWidth="1"/>
    <col min="12" max="12" width="121.33203125" customWidth="1"/>
  </cols>
  <sheetData>
    <row r="1" spans="1:12" x14ac:dyDescent="0.3">
      <c r="A1" s="2" t="s">
        <v>0</v>
      </c>
      <c r="B1" s="3" t="s">
        <v>1</v>
      </c>
      <c r="C1" s="4" t="s">
        <v>2</v>
      </c>
      <c r="D1" s="3" t="s">
        <v>4</v>
      </c>
      <c r="E1" s="15" t="s">
        <v>5</v>
      </c>
      <c r="F1" s="15" t="s">
        <v>6</v>
      </c>
      <c r="G1" s="19" t="s">
        <v>7</v>
      </c>
      <c r="H1" s="19" t="s">
        <v>8</v>
      </c>
      <c r="I1" s="23" t="s">
        <v>9</v>
      </c>
      <c r="J1" s="19" t="s">
        <v>10</v>
      </c>
    </row>
    <row r="2" spans="1:12" x14ac:dyDescent="0.3">
      <c r="A2" s="6" t="s">
        <v>12</v>
      </c>
      <c r="B2" s="7" t="s">
        <v>13</v>
      </c>
      <c r="C2" s="8">
        <v>45649</v>
      </c>
      <c r="D2" s="7" t="s">
        <v>343</v>
      </c>
      <c r="E2" s="16">
        <v>24516</v>
      </c>
      <c r="F2" s="16">
        <v>976</v>
      </c>
      <c r="G2" s="20">
        <v>974</v>
      </c>
      <c r="H2" s="20">
        <v>2675</v>
      </c>
      <c r="I2" s="24">
        <v>23275</v>
      </c>
      <c r="J2" s="20">
        <v>202932</v>
      </c>
    </row>
    <row r="3" spans="1:12" x14ac:dyDescent="0.3">
      <c r="A3" s="6" t="s">
        <v>16</v>
      </c>
      <c r="B3" s="7" t="s">
        <v>17</v>
      </c>
      <c r="C3" s="8">
        <v>45903</v>
      </c>
      <c r="D3" s="7" t="s">
        <v>344</v>
      </c>
      <c r="E3" s="16">
        <v>4779</v>
      </c>
      <c r="F3" s="16">
        <v>1110</v>
      </c>
      <c r="G3" s="20">
        <v>436</v>
      </c>
      <c r="H3" s="20">
        <v>1574</v>
      </c>
      <c r="I3" s="24">
        <v>77167</v>
      </c>
      <c r="J3" s="20">
        <v>71585</v>
      </c>
    </row>
    <row r="4" spans="1:12" x14ac:dyDescent="0.3">
      <c r="A4" s="6" t="s">
        <v>19</v>
      </c>
      <c r="B4" s="7" t="s">
        <v>20</v>
      </c>
      <c r="C4" s="8">
        <v>45789</v>
      </c>
      <c r="D4" s="7" t="s">
        <v>345</v>
      </c>
      <c r="E4" s="16">
        <v>19308</v>
      </c>
      <c r="F4" s="16">
        <v>1318</v>
      </c>
      <c r="G4" s="20">
        <v>795</v>
      </c>
      <c r="H4" s="20">
        <v>1499</v>
      </c>
      <c r="I4" s="24">
        <v>52307</v>
      </c>
      <c r="J4" s="20">
        <v>193087</v>
      </c>
    </row>
    <row r="5" spans="1:12" ht="18" x14ac:dyDescent="0.3">
      <c r="A5" s="6" t="s">
        <v>23</v>
      </c>
      <c r="B5" s="7" t="s">
        <v>13</v>
      </c>
      <c r="C5" s="8">
        <v>45516</v>
      </c>
      <c r="D5" s="7" t="s">
        <v>346</v>
      </c>
      <c r="E5" s="16">
        <v>3581</v>
      </c>
      <c r="F5" s="16">
        <v>517</v>
      </c>
      <c r="G5" s="20">
        <v>880</v>
      </c>
      <c r="H5" s="20">
        <v>1925</v>
      </c>
      <c r="I5" s="24">
        <v>18636</v>
      </c>
      <c r="J5" s="20">
        <v>248611</v>
      </c>
      <c r="L5" s="129" t="s">
        <v>426</v>
      </c>
    </row>
    <row r="6" spans="1:12" ht="18" x14ac:dyDescent="0.3">
      <c r="A6" s="6" t="s">
        <v>26</v>
      </c>
      <c r="B6" s="7" t="s">
        <v>13</v>
      </c>
      <c r="C6" s="8">
        <v>45904</v>
      </c>
      <c r="D6" s="7" t="s">
        <v>343</v>
      </c>
      <c r="E6" s="16">
        <v>21708</v>
      </c>
      <c r="F6" s="16">
        <v>435</v>
      </c>
      <c r="G6" s="20">
        <v>317</v>
      </c>
      <c r="H6" s="20">
        <v>1213</v>
      </c>
      <c r="I6" s="24">
        <v>70701</v>
      </c>
      <c r="J6" s="20">
        <v>83585</v>
      </c>
      <c r="L6" s="129" t="s">
        <v>427</v>
      </c>
    </row>
    <row r="7" spans="1:12" ht="18" x14ac:dyDescent="0.3">
      <c r="A7" s="6" t="s">
        <v>27</v>
      </c>
      <c r="B7" s="7" t="s">
        <v>17</v>
      </c>
      <c r="C7" s="8">
        <v>45905</v>
      </c>
      <c r="D7" s="7" t="s">
        <v>28</v>
      </c>
      <c r="E7" s="16">
        <v>14677</v>
      </c>
      <c r="F7" s="16">
        <v>533</v>
      </c>
      <c r="G7" s="20">
        <v>759</v>
      </c>
      <c r="H7" s="20">
        <v>753</v>
      </c>
      <c r="I7" s="24">
        <v>23275</v>
      </c>
      <c r="J7" s="20">
        <v>66958</v>
      </c>
      <c r="L7" s="129" t="s">
        <v>428</v>
      </c>
    </row>
    <row r="8" spans="1:12" ht="18" x14ac:dyDescent="0.3">
      <c r="A8" s="6" t="s">
        <v>29</v>
      </c>
      <c r="B8" s="7" t="s">
        <v>20</v>
      </c>
      <c r="C8" s="8">
        <v>45467</v>
      </c>
      <c r="D8" s="7" t="s">
        <v>347</v>
      </c>
      <c r="E8" s="16">
        <v>7713</v>
      </c>
      <c r="F8" s="16">
        <v>575</v>
      </c>
      <c r="G8" s="20">
        <v>417</v>
      </c>
      <c r="H8" s="20">
        <v>336</v>
      </c>
      <c r="I8" s="24">
        <v>61660</v>
      </c>
      <c r="J8" s="20">
        <v>66017</v>
      </c>
      <c r="L8" s="129" t="s">
        <v>429</v>
      </c>
    </row>
    <row r="9" spans="1:12" ht="18" x14ac:dyDescent="0.3">
      <c r="A9" s="6" t="s">
        <v>31</v>
      </c>
      <c r="B9" s="7" t="s">
        <v>20</v>
      </c>
      <c r="C9" s="8">
        <v>45486</v>
      </c>
      <c r="D9" s="7" t="s">
        <v>348</v>
      </c>
      <c r="E9" s="16">
        <v>18639</v>
      </c>
      <c r="F9" s="16">
        <v>1360</v>
      </c>
      <c r="G9" s="20">
        <v>898</v>
      </c>
      <c r="H9" s="20">
        <v>2011</v>
      </c>
      <c r="I9" s="24">
        <v>42841</v>
      </c>
      <c r="J9" s="20">
        <v>247779</v>
      </c>
      <c r="L9" s="129" t="s">
        <v>430</v>
      </c>
    </row>
    <row r="10" spans="1:12" ht="18" x14ac:dyDescent="0.3">
      <c r="A10" s="6" t="s">
        <v>32</v>
      </c>
      <c r="B10" s="7" t="s">
        <v>13</v>
      </c>
      <c r="C10" s="8">
        <v>45534</v>
      </c>
      <c r="D10" s="7" t="s">
        <v>344</v>
      </c>
      <c r="E10" s="16">
        <v>6804</v>
      </c>
      <c r="F10" s="16">
        <v>787</v>
      </c>
      <c r="G10" s="20">
        <v>970</v>
      </c>
      <c r="H10" s="20">
        <v>1095</v>
      </c>
      <c r="I10" s="24">
        <v>56343</v>
      </c>
      <c r="J10" s="20">
        <v>164677</v>
      </c>
      <c r="L10" s="129" t="s">
        <v>431</v>
      </c>
    </row>
    <row r="11" spans="1:12" ht="15" thickBot="1" x14ac:dyDescent="0.35">
      <c r="A11" s="6" t="s">
        <v>33</v>
      </c>
      <c r="B11" s="7" t="s">
        <v>34</v>
      </c>
      <c r="C11" s="8">
        <v>45727</v>
      </c>
      <c r="D11" s="7" t="s">
        <v>349</v>
      </c>
      <c r="E11" s="16">
        <v>20222</v>
      </c>
      <c r="F11" s="16">
        <v>712</v>
      </c>
      <c r="G11" s="20">
        <v>604</v>
      </c>
      <c r="H11" s="20">
        <v>1272</v>
      </c>
      <c r="I11" s="24">
        <v>71598</v>
      </c>
      <c r="J11" s="20">
        <v>216422</v>
      </c>
    </row>
    <row r="12" spans="1:12" ht="16.2" thickBot="1" x14ac:dyDescent="0.35">
      <c r="A12" s="6" t="s">
        <v>35</v>
      </c>
      <c r="B12" s="7" t="s">
        <v>13</v>
      </c>
      <c r="C12" s="8">
        <v>45690</v>
      </c>
      <c r="D12" s="7" t="s">
        <v>346</v>
      </c>
      <c r="E12" s="16">
        <v>12136</v>
      </c>
      <c r="F12" s="16">
        <v>1117</v>
      </c>
      <c r="G12" s="20">
        <v>834</v>
      </c>
      <c r="H12" s="20">
        <v>892</v>
      </c>
      <c r="I12" s="24">
        <v>24675</v>
      </c>
      <c r="J12" s="20">
        <v>183273</v>
      </c>
      <c r="L12" s="143" t="s">
        <v>440</v>
      </c>
    </row>
    <row r="13" spans="1:12" ht="31.8" thickBot="1" x14ac:dyDescent="0.35">
      <c r="A13" s="6" t="s">
        <v>36</v>
      </c>
      <c r="B13" s="7" t="s">
        <v>13</v>
      </c>
      <c r="C13" s="8">
        <v>45494</v>
      </c>
      <c r="D13" s="7" t="s">
        <v>344</v>
      </c>
      <c r="E13" s="16">
        <v>2009</v>
      </c>
      <c r="F13" s="16">
        <v>1072</v>
      </c>
      <c r="G13" s="20">
        <v>550</v>
      </c>
      <c r="H13" s="20">
        <v>1437</v>
      </c>
      <c r="I13" s="24">
        <v>22982</v>
      </c>
      <c r="J13" s="20">
        <v>69426</v>
      </c>
      <c r="L13" s="143" t="s">
        <v>432</v>
      </c>
    </row>
    <row r="14" spans="1:12" x14ac:dyDescent="0.3">
      <c r="A14" s="6" t="s">
        <v>37</v>
      </c>
      <c r="B14" s="7" t="s">
        <v>13</v>
      </c>
      <c r="C14" s="8">
        <v>45614</v>
      </c>
      <c r="D14" s="7" t="s">
        <v>347</v>
      </c>
      <c r="E14" s="16">
        <v>21255</v>
      </c>
      <c r="F14" s="16">
        <v>1452</v>
      </c>
      <c r="G14" s="20">
        <v>625</v>
      </c>
      <c r="H14" s="20">
        <v>1624</v>
      </c>
      <c r="I14" s="24">
        <v>21282</v>
      </c>
      <c r="J14" s="20">
        <v>57778</v>
      </c>
    </row>
    <row r="15" spans="1:12" x14ac:dyDescent="0.3">
      <c r="A15" s="6" t="s">
        <v>39</v>
      </c>
      <c r="B15" s="7" t="s">
        <v>13</v>
      </c>
      <c r="C15" s="8">
        <v>45906</v>
      </c>
      <c r="D15" s="7" t="s">
        <v>348</v>
      </c>
      <c r="E15" s="16">
        <v>7124</v>
      </c>
      <c r="F15" s="16">
        <v>469</v>
      </c>
      <c r="G15" s="20">
        <v>851</v>
      </c>
      <c r="H15" s="20">
        <v>2571</v>
      </c>
      <c r="I15" s="24">
        <v>33802</v>
      </c>
      <c r="J15" s="20">
        <v>216313</v>
      </c>
    </row>
    <row r="16" spans="1:12" x14ac:dyDescent="0.3">
      <c r="A16" s="6" t="s">
        <v>40</v>
      </c>
      <c r="B16" s="7" t="s">
        <v>17</v>
      </c>
      <c r="C16" s="8">
        <v>45907</v>
      </c>
      <c r="D16" s="7" t="s">
        <v>345</v>
      </c>
      <c r="E16" s="16">
        <v>3015</v>
      </c>
      <c r="F16" s="16">
        <v>997</v>
      </c>
      <c r="G16" s="20">
        <v>783</v>
      </c>
      <c r="H16" s="20">
        <v>617</v>
      </c>
      <c r="I16" s="24">
        <v>77167</v>
      </c>
      <c r="J16" s="20">
        <v>82229</v>
      </c>
    </row>
    <row r="17" spans="1:10" x14ac:dyDescent="0.3">
      <c r="A17" s="6" t="s">
        <v>41</v>
      </c>
      <c r="B17" s="7" t="s">
        <v>20</v>
      </c>
      <c r="C17" s="8">
        <v>45530</v>
      </c>
      <c r="D17" s="7" t="s">
        <v>348</v>
      </c>
      <c r="E17" s="16">
        <v>4193</v>
      </c>
      <c r="F17" s="16">
        <v>924</v>
      </c>
      <c r="G17" s="20">
        <v>707</v>
      </c>
      <c r="H17" s="20">
        <v>2696</v>
      </c>
      <c r="I17" s="24">
        <v>55075</v>
      </c>
      <c r="J17" s="20">
        <v>126652</v>
      </c>
    </row>
    <row r="18" spans="1:10" x14ac:dyDescent="0.3">
      <c r="A18" s="6" t="s">
        <v>42</v>
      </c>
      <c r="B18" s="7" t="s">
        <v>17</v>
      </c>
      <c r="C18" s="8">
        <v>45782</v>
      </c>
      <c r="D18" s="7" t="s">
        <v>350</v>
      </c>
      <c r="E18" s="16">
        <v>10415</v>
      </c>
      <c r="F18" s="16">
        <v>1388</v>
      </c>
      <c r="G18" s="20">
        <v>725</v>
      </c>
      <c r="H18" s="20">
        <v>2462</v>
      </c>
      <c r="I18" s="24">
        <v>53082</v>
      </c>
      <c r="J18" s="20">
        <v>168267</v>
      </c>
    </row>
    <row r="19" spans="1:10" x14ac:dyDescent="0.3">
      <c r="A19" s="6" t="s">
        <v>43</v>
      </c>
      <c r="B19" s="7" t="s">
        <v>17</v>
      </c>
      <c r="C19" s="8">
        <v>45523</v>
      </c>
      <c r="D19" s="7" t="s">
        <v>348</v>
      </c>
      <c r="E19" s="16">
        <v>15550</v>
      </c>
      <c r="F19" s="16">
        <v>204</v>
      </c>
      <c r="G19" s="20">
        <v>279</v>
      </c>
      <c r="H19" s="20">
        <v>1646</v>
      </c>
      <c r="I19" s="24">
        <v>35819</v>
      </c>
      <c r="J19" s="20">
        <v>219436</v>
      </c>
    </row>
    <row r="20" spans="1:10" x14ac:dyDescent="0.3">
      <c r="A20" s="6" t="s">
        <v>44</v>
      </c>
      <c r="B20" s="7" t="s">
        <v>17</v>
      </c>
      <c r="C20" s="8">
        <v>45466</v>
      </c>
      <c r="D20" s="7" t="s">
        <v>350</v>
      </c>
      <c r="E20" s="16">
        <v>16512</v>
      </c>
      <c r="F20" s="16">
        <v>1050</v>
      </c>
      <c r="G20" s="20">
        <v>971</v>
      </c>
      <c r="H20" s="20">
        <v>1891</v>
      </c>
      <c r="I20" s="24">
        <v>15865</v>
      </c>
      <c r="J20" s="20">
        <v>166503</v>
      </c>
    </row>
    <row r="21" spans="1:10" x14ac:dyDescent="0.3">
      <c r="A21" s="6" t="s">
        <v>45</v>
      </c>
      <c r="B21" s="7" t="s">
        <v>13</v>
      </c>
      <c r="C21" s="8">
        <v>45544</v>
      </c>
      <c r="D21" s="7" t="s">
        <v>345</v>
      </c>
      <c r="E21" s="16">
        <v>6158</v>
      </c>
      <c r="F21" s="16">
        <v>277</v>
      </c>
      <c r="G21" s="20">
        <v>512</v>
      </c>
      <c r="H21" s="20">
        <v>2189</v>
      </c>
      <c r="I21" s="24">
        <v>76881</v>
      </c>
      <c r="J21" s="20">
        <v>124878</v>
      </c>
    </row>
    <row r="22" spans="1:10" x14ac:dyDescent="0.3">
      <c r="A22" s="6" t="s">
        <v>46</v>
      </c>
      <c r="B22" s="7" t="s">
        <v>34</v>
      </c>
      <c r="C22" s="8">
        <v>45908</v>
      </c>
      <c r="D22" s="7" t="s">
        <v>351</v>
      </c>
      <c r="E22" s="16">
        <v>22309</v>
      </c>
      <c r="F22" s="16">
        <v>773</v>
      </c>
      <c r="G22" s="20">
        <v>854</v>
      </c>
      <c r="H22" s="20">
        <v>2387</v>
      </c>
      <c r="I22" s="24">
        <v>72396</v>
      </c>
      <c r="J22" s="20">
        <v>97056</v>
      </c>
    </row>
    <row r="23" spans="1:10" x14ac:dyDescent="0.3">
      <c r="A23" s="6" t="s">
        <v>47</v>
      </c>
      <c r="B23" s="7" t="s">
        <v>20</v>
      </c>
      <c r="C23" s="8">
        <v>45715</v>
      </c>
      <c r="D23" s="7" t="s">
        <v>347</v>
      </c>
      <c r="E23" s="16">
        <v>8970</v>
      </c>
      <c r="F23" s="16">
        <v>331</v>
      </c>
      <c r="G23" s="20">
        <v>968</v>
      </c>
      <c r="H23" s="20">
        <v>2296</v>
      </c>
      <c r="I23" s="24">
        <v>24613</v>
      </c>
      <c r="J23" s="20">
        <v>198562</v>
      </c>
    </row>
    <row r="24" spans="1:10" x14ac:dyDescent="0.3">
      <c r="A24" s="6" t="s">
        <v>48</v>
      </c>
      <c r="B24" s="7" t="s">
        <v>34</v>
      </c>
      <c r="C24" s="8">
        <v>45602</v>
      </c>
      <c r="D24" s="7" t="s">
        <v>350</v>
      </c>
      <c r="E24" s="16">
        <v>8938</v>
      </c>
      <c r="F24" s="16">
        <v>800</v>
      </c>
      <c r="G24" s="20">
        <v>842</v>
      </c>
      <c r="H24" s="20">
        <v>2072</v>
      </c>
      <c r="I24" s="24">
        <v>31736</v>
      </c>
      <c r="J24" s="20">
        <v>59975</v>
      </c>
    </row>
    <row r="25" spans="1:10" x14ac:dyDescent="0.3">
      <c r="A25" s="6" t="s">
        <v>49</v>
      </c>
      <c r="B25" s="7" t="s">
        <v>17</v>
      </c>
      <c r="C25" s="8">
        <v>45680</v>
      </c>
      <c r="D25" s="7" t="s">
        <v>349</v>
      </c>
      <c r="E25" s="16">
        <v>23168</v>
      </c>
      <c r="F25" s="16">
        <v>1265</v>
      </c>
      <c r="G25" s="20">
        <v>441</v>
      </c>
      <c r="H25" s="20">
        <v>1612</v>
      </c>
      <c r="I25" s="24">
        <v>66615</v>
      </c>
      <c r="J25" s="20">
        <v>197795</v>
      </c>
    </row>
    <row r="26" spans="1:10" x14ac:dyDescent="0.3">
      <c r="A26" s="6" t="s">
        <v>50</v>
      </c>
      <c r="B26" s="7" t="s">
        <v>17</v>
      </c>
      <c r="C26" s="8">
        <v>45909</v>
      </c>
      <c r="D26" s="7" t="s">
        <v>348</v>
      </c>
      <c r="E26" s="16">
        <v>15772</v>
      </c>
      <c r="F26" s="16">
        <v>288</v>
      </c>
      <c r="G26" s="20">
        <v>520</v>
      </c>
      <c r="H26" s="20">
        <v>1585</v>
      </c>
      <c r="I26" s="24">
        <v>59182</v>
      </c>
      <c r="J26" s="20">
        <v>194351</v>
      </c>
    </row>
    <row r="27" spans="1:10" x14ac:dyDescent="0.3">
      <c r="A27" s="6" t="s">
        <v>51</v>
      </c>
      <c r="B27" s="7" t="s">
        <v>34</v>
      </c>
      <c r="C27" s="8">
        <v>45752</v>
      </c>
      <c r="D27" s="7" t="s">
        <v>348</v>
      </c>
      <c r="E27" s="16">
        <v>22384</v>
      </c>
      <c r="F27" s="16">
        <v>601</v>
      </c>
      <c r="G27" s="20">
        <v>943</v>
      </c>
      <c r="H27" s="20">
        <v>515</v>
      </c>
      <c r="I27" s="24">
        <v>41309</v>
      </c>
      <c r="J27" s="20">
        <v>249373</v>
      </c>
    </row>
    <row r="28" spans="1:10" x14ac:dyDescent="0.3">
      <c r="A28" s="6" t="s">
        <v>52</v>
      </c>
      <c r="B28" s="7" t="s">
        <v>34</v>
      </c>
      <c r="C28" s="8">
        <v>45552</v>
      </c>
      <c r="D28" s="7" t="s">
        <v>349</v>
      </c>
      <c r="E28" s="16">
        <v>20017</v>
      </c>
      <c r="F28" s="16">
        <v>495</v>
      </c>
      <c r="G28" s="20">
        <v>178</v>
      </c>
      <c r="H28" s="20">
        <v>2683</v>
      </c>
      <c r="I28" s="24">
        <v>32244</v>
      </c>
      <c r="J28" s="20">
        <v>182633</v>
      </c>
    </row>
    <row r="29" spans="1:10" x14ac:dyDescent="0.3">
      <c r="A29" s="6" t="s">
        <v>53</v>
      </c>
      <c r="B29" s="7" t="s">
        <v>34</v>
      </c>
      <c r="C29" s="8">
        <v>45720</v>
      </c>
      <c r="D29" s="7" t="s">
        <v>28</v>
      </c>
      <c r="E29" s="16">
        <v>12344</v>
      </c>
      <c r="F29" s="16">
        <v>815</v>
      </c>
      <c r="G29" s="20">
        <v>298</v>
      </c>
      <c r="H29" s="20">
        <v>2439</v>
      </c>
      <c r="I29" s="24">
        <v>6259</v>
      </c>
      <c r="J29" s="20">
        <v>237133</v>
      </c>
    </row>
    <row r="30" spans="1:10" x14ac:dyDescent="0.3">
      <c r="A30" s="6" t="s">
        <v>54</v>
      </c>
      <c r="B30" s="7" t="s">
        <v>17</v>
      </c>
      <c r="C30" s="8">
        <v>45910</v>
      </c>
      <c r="D30" s="7" t="s">
        <v>55</v>
      </c>
      <c r="E30" s="16">
        <v>9266</v>
      </c>
      <c r="F30" s="16">
        <v>999</v>
      </c>
      <c r="G30" s="20">
        <v>928</v>
      </c>
      <c r="H30" s="20">
        <v>2700</v>
      </c>
      <c r="I30" s="24">
        <v>12264</v>
      </c>
      <c r="J30" s="20">
        <v>128397</v>
      </c>
    </row>
    <row r="31" spans="1:10" x14ac:dyDescent="0.3">
      <c r="A31" s="6" t="s">
        <v>56</v>
      </c>
      <c r="B31" s="7" t="s">
        <v>17</v>
      </c>
      <c r="C31" s="8">
        <v>45713</v>
      </c>
      <c r="D31" s="7" t="s">
        <v>351</v>
      </c>
      <c r="E31" s="16">
        <v>10702</v>
      </c>
      <c r="F31" s="16">
        <v>621</v>
      </c>
      <c r="G31" s="20">
        <v>445</v>
      </c>
      <c r="H31" s="20">
        <v>2918</v>
      </c>
      <c r="I31" s="24">
        <v>54808</v>
      </c>
      <c r="J31" s="20">
        <v>220225</v>
      </c>
    </row>
    <row r="32" spans="1:10" x14ac:dyDescent="0.3">
      <c r="A32" s="6" t="s">
        <v>57</v>
      </c>
      <c r="B32" s="7" t="s">
        <v>20</v>
      </c>
      <c r="C32" s="8">
        <v>45642</v>
      </c>
      <c r="D32" s="7" t="s">
        <v>346</v>
      </c>
      <c r="E32" s="16">
        <v>2384</v>
      </c>
      <c r="F32" s="16">
        <v>1246</v>
      </c>
      <c r="G32" s="20">
        <v>160</v>
      </c>
      <c r="H32" s="20">
        <v>2004</v>
      </c>
      <c r="I32" s="24">
        <v>2701</v>
      </c>
      <c r="J32" s="20">
        <v>73142</v>
      </c>
    </row>
    <row r="33" spans="1:10" x14ac:dyDescent="0.3">
      <c r="A33" s="6" t="s">
        <v>58</v>
      </c>
      <c r="B33" s="7" t="s">
        <v>20</v>
      </c>
      <c r="C33" s="8">
        <v>45504</v>
      </c>
      <c r="D33" s="7" t="s">
        <v>350</v>
      </c>
      <c r="E33" s="16">
        <v>2404</v>
      </c>
      <c r="F33" s="16">
        <v>774</v>
      </c>
      <c r="G33" s="20">
        <v>661</v>
      </c>
      <c r="H33" s="20">
        <v>662</v>
      </c>
      <c r="I33" s="24">
        <v>12676</v>
      </c>
      <c r="J33" s="20">
        <v>66916</v>
      </c>
    </row>
    <row r="34" spans="1:10" x14ac:dyDescent="0.3">
      <c r="A34" s="6" t="s">
        <v>59</v>
      </c>
      <c r="B34" s="7" t="s">
        <v>17</v>
      </c>
      <c r="C34" s="8">
        <v>45911</v>
      </c>
      <c r="D34" s="7" t="s">
        <v>349</v>
      </c>
      <c r="E34" s="16">
        <v>10175</v>
      </c>
      <c r="F34" s="16">
        <v>342</v>
      </c>
      <c r="G34" s="20">
        <v>825</v>
      </c>
      <c r="H34" s="20">
        <v>2904</v>
      </c>
      <c r="I34" s="24">
        <v>15954</v>
      </c>
      <c r="J34" s="20">
        <v>104324</v>
      </c>
    </row>
    <row r="35" spans="1:10" x14ac:dyDescent="0.3">
      <c r="A35" s="6" t="s">
        <v>60</v>
      </c>
      <c r="B35" s="7" t="s">
        <v>34</v>
      </c>
      <c r="C35" s="8">
        <v>45912</v>
      </c>
      <c r="D35" s="7" t="s">
        <v>345</v>
      </c>
      <c r="E35" s="16">
        <v>17158</v>
      </c>
      <c r="F35" s="16">
        <v>1192</v>
      </c>
      <c r="G35" s="20">
        <v>262</v>
      </c>
      <c r="H35" s="20">
        <v>2016</v>
      </c>
      <c r="I35" s="24">
        <v>28771</v>
      </c>
      <c r="J35" s="20">
        <v>216037</v>
      </c>
    </row>
    <row r="36" spans="1:10" x14ac:dyDescent="0.3">
      <c r="A36" s="6" t="s">
        <v>61</v>
      </c>
      <c r="B36" s="7" t="s">
        <v>34</v>
      </c>
      <c r="C36" s="8">
        <v>45626</v>
      </c>
      <c r="D36" s="7" t="s">
        <v>350</v>
      </c>
      <c r="E36" s="16">
        <v>14763</v>
      </c>
      <c r="F36" s="16">
        <v>864</v>
      </c>
      <c r="G36" s="20">
        <v>336</v>
      </c>
      <c r="H36" s="20">
        <v>1493</v>
      </c>
      <c r="I36" s="24">
        <v>33310</v>
      </c>
      <c r="J36" s="20">
        <v>165932</v>
      </c>
    </row>
    <row r="37" spans="1:10" x14ac:dyDescent="0.3">
      <c r="A37" s="6" t="s">
        <v>62</v>
      </c>
      <c r="B37" s="7" t="s">
        <v>20</v>
      </c>
      <c r="C37" s="8">
        <v>45766</v>
      </c>
      <c r="D37" s="7" t="s">
        <v>55</v>
      </c>
      <c r="E37" s="16">
        <v>20384</v>
      </c>
      <c r="F37" s="16">
        <v>344</v>
      </c>
      <c r="G37" s="20">
        <v>956</v>
      </c>
      <c r="H37" s="20">
        <v>655</v>
      </c>
      <c r="I37" s="24">
        <v>67621</v>
      </c>
      <c r="J37" s="20">
        <v>175720</v>
      </c>
    </row>
    <row r="38" spans="1:10" x14ac:dyDescent="0.3">
      <c r="A38" s="6" t="s">
        <v>63</v>
      </c>
      <c r="B38" s="7" t="s">
        <v>17</v>
      </c>
      <c r="C38" s="8">
        <v>45663</v>
      </c>
      <c r="D38" s="7" t="s">
        <v>345</v>
      </c>
      <c r="E38" s="16">
        <v>11860</v>
      </c>
      <c r="F38" s="16">
        <v>1448</v>
      </c>
      <c r="G38" s="20">
        <v>893</v>
      </c>
      <c r="H38" s="20">
        <v>490</v>
      </c>
      <c r="I38" s="24">
        <v>23518</v>
      </c>
      <c r="J38" s="20">
        <v>206205</v>
      </c>
    </row>
    <row r="39" spans="1:10" x14ac:dyDescent="0.3">
      <c r="A39" s="6" t="s">
        <v>64</v>
      </c>
      <c r="B39" s="7" t="s">
        <v>20</v>
      </c>
      <c r="C39" s="8">
        <v>45705</v>
      </c>
      <c r="D39" s="7" t="s">
        <v>344</v>
      </c>
      <c r="E39" s="16">
        <v>7989</v>
      </c>
      <c r="F39" s="16">
        <v>1206</v>
      </c>
      <c r="G39" s="20">
        <v>376</v>
      </c>
      <c r="H39" s="20">
        <v>2769</v>
      </c>
      <c r="I39" s="24">
        <v>27550</v>
      </c>
      <c r="J39" s="20">
        <v>221749</v>
      </c>
    </row>
    <row r="40" spans="1:10" x14ac:dyDescent="0.3">
      <c r="A40" s="6" t="s">
        <v>65</v>
      </c>
      <c r="B40" s="7" t="s">
        <v>20</v>
      </c>
      <c r="C40" s="8">
        <v>45913</v>
      </c>
      <c r="D40" s="7" t="s">
        <v>347</v>
      </c>
      <c r="E40" s="16">
        <v>17106</v>
      </c>
      <c r="F40" s="16">
        <v>702</v>
      </c>
      <c r="G40" s="20">
        <v>459</v>
      </c>
      <c r="H40" s="20">
        <v>999</v>
      </c>
      <c r="I40" s="24">
        <v>59627</v>
      </c>
      <c r="J40" s="20">
        <v>136059</v>
      </c>
    </row>
    <row r="41" spans="1:10" x14ac:dyDescent="0.3">
      <c r="A41" s="6" t="s">
        <v>66</v>
      </c>
      <c r="B41" s="7" t="s">
        <v>13</v>
      </c>
      <c r="C41" s="8">
        <v>45914</v>
      </c>
      <c r="D41" s="7" t="s">
        <v>348</v>
      </c>
      <c r="E41" s="16">
        <v>19844</v>
      </c>
      <c r="F41" s="16">
        <v>1020</v>
      </c>
      <c r="G41" s="20">
        <v>247</v>
      </c>
      <c r="H41" s="20">
        <v>2354</v>
      </c>
      <c r="I41" s="24">
        <v>37792</v>
      </c>
      <c r="J41" s="20">
        <v>138317</v>
      </c>
    </row>
    <row r="42" spans="1:10" x14ac:dyDescent="0.3">
      <c r="A42" s="6" t="s">
        <v>67</v>
      </c>
      <c r="B42" s="7" t="s">
        <v>13</v>
      </c>
      <c r="C42" s="8">
        <v>45915</v>
      </c>
      <c r="D42" s="7" t="s">
        <v>344</v>
      </c>
      <c r="E42" s="16">
        <v>5636</v>
      </c>
      <c r="F42" s="16">
        <v>303</v>
      </c>
      <c r="G42" s="20">
        <v>204</v>
      </c>
      <c r="H42" s="20">
        <v>2480</v>
      </c>
      <c r="I42" s="24">
        <v>7377</v>
      </c>
      <c r="J42" s="20">
        <v>241207</v>
      </c>
    </row>
    <row r="43" spans="1:10" x14ac:dyDescent="0.3">
      <c r="A43" s="6" t="s">
        <v>68</v>
      </c>
      <c r="B43" s="7" t="s">
        <v>13</v>
      </c>
      <c r="C43" s="8">
        <v>45721</v>
      </c>
      <c r="D43" s="7" t="s">
        <v>350</v>
      </c>
      <c r="E43" s="16">
        <v>12916</v>
      </c>
      <c r="F43" s="16">
        <v>1262</v>
      </c>
      <c r="G43" s="20">
        <v>772</v>
      </c>
      <c r="H43" s="20">
        <v>856</v>
      </c>
      <c r="I43" s="24">
        <v>11496</v>
      </c>
      <c r="J43" s="20">
        <v>75046</v>
      </c>
    </row>
    <row r="44" spans="1:10" x14ac:dyDescent="0.3">
      <c r="A44" s="6" t="s">
        <v>69</v>
      </c>
      <c r="B44" s="7" t="s">
        <v>34</v>
      </c>
      <c r="C44" s="8">
        <v>45916</v>
      </c>
      <c r="D44" s="7" t="s">
        <v>55</v>
      </c>
      <c r="E44" s="16">
        <v>6809</v>
      </c>
      <c r="F44" s="16">
        <v>397</v>
      </c>
      <c r="G44" s="20">
        <v>813</v>
      </c>
      <c r="H44" s="20">
        <v>1125</v>
      </c>
      <c r="I44" s="24">
        <v>12206</v>
      </c>
      <c r="J44" s="20">
        <v>218136</v>
      </c>
    </row>
    <row r="45" spans="1:10" x14ac:dyDescent="0.3">
      <c r="A45" s="6" t="s">
        <v>70</v>
      </c>
      <c r="B45" s="7" t="s">
        <v>17</v>
      </c>
      <c r="C45" s="8">
        <v>45718</v>
      </c>
      <c r="D45" s="7" t="s">
        <v>351</v>
      </c>
      <c r="E45" s="16">
        <v>22562</v>
      </c>
      <c r="F45" s="16">
        <v>778</v>
      </c>
      <c r="G45" s="20">
        <v>907</v>
      </c>
      <c r="H45" s="20">
        <v>1354</v>
      </c>
      <c r="I45" s="24">
        <v>34475</v>
      </c>
      <c r="J45" s="20">
        <v>141459</v>
      </c>
    </row>
    <row r="46" spans="1:10" x14ac:dyDescent="0.3">
      <c r="A46" s="6" t="s">
        <v>71</v>
      </c>
      <c r="B46" s="7" t="s">
        <v>17</v>
      </c>
      <c r="C46" s="8">
        <v>45917</v>
      </c>
      <c r="D46" s="7" t="s">
        <v>347</v>
      </c>
      <c r="E46" s="16">
        <v>15456</v>
      </c>
      <c r="F46" s="16">
        <v>590</v>
      </c>
      <c r="G46" s="20">
        <v>555</v>
      </c>
      <c r="H46" s="20">
        <v>2882</v>
      </c>
      <c r="I46" s="24">
        <v>49816</v>
      </c>
      <c r="J46" s="20">
        <v>240422</v>
      </c>
    </row>
    <row r="47" spans="1:10" x14ac:dyDescent="0.3">
      <c r="A47" s="6" t="s">
        <v>72</v>
      </c>
      <c r="B47" s="7" t="s">
        <v>17</v>
      </c>
      <c r="C47" s="8">
        <v>45779</v>
      </c>
      <c r="D47" s="7" t="s">
        <v>350</v>
      </c>
      <c r="E47" s="16">
        <v>17444</v>
      </c>
      <c r="F47" s="16">
        <v>1402</v>
      </c>
      <c r="G47" s="20">
        <v>218</v>
      </c>
      <c r="H47" s="20">
        <v>725</v>
      </c>
      <c r="I47" s="24">
        <v>8710</v>
      </c>
      <c r="J47" s="20">
        <v>85893</v>
      </c>
    </row>
    <row r="48" spans="1:10" x14ac:dyDescent="0.3">
      <c r="A48" s="6" t="s">
        <v>73</v>
      </c>
      <c r="B48" s="7" t="s">
        <v>17</v>
      </c>
      <c r="C48" s="8">
        <v>45712</v>
      </c>
      <c r="D48" s="7" t="s">
        <v>349</v>
      </c>
      <c r="E48" s="16">
        <v>24984</v>
      </c>
      <c r="F48" s="16">
        <v>753</v>
      </c>
      <c r="G48" s="20">
        <v>461</v>
      </c>
      <c r="H48" s="20">
        <v>2710</v>
      </c>
      <c r="I48" s="24">
        <v>20792</v>
      </c>
      <c r="J48" s="20">
        <v>141520</v>
      </c>
    </row>
    <row r="49" spans="1:10" x14ac:dyDescent="0.3">
      <c r="A49" s="6" t="s">
        <v>74</v>
      </c>
      <c r="B49" s="7" t="s">
        <v>13</v>
      </c>
      <c r="C49" s="8">
        <v>45727</v>
      </c>
      <c r="D49" s="7" t="s">
        <v>343</v>
      </c>
      <c r="E49" s="16">
        <v>7997</v>
      </c>
      <c r="F49" s="16">
        <v>1238</v>
      </c>
      <c r="G49" s="20">
        <v>438</v>
      </c>
      <c r="H49" s="20">
        <v>1874</v>
      </c>
      <c r="I49" s="24">
        <v>36272</v>
      </c>
      <c r="J49" s="20">
        <v>165818</v>
      </c>
    </row>
    <row r="50" spans="1:10" x14ac:dyDescent="0.3">
      <c r="A50" s="6" t="s">
        <v>75</v>
      </c>
      <c r="B50" s="7" t="s">
        <v>34</v>
      </c>
      <c r="C50" s="8">
        <v>45918</v>
      </c>
      <c r="D50" s="7" t="s">
        <v>350</v>
      </c>
      <c r="E50" s="16">
        <v>4048</v>
      </c>
      <c r="F50" s="16">
        <v>677</v>
      </c>
      <c r="G50" s="20">
        <v>911</v>
      </c>
      <c r="H50" s="20">
        <v>2429</v>
      </c>
      <c r="I50" s="24">
        <v>27361</v>
      </c>
      <c r="J50" s="20">
        <v>101272</v>
      </c>
    </row>
    <row r="51" spans="1:10" x14ac:dyDescent="0.3">
      <c r="A51" s="6" t="s">
        <v>76</v>
      </c>
      <c r="B51" s="7" t="s">
        <v>34</v>
      </c>
      <c r="C51" s="8">
        <v>45476</v>
      </c>
      <c r="D51" s="7" t="s">
        <v>347</v>
      </c>
      <c r="E51" s="16">
        <v>14338</v>
      </c>
      <c r="F51" s="16">
        <v>1454</v>
      </c>
      <c r="G51" s="20">
        <v>697</v>
      </c>
      <c r="H51" s="20">
        <v>2703</v>
      </c>
      <c r="I51" s="24">
        <v>21288</v>
      </c>
      <c r="J51" s="20">
        <v>107649</v>
      </c>
    </row>
    <row r="52" spans="1:10" x14ac:dyDescent="0.3">
      <c r="A52" s="6" t="s">
        <v>77</v>
      </c>
      <c r="B52" s="7" t="s">
        <v>13</v>
      </c>
      <c r="C52" s="8">
        <v>45456</v>
      </c>
      <c r="D52" s="7" t="s">
        <v>348</v>
      </c>
      <c r="E52" s="16">
        <v>23164</v>
      </c>
      <c r="F52" s="16">
        <v>1122</v>
      </c>
      <c r="G52" s="20">
        <v>900</v>
      </c>
      <c r="H52" s="20">
        <v>888</v>
      </c>
      <c r="I52" s="24">
        <v>36938</v>
      </c>
      <c r="J52" s="20">
        <v>104674</v>
      </c>
    </row>
    <row r="53" spans="1:10" x14ac:dyDescent="0.3">
      <c r="A53" s="6" t="s">
        <v>78</v>
      </c>
      <c r="B53" s="7" t="s">
        <v>34</v>
      </c>
      <c r="C53" s="8">
        <v>45919</v>
      </c>
      <c r="D53" s="7" t="s">
        <v>348</v>
      </c>
      <c r="E53" s="16">
        <v>19100</v>
      </c>
      <c r="F53" s="16">
        <v>619</v>
      </c>
      <c r="G53" s="20">
        <v>297</v>
      </c>
      <c r="H53" s="20">
        <v>2312</v>
      </c>
      <c r="I53" s="24">
        <v>9730</v>
      </c>
      <c r="J53" s="20">
        <v>184832</v>
      </c>
    </row>
    <row r="54" spans="1:10" x14ac:dyDescent="0.3">
      <c r="A54" s="6" t="s">
        <v>79</v>
      </c>
      <c r="B54" s="7" t="s">
        <v>13</v>
      </c>
      <c r="C54" s="8">
        <v>45712</v>
      </c>
      <c r="D54" s="7" t="s">
        <v>350</v>
      </c>
      <c r="E54" s="16">
        <v>23949</v>
      </c>
      <c r="F54" s="16">
        <v>356</v>
      </c>
      <c r="G54" s="20">
        <v>616</v>
      </c>
      <c r="H54" s="20">
        <v>1847</v>
      </c>
      <c r="I54" s="24">
        <v>3144</v>
      </c>
      <c r="J54" s="20">
        <v>192999</v>
      </c>
    </row>
    <row r="55" spans="1:10" x14ac:dyDescent="0.3">
      <c r="A55" s="6" t="s">
        <v>80</v>
      </c>
      <c r="B55" s="7" t="s">
        <v>17</v>
      </c>
      <c r="C55" s="8">
        <v>45729</v>
      </c>
      <c r="D55" s="7" t="s">
        <v>345</v>
      </c>
      <c r="E55" s="16">
        <v>6544</v>
      </c>
      <c r="F55" s="16">
        <v>749</v>
      </c>
      <c r="G55" s="20">
        <v>888</v>
      </c>
      <c r="H55" s="20">
        <v>594</v>
      </c>
      <c r="I55" s="24">
        <v>18171</v>
      </c>
      <c r="J55" s="20">
        <v>126475</v>
      </c>
    </row>
    <row r="56" spans="1:10" x14ac:dyDescent="0.3">
      <c r="A56" s="6" t="s">
        <v>81</v>
      </c>
      <c r="B56" s="7" t="s">
        <v>13</v>
      </c>
      <c r="C56" s="8">
        <v>45460</v>
      </c>
      <c r="D56" s="7" t="s">
        <v>343</v>
      </c>
      <c r="E56" s="16">
        <v>6976</v>
      </c>
      <c r="F56" s="16">
        <v>1320</v>
      </c>
      <c r="G56" s="20">
        <v>393</v>
      </c>
      <c r="H56" s="20">
        <v>2285</v>
      </c>
      <c r="I56" s="24">
        <v>14049</v>
      </c>
      <c r="J56" s="20">
        <v>101367</v>
      </c>
    </row>
    <row r="57" spans="1:10" x14ac:dyDescent="0.3">
      <c r="A57" s="6" t="s">
        <v>82</v>
      </c>
      <c r="B57" s="7" t="s">
        <v>17</v>
      </c>
      <c r="C57" s="8">
        <v>45644</v>
      </c>
      <c r="D57" s="7" t="s">
        <v>349</v>
      </c>
      <c r="E57" s="16">
        <v>14775</v>
      </c>
      <c r="F57" s="16">
        <v>1220</v>
      </c>
      <c r="G57" s="20">
        <v>640</v>
      </c>
      <c r="H57" s="20">
        <v>1547</v>
      </c>
      <c r="I57" s="24">
        <v>28527</v>
      </c>
      <c r="J57" s="20">
        <v>183660</v>
      </c>
    </row>
    <row r="58" spans="1:10" x14ac:dyDescent="0.3">
      <c r="A58" s="6" t="s">
        <v>83</v>
      </c>
      <c r="B58" s="7" t="s">
        <v>17</v>
      </c>
      <c r="C58" s="8">
        <v>45586</v>
      </c>
      <c r="D58" s="7" t="s">
        <v>350</v>
      </c>
      <c r="E58" s="16">
        <v>12015</v>
      </c>
      <c r="F58" s="16">
        <v>1196</v>
      </c>
      <c r="G58" s="20">
        <v>998</v>
      </c>
      <c r="H58" s="20">
        <v>1848</v>
      </c>
      <c r="I58" s="24">
        <v>44739</v>
      </c>
      <c r="J58" s="20">
        <v>161750</v>
      </c>
    </row>
    <row r="59" spans="1:10" x14ac:dyDescent="0.3">
      <c r="A59" s="6" t="s">
        <v>84</v>
      </c>
      <c r="B59" s="7" t="s">
        <v>20</v>
      </c>
      <c r="C59" s="8">
        <v>45762</v>
      </c>
      <c r="D59" s="7" t="s">
        <v>345</v>
      </c>
      <c r="E59" s="16">
        <v>5419</v>
      </c>
      <c r="F59" s="16">
        <v>1150</v>
      </c>
      <c r="G59" s="20">
        <v>656</v>
      </c>
      <c r="H59" s="20">
        <v>1990</v>
      </c>
      <c r="I59" s="24">
        <v>410</v>
      </c>
      <c r="J59" s="20">
        <v>158154</v>
      </c>
    </row>
    <row r="60" spans="1:10" x14ac:dyDescent="0.3">
      <c r="A60" s="6" t="s">
        <v>85</v>
      </c>
      <c r="B60" s="7" t="s">
        <v>13</v>
      </c>
      <c r="C60" s="8">
        <v>45465</v>
      </c>
      <c r="D60" s="7" t="s">
        <v>348</v>
      </c>
      <c r="E60" s="16">
        <v>16430</v>
      </c>
      <c r="F60" s="16">
        <v>488</v>
      </c>
      <c r="G60" s="20">
        <v>514</v>
      </c>
      <c r="H60" s="20">
        <v>1436</v>
      </c>
      <c r="I60" s="24">
        <v>30059</v>
      </c>
      <c r="J60" s="20">
        <v>223305</v>
      </c>
    </row>
    <row r="61" spans="1:10" x14ac:dyDescent="0.3">
      <c r="A61" s="6" t="s">
        <v>86</v>
      </c>
      <c r="B61" s="7" t="s">
        <v>20</v>
      </c>
      <c r="C61" s="8">
        <v>45685</v>
      </c>
      <c r="D61" s="7" t="s">
        <v>348</v>
      </c>
      <c r="E61" s="16">
        <v>9239</v>
      </c>
      <c r="F61" s="16">
        <v>1477</v>
      </c>
      <c r="G61" s="20">
        <v>631</v>
      </c>
      <c r="H61" s="20">
        <v>1556</v>
      </c>
      <c r="I61" s="24">
        <v>11580</v>
      </c>
      <c r="J61" s="20">
        <v>84738</v>
      </c>
    </row>
    <row r="62" spans="1:10" x14ac:dyDescent="0.3">
      <c r="A62" s="6" t="s">
        <v>87</v>
      </c>
      <c r="B62" s="7" t="s">
        <v>13</v>
      </c>
      <c r="C62" s="8">
        <v>45540</v>
      </c>
      <c r="D62" s="7" t="s">
        <v>55</v>
      </c>
      <c r="E62" s="16">
        <v>16489</v>
      </c>
      <c r="F62" s="16">
        <v>395</v>
      </c>
      <c r="G62" s="20">
        <v>350</v>
      </c>
      <c r="H62" s="20">
        <v>2364</v>
      </c>
      <c r="I62" s="24">
        <v>43239</v>
      </c>
      <c r="J62" s="20">
        <v>73397</v>
      </c>
    </row>
    <row r="63" spans="1:10" x14ac:dyDescent="0.3">
      <c r="A63" s="6" t="s">
        <v>88</v>
      </c>
      <c r="B63" s="7" t="s">
        <v>13</v>
      </c>
      <c r="C63" s="8">
        <v>45920</v>
      </c>
      <c r="D63" s="7" t="s">
        <v>350</v>
      </c>
      <c r="E63" s="16">
        <v>18633</v>
      </c>
      <c r="F63" s="16">
        <v>797</v>
      </c>
      <c r="G63" s="20">
        <v>303</v>
      </c>
      <c r="H63" s="20">
        <v>659</v>
      </c>
      <c r="I63" s="24">
        <v>7</v>
      </c>
      <c r="J63" s="20">
        <v>122189</v>
      </c>
    </row>
    <row r="64" spans="1:10" x14ac:dyDescent="0.3">
      <c r="A64" s="6" t="s">
        <v>89</v>
      </c>
      <c r="B64" s="7" t="s">
        <v>20</v>
      </c>
      <c r="C64" s="8">
        <v>45504</v>
      </c>
      <c r="D64" s="7" t="s">
        <v>343</v>
      </c>
      <c r="E64" s="16">
        <v>12357</v>
      </c>
      <c r="F64" s="16">
        <v>716</v>
      </c>
      <c r="G64" s="20">
        <v>599</v>
      </c>
      <c r="H64" s="20">
        <v>999</v>
      </c>
      <c r="I64" s="24">
        <v>89591</v>
      </c>
      <c r="J64" s="20">
        <v>116367</v>
      </c>
    </row>
    <row r="65" spans="1:10" x14ac:dyDescent="0.3">
      <c r="A65" s="6" t="s">
        <v>90</v>
      </c>
      <c r="B65" s="7" t="s">
        <v>20</v>
      </c>
      <c r="C65" s="8">
        <v>45521</v>
      </c>
      <c r="D65" s="7" t="s">
        <v>28</v>
      </c>
      <c r="E65" s="16">
        <v>19154</v>
      </c>
      <c r="F65" s="16">
        <v>1064</v>
      </c>
      <c r="G65" s="20">
        <v>650</v>
      </c>
      <c r="H65" s="20">
        <v>747</v>
      </c>
      <c r="I65" s="24">
        <v>42667</v>
      </c>
      <c r="J65" s="20">
        <v>242332</v>
      </c>
    </row>
    <row r="66" spans="1:10" x14ac:dyDescent="0.3">
      <c r="A66" s="6" t="s">
        <v>91</v>
      </c>
      <c r="B66" s="7" t="s">
        <v>13</v>
      </c>
      <c r="C66" s="8">
        <v>45744</v>
      </c>
      <c r="D66" s="7" t="s">
        <v>343</v>
      </c>
      <c r="E66" s="16">
        <v>6363</v>
      </c>
      <c r="F66" s="16">
        <v>1341</v>
      </c>
      <c r="G66" s="20">
        <v>222</v>
      </c>
      <c r="H66" s="20">
        <v>2712</v>
      </c>
      <c r="I66" s="24">
        <v>19987</v>
      </c>
      <c r="J66" s="20">
        <v>160585</v>
      </c>
    </row>
    <row r="67" spans="1:10" x14ac:dyDescent="0.3">
      <c r="A67" s="6" t="s">
        <v>92</v>
      </c>
      <c r="B67" s="7" t="s">
        <v>34</v>
      </c>
      <c r="C67" s="8">
        <v>45499</v>
      </c>
      <c r="D67" s="7" t="s">
        <v>348</v>
      </c>
      <c r="E67" s="16">
        <v>12176</v>
      </c>
      <c r="F67" s="16">
        <v>1005</v>
      </c>
      <c r="G67" s="20">
        <v>862</v>
      </c>
      <c r="H67" s="20">
        <v>974</v>
      </c>
      <c r="I67" s="24">
        <v>2285</v>
      </c>
      <c r="J67" s="20">
        <v>116619</v>
      </c>
    </row>
    <row r="68" spans="1:10" x14ac:dyDescent="0.3">
      <c r="A68" s="6" t="s">
        <v>93</v>
      </c>
      <c r="B68" s="7" t="s">
        <v>17</v>
      </c>
      <c r="C68" s="8">
        <v>45745</v>
      </c>
      <c r="D68" s="7" t="s">
        <v>348</v>
      </c>
      <c r="E68" s="16">
        <v>19461</v>
      </c>
      <c r="F68" s="16">
        <v>1382</v>
      </c>
      <c r="G68" s="20">
        <v>445</v>
      </c>
      <c r="H68" s="20">
        <v>1307</v>
      </c>
      <c r="I68" s="24">
        <v>84691</v>
      </c>
      <c r="J68" s="20">
        <v>151453</v>
      </c>
    </row>
    <row r="69" spans="1:10" x14ac:dyDescent="0.3">
      <c r="A69" s="6" t="s">
        <v>94</v>
      </c>
      <c r="B69" s="7" t="s">
        <v>20</v>
      </c>
      <c r="C69" s="8">
        <v>45634</v>
      </c>
      <c r="D69" s="7" t="s">
        <v>344</v>
      </c>
      <c r="E69" s="16">
        <v>10427</v>
      </c>
      <c r="F69" s="16">
        <v>1014</v>
      </c>
      <c r="G69" s="20">
        <v>166</v>
      </c>
      <c r="H69" s="20">
        <v>1649</v>
      </c>
      <c r="I69" s="24">
        <v>15145</v>
      </c>
      <c r="J69" s="20">
        <v>59816</v>
      </c>
    </row>
    <row r="70" spans="1:10" x14ac:dyDescent="0.3">
      <c r="A70" s="6" t="s">
        <v>95</v>
      </c>
      <c r="B70" s="7" t="s">
        <v>17</v>
      </c>
      <c r="C70" s="8">
        <v>45724</v>
      </c>
      <c r="D70" s="7" t="s">
        <v>348</v>
      </c>
      <c r="E70" s="16">
        <v>10580</v>
      </c>
      <c r="F70" s="16">
        <v>427</v>
      </c>
      <c r="G70" s="20">
        <v>790</v>
      </c>
      <c r="H70" s="20">
        <v>2814</v>
      </c>
      <c r="I70" s="24">
        <v>24916</v>
      </c>
      <c r="J70" s="20">
        <v>213312</v>
      </c>
    </row>
    <row r="71" spans="1:10" x14ac:dyDescent="0.3">
      <c r="A71" s="6" t="s">
        <v>96</v>
      </c>
      <c r="B71" s="7" t="s">
        <v>34</v>
      </c>
      <c r="C71" s="8">
        <v>45749</v>
      </c>
      <c r="D71" s="7" t="s">
        <v>349</v>
      </c>
      <c r="E71" s="16">
        <v>6858</v>
      </c>
      <c r="F71" s="16">
        <v>415</v>
      </c>
      <c r="G71" s="20">
        <v>366</v>
      </c>
      <c r="H71" s="20">
        <v>2761</v>
      </c>
      <c r="I71" s="24">
        <v>2988</v>
      </c>
      <c r="J71" s="20">
        <v>177348</v>
      </c>
    </row>
    <row r="72" spans="1:10" x14ac:dyDescent="0.3">
      <c r="A72" s="6" t="s">
        <v>97</v>
      </c>
      <c r="B72" s="7" t="s">
        <v>34</v>
      </c>
      <c r="C72" s="8">
        <v>45537</v>
      </c>
      <c r="D72" s="7" t="s">
        <v>346</v>
      </c>
      <c r="E72" s="16">
        <v>12040</v>
      </c>
      <c r="F72" s="16">
        <v>1147</v>
      </c>
      <c r="G72" s="20">
        <v>210</v>
      </c>
      <c r="H72" s="20">
        <v>885</v>
      </c>
      <c r="I72" s="24">
        <v>30360</v>
      </c>
      <c r="J72" s="20">
        <v>119530</v>
      </c>
    </row>
    <row r="73" spans="1:10" x14ac:dyDescent="0.3">
      <c r="A73" s="6" t="s">
        <v>98</v>
      </c>
      <c r="B73" s="7" t="s">
        <v>34</v>
      </c>
      <c r="C73" s="8">
        <v>45719</v>
      </c>
      <c r="D73" s="7" t="s">
        <v>350</v>
      </c>
      <c r="E73" s="16">
        <v>24928</v>
      </c>
      <c r="F73" s="16">
        <v>214</v>
      </c>
      <c r="G73" s="20">
        <v>765</v>
      </c>
      <c r="H73" s="20">
        <v>1556</v>
      </c>
      <c r="I73" s="24">
        <v>5239</v>
      </c>
      <c r="J73" s="20">
        <v>194571</v>
      </c>
    </row>
    <row r="74" spans="1:10" x14ac:dyDescent="0.3">
      <c r="A74" s="6" t="s">
        <v>99</v>
      </c>
      <c r="B74" s="7" t="s">
        <v>20</v>
      </c>
      <c r="C74" s="8">
        <v>45921</v>
      </c>
      <c r="D74" s="7" t="s">
        <v>343</v>
      </c>
      <c r="E74" s="16">
        <v>23103</v>
      </c>
      <c r="F74" s="16">
        <v>1380</v>
      </c>
      <c r="G74" s="20">
        <v>191</v>
      </c>
      <c r="H74" s="20">
        <v>1547</v>
      </c>
      <c r="I74" s="24">
        <v>77798</v>
      </c>
      <c r="J74" s="20">
        <v>148856</v>
      </c>
    </row>
    <row r="75" spans="1:10" x14ac:dyDescent="0.3">
      <c r="A75" s="6" t="s">
        <v>100</v>
      </c>
      <c r="B75" s="7" t="s">
        <v>34</v>
      </c>
      <c r="C75" s="8">
        <v>45593</v>
      </c>
      <c r="D75" s="7" t="s">
        <v>346</v>
      </c>
      <c r="E75" s="16">
        <v>21198</v>
      </c>
      <c r="F75" s="16">
        <v>1484</v>
      </c>
      <c r="G75" s="20">
        <v>174</v>
      </c>
      <c r="H75" s="20">
        <v>1293</v>
      </c>
      <c r="I75" s="24">
        <v>16330</v>
      </c>
      <c r="J75" s="20">
        <v>111635</v>
      </c>
    </row>
    <row r="76" spans="1:10" x14ac:dyDescent="0.3">
      <c r="A76" s="6" t="s">
        <v>101</v>
      </c>
      <c r="B76" s="7" t="s">
        <v>20</v>
      </c>
      <c r="C76" s="8">
        <v>45505</v>
      </c>
      <c r="D76" s="7" t="s">
        <v>345</v>
      </c>
      <c r="E76" s="16">
        <v>21758</v>
      </c>
      <c r="F76" s="16">
        <v>1380</v>
      </c>
      <c r="G76" s="20">
        <v>188</v>
      </c>
      <c r="H76" s="20">
        <v>1735</v>
      </c>
      <c r="I76" s="24">
        <v>20998</v>
      </c>
      <c r="J76" s="20">
        <v>147803</v>
      </c>
    </row>
    <row r="77" spans="1:10" x14ac:dyDescent="0.3">
      <c r="A77" s="6" t="s">
        <v>102</v>
      </c>
      <c r="B77" s="7" t="s">
        <v>34</v>
      </c>
      <c r="C77" s="8">
        <v>45603</v>
      </c>
      <c r="D77" s="7" t="s">
        <v>28</v>
      </c>
      <c r="E77" s="16">
        <v>17254</v>
      </c>
      <c r="F77" s="16">
        <v>246</v>
      </c>
      <c r="G77" s="20">
        <v>952</v>
      </c>
      <c r="H77" s="20">
        <v>871</v>
      </c>
      <c r="I77" s="24">
        <v>14957</v>
      </c>
      <c r="J77" s="20">
        <v>75946</v>
      </c>
    </row>
    <row r="78" spans="1:10" x14ac:dyDescent="0.3">
      <c r="A78" s="6" t="s">
        <v>103</v>
      </c>
      <c r="B78" s="7" t="s">
        <v>17</v>
      </c>
      <c r="C78" s="8">
        <v>45720</v>
      </c>
      <c r="D78" s="7" t="s">
        <v>349</v>
      </c>
      <c r="E78" s="16">
        <v>13470</v>
      </c>
      <c r="F78" s="16">
        <v>523</v>
      </c>
      <c r="G78" s="20">
        <v>280</v>
      </c>
      <c r="H78" s="20">
        <v>2682</v>
      </c>
      <c r="I78" s="24">
        <v>8538</v>
      </c>
      <c r="J78" s="20">
        <v>95204</v>
      </c>
    </row>
    <row r="79" spans="1:10" x14ac:dyDescent="0.3">
      <c r="A79" s="6" t="s">
        <v>104</v>
      </c>
      <c r="B79" s="7" t="s">
        <v>17</v>
      </c>
      <c r="C79" s="8">
        <v>45460</v>
      </c>
      <c r="D79" s="7" t="s">
        <v>347</v>
      </c>
      <c r="E79" s="16">
        <v>3252</v>
      </c>
      <c r="F79" s="16">
        <v>1043</v>
      </c>
      <c r="G79" s="20">
        <v>647</v>
      </c>
      <c r="H79" s="20">
        <v>1545</v>
      </c>
      <c r="I79" s="24">
        <v>18859</v>
      </c>
      <c r="J79" s="20">
        <v>222958</v>
      </c>
    </row>
    <row r="80" spans="1:10" x14ac:dyDescent="0.3">
      <c r="A80" s="6" t="s">
        <v>105</v>
      </c>
      <c r="B80" s="7" t="s">
        <v>13</v>
      </c>
      <c r="C80" s="8">
        <v>45922</v>
      </c>
      <c r="D80" s="7" t="s">
        <v>352</v>
      </c>
      <c r="E80" s="16">
        <v>8996</v>
      </c>
      <c r="F80" s="16">
        <v>329</v>
      </c>
      <c r="G80" s="20">
        <v>378</v>
      </c>
      <c r="H80" s="20">
        <v>2384</v>
      </c>
      <c r="I80" s="24">
        <v>39404</v>
      </c>
      <c r="J80" s="20">
        <v>242724</v>
      </c>
    </row>
    <row r="81" spans="1:10" x14ac:dyDescent="0.3">
      <c r="A81" s="6" t="s">
        <v>106</v>
      </c>
      <c r="B81" s="7" t="s">
        <v>17</v>
      </c>
      <c r="C81" s="8">
        <v>45456</v>
      </c>
      <c r="D81" s="7" t="s">
        <v>343</v>
      </c>
      <c r="E81" s="16">
        <v>14173</v>
      </c>
      <c r="F81" s="16">
        <v>294</v>
      </c>
      <c r="G81" s="20">
        <v>257</v>
      </c>
      <c r="H81" s="20">
        <v>1288</v>
      </c>
      <c r="I81" s="24">
        <v>39466</v>
      </c>
      <c r="J81" s="20">
        <v>55563</v>
      </c>
    </row>
    <row r="82" spans="1:10" x14ac:dyDescent="0.3">
      <c r="A82" s="6" t="s">
        <v>107</v>
      </c>
      <c r="B82" s="7" t="s">
        <v>13</v>
      </c>
      <c r="C82" s="8">
        <v>45584</v>
      </c>
      <c r="D82" s="7" t="s">
        <v>346</v>
      </c>
      <c r="E82" s="16">
        <v>6673</v>
      </c>
      <c r="F82" s="16">
        <v>826</v>
      </c>
      <c r="G82" s="20">
        <v>321</v>
      </c>
      <c r="H82" s="20">
        <v>577</v>
      </c>
      <c r="I82" s="24">
        <v>19262</v>
      </c>
      <c r="J82" s="20">
        <v>132324</v>
      </c>
    </row>
    <row r="83" spans="1:10" x14ac:dyDescent="0.3">
      <c r="A83" s="6" t="s">
        <v>108</v>
      </c>
      <c r="B83" s="7" t="s">
        <v>17</v>
      </c>
      <c r="C83" s="8">
        <v>45497</v>
      </c>
      <c r="D83" s="7" t="s">
        <v>347</v>
      </c>
      <c r="E83" s="16">
        <v>22914</v>
      </c>
      <c r="F83" s="16">
        <v>954</v>
      </c>
      <c r="G83" s="20">
        <v>584</v>
      </c>
      <c r="H83" s="20">
        <v>1519</v>
      </c>
      <c r="I83" s="24">
        <v>13637</v>
      </c>
      <c r="J83" s="20">
        <v>49847</v>
      </c>
    </row>
    <row r="84" spans="1:10" x14ac:dyDescent="0.3">
      <c r="A84" s="6" t="s">
        <v>109</v>
      </c>
      <c r="B84" s="7" t="s">
        <v>20</v>
      </c>
      <c r="C84" s="8">
        <v>45580</v>
      </c>
      <c r="D84" s="7" t="s">
        <v>28</v>
      </c>
      <c r="E84" s="16">
        <v>17781</v>
      </c>
      <c r="F84" s="16">
        <v>993</v>
      </c>
      <c r="G84" s="20">
        <v>627</v>
      </c>
      <c r="H84" s="20">
        <v>2187</v>
      </c>
      <c r="I84" s="24">
        <v>9609</v>
      </c>
      <c r="J84" s="20">
        <v>66155</v>
      </c>
    </row>
    <row r="85" spans="1:10" x14ac:dyDescent="0.3">
      <c r="A85" s="6" t="s">
        <v>110</v>
      </c>
      <c r="B85" s="7" t="s">
        <v>17</v>
      </c>
      <c r="C85" s="8">
        <v>45635</v>
      </c>
      <c r="D85" s="7" t="s">
        <v>344</v>
      </c>
      <c r="E85" s="16">
        <v>15051</v>
      </c>
      <c r="F85" s="16">
        <v>268</v>
      </c>
      <c r="G85" s="20">
        <v>251</v>
      </c>
      <c r="H85" s="20">
        <v>783</v>
      </c>
      <c r="I85" s="24">
        <v>34154</v>
      </c>
      <c r="J85" s="20">
        <v>119671</v>
      </c>
    </row>
    <row r="86" spans="1:10" x14ac:dyDescent="0.3">
      <c r="A86" s="6" t="s">
        <v>111</v>
      </c>
      <c r="B86" s="7" t="s">
        <v>13</v>
      </c>
      <c r="C86" s="8">
        <v>45766</v>
      </c>
      <c r="D86" s="7" t="s">
        <v>347</v>
      </c>
      <c r="E86" s="16">
        <v>8881</v>
      </c>
      <c r="F86" s="16">
        <v>210</v>
      </c>
      <c r="G86" s="20">
        <v>673</v>
      </c>
      <c r="H86" s="20">
        <v>1565</v>
      </c>
      <c r="I86" s="24">
        <v>24847</v>
      </c>
      <c r="J86" s="20">
        <v>156891</v>
      </c>
    </row>
    <row r="87" spans="1:10" x14ac:dyDescent="0.3">
      <c r="A87" s="6" t="s">
        <v>112</v>
      </c>
      <c r="B87" s="7" t="s">
        <v>13</v>
      </c>
      <c r="C87" s="8">
        <v>45684</v>
      </c>
      <c r="D87" s="7" t="s">
        <v>349</v>
      </c>
      <c r="E87" s="16">
        <v>8949</v>
      </c>
      <c r="F87" s="16">
        <v>1477</v>
      </c>
      <c r="G87" s="20">
        <v>424</v>
      </c>
      <c r="H87" s="20">
        <v>1030</v>
      </c>
      <c r="I87" s="24">
        <v>58052</v>
      </c>
      <c r="J87" s="20">
        <v>123310</v>
      </c>
    </row>
    <row r="88" spans="1:10" x14ac:dyDescent="0.3">
      <c r="A88" s="6" t="s">
        <v>113</v>
      </c>
      <c r="B88" s="7" t="s">
        <v>34</v>
      </c>
      <c r="C88" s="8">
        <v>45449</v>
      </c>
      <c r="D88" s="7" t="s">
        <v>349</v>
      </c>
      <c r="E88" s="16">
        <v>11521</v>
      </c>
      <c r="F88" s="16">
        <v>1071</v>
      </c>
      <c r="G88" s="20">
        <v>762</v>
      </c>
      <c r="H88" s="20">
        <v>2539</v>
      </c>
      <c r="I88" s="24">
        <v>12701</v>
      </c>
      <c r="J88" s="20">
        <v>238350</v>
      </c>
    </row>
    <row r="89" spans="1:10" x14ac:dyDescent="0.3">
      <c r="A89" s="6" t="s">
        <v>114</v>
      </c>
      <c r="B89" s="7" t="s">
        <v>20</v>
      </c>
      <c r="C89" s="8">
        <v>45480</v>
      </c>
      <c r="D89" s="7" t="s">
        <v>344</v>
      </c>
      <c r="E89" s="16">
        <v>24625</v>
      </c>
      <c r="F89" s="16">
        <v>749</v>
      </c>
      <c r="G89" s="20">
        <v>193</v>
      </c>
      <c r="H89" s="20">
        <v>1340</v>
      </c>
      <c r="I89" s="24">
        <v>4890</v>
      </c>
      <c r="J89" s="20">
        <v>189381</v>
      </c>
    </row>
    <row r="90" spans="1:10" x14ac:dyDescent="0.3">
      <c r="A90" s="6" t="s">
        <v>115</v>
      </c>
      <c r="B90" s="7" t="s">
        <v>17</v>
      </c>
      <c r="C90" s="8">
        <v>45923</v>
      </c>
      <c r="D90" s="7" t="s">
        <v>352</v>
      </c>
      <c r="E90" s="16">
        <v>10017</v>
      </c>
      <c r="F90" s="16">
        <v>1357</v>
      </c>
      <c r="G90" s="20">
        <v>966</v>
      </c>
      <c r="H90" s="20">
        <v>2871</v>
      </c>
      <c r="I90" s="24">
        <v>14800</v>
      </c>
      <c r="J90" s="20">
        <v>171691</v>
      </c>
    </row>
    <row r="91" spans="1:10" x14ac:dyDescent="0.3">
      <c r="A91" s="6" t="s">
        <v>116</v>
      </c>
      <c r="B91" s="7" t="s">
        <v>34</v>
      </c>
      <c r="C91" s="8">
        <v>45446</v>
      </c>
      <c r="D91" s="7" t="s">
        <v>350</v>
      </c>
      <c r="E91" s="16">
        <v>8941</v>
      </c>
      <c r="F91" s="16">
        <v>911</v>
      </c>
      <c r="G91" s="20">
        <v>166</v>
      </c>
      <c r="H91" s="20">
        <v>1217</v>
      </c>
      <c r="I91" s="24">
        <v>68817</v>
      </c>
      <c r="J91" s="20">
        <v>221180</v>
      </c>
    </row>
    <row r="92" spans="1:10" x14ac:dyDescent="0.3">
      <c r="A92" s="6" t="s">
        <v>117</v>
      </c>
      <c r="B92" s="7" t="s">
        <v>17</v>
      </c>
      <c r="C92" s="8">
        <v>45924</v>
      </c>
      <c r="D92" s="7" t="s">
        <v>347</v>
      </c>
      <c r="E92" s="16">
        <v>12209</v>
      </c>
      <c r="F92" s="16">
        <v>222</v>
      </c>
      <c r="G92" s="20">
        <v>479</v>
      </c>
      <c r="H92" s="20">
        <v>2748</v>
      </c>
      <c r="I92" s="24">
        <v>24615</v>
      </c>
      <c r="J92" s="20">
        <v>74707</v>
      </c>
    </row>
    <row r="93" spans="1:10" x14ac:dyDescent="0.3">
      <c r="A93" s="6" t="s">
        <v>118</v>
      </c>
      <c r="B93" s="7" t="s">
        <v>17</v>
      </c>
      <c r="C93" s="8">
        <v>45586</v>
      </c>
      <c r="D93" s="7" t="s">
        <v>344</v>
      </c>
      <c r="E93" s="16">
        <v>19715</v>
      </c>
      <c r="F93" s="16">
        <v>1014</v>
      </c>
      <c r="G93" s="20">
        <v>718</v>
      </c>
      <c r="H93" s="20">
        <v>1185</v>
      </c>
      <c r="I93" s="24">
        <v>37625</v>
      </c>
      <c r="J93" s="20">
        <v>191409</v>
      </c>
    </row>
    <row r="94" spans="1:10" x14ac:dyDescent="0.3">
      <c r="A94" s="6" t="s">
        <v>119</v>
      </c>
      <c r="B94" s="7" t="s">
        <v>34</v>
      </c>
      <c r="C94" s="8">
        <v>45637</v>
      </c>
      <c r="D94" s="7" t="s">
        <v>349</v>
      </c>
      <c r="E94" s="16">
        <v>22645</v>
      </c>
      <c r="F94" s="16">
        <v>545</v>
      </c>
      <c r="G94" s="20">
        <v>972</v>
      </c>
      <c r="H94" s="20">
        <v>321</v>
      </c>
      <c r="I94" s="24">
        <v>8396</v>
      </c>
      <c r="J94" s="20">
        <v>121537</v>
      </c>
    </row>
    <row r="95" spans="1:10" x14ac:dyDescent="0.3">
      <c r="A95" s="6" t="s">
        <v>120</v>
      </c>
      <c r="B95" s="7" t="s">
        <v>34</v>
      </c>
      <c r="C95" s="8">
        <v>45603</v>
      </c>
      <c r="D95" s="7" t="s">
        <v>349</v>
      </c>
      <c r="E95" s="16">
        <v>11550</v>
      </c>
      <c r="F95" s="16">
        <v>501</v>
      </c>
      <c r="G95" s="20">
        <v>646</v>
      </c>
      <c r="H95" s="20">
        <v>773</v>
      </c>
      <c r="I95" s="24">
        <v>17841</v>
      </c>
      <c r="J95" s="20">
        <v>237576</v>
      </c>
    </row>
    <row r="96" spans="1:10" x14ac:dyDescent="0.3">
      <c r="A96" s="6" t="s">
        <v>121</v>
      </c>
      <c r="B96" s="7" t="s">
        <v>34</v>
      </c>
      <c r="C96" s="8">
        <v>45604</v>
      </c>
      <c r="D96" s="7" t="s">
        <v>346</v>
      </c>
      <c r="E96" s="16">
        <v>23499</v>
      </c>
      <c r="F96" s="16">
        <v>562</v>
      </c>
      <c r="G96" s="20">
        <v>964</v>
      </c>
      <c r="H96" s="20">
        <v>2557</v>
      </c>
      <c r="I96" s="24">
        <v>56890</v>
      </c>
      <c r="J96" s="20">
        <v>218686</v>
      </c>
    </row>
    <row r="97" spans="1:10" x14ac:dyDescent="0.3">
      <c r="A97" s="6" t="s">
        <v>122</v>
      </c>
      <c r="B97" s="7" t="s">
        <v>34</v>
      </c>
      <c r="C97" s="8">
        <v>45545</v>
      </c>
      <c r="D97" s="7" t="s">
        <v>348</v>
      </c>
      <c r="E97" s="16">
        <v>6637</v>
      </c>
      <c r="F97" s="16">
        <v>595</v>
      </c>
      <c r="G97" s="20">
        <v>161</v>
      </c>
      <c r="H97" s="20">
        <v>2653</v>
      </c>
      <c r="I97" s="24">
        <v>19334</v>
      </c>
      <c r="J97" s="20">
        <v>131155</v>
      </c>
    </row>
    <row r="98" spans="1:10" x14ac:dyDescent="0.3">
      <c r="A98" s="6" t="s">
        <v>123</v>
      </c>
      <c r="B98" s="7" t="s">
        <v>34</v>
      </c>
      <c r="C98" s="8">
        <v>45517</v>
      </c>
      <c r="D98" s="7" t="s">
        <v>352</v>
      </c>
      <c r="E98" s="16">
        <v>6854</v>
      </c>
      <c r="F98" s="16">
        <v>417</v>
      </c>
      <c r="G98" s="20">
        <v>467</v>
      </c>
      <c r="H98" s="20">
        <v>1003</v>
      </c>
      <c r="I98" s="24">
        <v>61333</v>
      </c>
      <c r="J98" s="20">
        <v>40281</v>
      </c>
    </row>
    <row r="99" spans="1:10" x14ac:dyDescent="0.3">
      <c r="A99" s="6" t="s">
        <v>124</v>
      </c>
      <c r="B99" s="7" t="s">
        <v>17</v>
      </c>
      <c r="C99" s="8">
        <v>45453</v>
      </c>
      <c r="D99" s="7" t="s">
        <v>347</v>
      </c>
      <c r="E99" s="16">
        <v>21561</v>
      </c>
      <c r="F99" s="16">
        <v>340</v>
      </c>
      <c r="G99" s="20">
        <v>741</v>
      </c>
      <c r="H99" s="20">
        <v>986</v>
      </c>
      <c r="I99" s="24">
        <v>24826</v>
      </c>
      <c r="J99" s="20">
        <v>198492</v>
      </c>
    </row>
    <row r="100" spans="1:10" x14ac:dyDescent="0.3">
      <c r="A100" s="6" t="s">
        <v>125</v>
      </c>
      <c r="B100" s="7" t="s">
        <v>34</v>
      </c>
      <c r="C100" s="8">
        <v>45475</v>
      </c>
      <c r="D100" s="7" t="s">
        <v>347</v>
      </c>
      <c r="E100" s="16">
        <v>12320</v>
      </c>
      <c r="F100" s="16">
        <v>1157</v>
      </c>
      <c r="G100" s="20">
        <v>365</v>
      </c>
      <c r="H100" s="20">
        <v>584</v>
      </c>
      <c r="I100" s="24">
        <v>66634</v>
      </c>
      <c r="J100" s="20">
        <v>210102</v>
      </c>
    </row>
    <row r="101" spans="1:10" x14ac:dyDescent="0.3">
      <c r="A101" s="6" t="s">
        <v>126</v>
      </c>
      <c r="B101" s="7" t="s">
        <v>20</v>
      </c>
      <c r="C101" s="8">
        <v>45925</v>
      </c>
      <c r="D101" s="7" t="s">
        <v>28</v>
      </c>
      <c r="E101" s="16">
        <v>20564</v>
      </c>
      <c r="F101" s="16">
        <v>1433</v>
      </c>
      <c r="G101" s="20">
        <v>488</v>
      </c>
      <c r="H101" s="20">
        <v>1015</v>
      </c>
      <c r="I101" s="24">
        <v>24333</v>
      </c>
      <c r="J101" s="20">
        <v>172130</v>
      </c>
    </row>
    <row r="102" spans="1:10" x14ac:dyDescent="0.3">
      <c r="A102" s="6" t="s">
        <v>127</v>
      </c>
      <c r="B102" s="7" t="s">
        <v>13</v>
      </c>
      <c r="C102" s="8">
        <v>45583</v>
      </c>
      <c r="D102" s="7" t="s">
        <v>344</v>
      </c>
      <c r="E102" s="16">
        <v>6892</v>
      </c>
      <c r="F102" s="16">
        <v>1184</v>
      </c>
      <c r="G102" s="20">
        <v>925</v>
      </c>
      <c r="H102" s="20">
        <v>1062</v>
      </c>
      <c r="I102" s="24">
        <v>75008</v>
      </c>
      <c r="J102" s="20">
        <v>116260</v>
      </c>
    </row>
    <row r="103" spans="1:10" x14ac:dyDescent="0.3">
      <c r="A103" s="6" t="s">
        <v>128</v>
      </c>
      <c r="B103" s="7" t="s">
        <v>34</v>
      </c>
      <c r="C103" s="8">
        <v>45926</v>
      </c>
      <c r="D103" s="7" t="s">
        <v>28</v>
      </c>
      <c r="E103" s="16">
        <v>9043</v>
      </c>
      <c r="F103" s="16">
        <v>1192</v>
      </c>
      <c r="G103" s="20">
        <v>810</v>
      </c>
      <c r="H103" s="20">
        <v>1550</v>
      </c>
      <c r="I103" s="24">
        <v>5221</v>
      </c>
      <c r="J103" s="20">
        <v>199476</v>
      </c>
    </row>
    <row r="104" spans="1:10" x14ac:dyDescent="0.3">
      <c r="A104" s="6" t="s">
        <v>129</v>
      </c>
      <c r="B104" s="7" t="s">
        <v>34</v>
      </c>
      <c r="C104" s="8">
        <v>45927</v>
      </c>
      <c r="D104" s="7" t="s">
        <v>344</v>
      </c>
      <c r="E104" s="16">
        <v>18521</v>
      </c>
      <c r="F104" s="16">
        <v>1027</v>
      </c>
      <c r="G104" s="20">
        <v>230</v>
      </c>
      <c r="H104" s="20">
        <v>1247</v>
      </c>
      <c r="I104" s="24">
        <v>39588</v>
      </c>
      <c r="J104" s="20">
        <v>200928</v>
      </c>
    </row>
    <row r="105" spans="1:10" x14ac:dyDescent="0.3">
      <c r="A105" s="6" t="s">
        <v>130</v>
      </c>
      <c r="B105" s="7" t="s">
        <v>17</v>
      </c>
      <c r="C105" s="8">
        <v>45739</v>
      </c>
      <c r="D105" s="7" t="s">
        <v>345</v>
      </c>
      <c r="E105" s="16">
        <v>24711</v>
      </c>
      <c r="F105" s="16">
        <v>882</v>
      </c>
      <c r="G105" s="20">
        <v>876</v>
      </c>
      <c r="H105" s="20">
        <v>2728</v>
      </c>
      <c r="I105" s="24">
        <v>32015</v>
      </c>
      <c r="J105" s="20">
        <v>180272</v>
      </c>
    </row>
    <row r="106" spans="1:10" x14ac:dyDescent="0.3">
      <c r="A106" s="6" t="s">
        <v>131</v>
      </c>
      <c r="B106" s="7" t="s">
        <v>34</v>
      </c>
      <c r="C106" s="8">
        <v>45457</v>
      </c>
      <c r="D106" s="7" t="s">
        <v>349</v>
      </c>
      <c r="E106" s="16">
        <v>21856</v>
      </c>
      <c r="F106" s="16">
        <v>1203</v>
      </c>
      <c r="G106" s="20">
        <v>634</v>
      </c>
      <c r="H106" s="20">
        <v>2807</v>
      </c>
      <c r="I106" s="24">
        <v>3647</v>
      </c>
      <c r="J106" s="20">
        <v>104178</v>
      </c>
    </row>
    <row r="107" spans="1:10" x14ac:dyDescent="0.3">
      <c r="A107" s="6" t="s">
        <v>132</v>
      </c>
      <c r="B107" s="7" t="s">
        <v>34</v>
      </c>
      <c r="C107" s="8">
        <v>45692</v>
      </c>
      <c r="D107" s="7" t="s">
        <v>348</v>
      </c>
      <c r="E107" s="16">
        <v>23833</v>
      </c>
      <c r="F107" s="16">
        <v>555</v>
      </c>
      <c r="G107" s="20">
        <v>523</v>
      </c>
      <c r="H107" s="20">
        <v>1330</v>
      </c>
      <c r="I107" s="24">
        <v>69141</v>
      </c>
      <c r="J107" s="20">
        <v>73997</v>
      </c>
    </row>
    <row r="108" spans="1:10" x14ac:dyDescent="0.3">
      <c r="A108" s="6" t="s">
        <v>133</v>
      </c>
      <c r="B108" s="7" t="s">
        <v>34</v>
      </c>
      <c r="C108" s="8">
        <v>45464</v>
      </c>
      <c r="D108" s="7" t="s">
        <v>346</v>
      </c>
      <c r="E108" s="16">
        <v>21216</v>
      </c>
      <c r="F108" s="16">
        <v>1207</v>
      </c>
      <c r="G108" s="20">
        <v>859</v>
      </c>
      <c r="H108" s="20">
        <v>328</v>
      </c>
      <c r="I108" s="24">
        <v>91296</v>
      </c>
      <c r="J108" s="20">
        <v>196683</v>
      </c>
    </row>
    <row r="109" spans="1:10" x14ac:dyDescent="0.3">
      <c r="A109" s="6" t="s">
        <v>134</v>
      </c>
      <c r="B109" s="7" t="s">
        <v>17</v>
      </c>
      <c r="C109" s="8">
        <v>45928</v>
      </c>
      <c r="D109" s="7" t="s">
        <v>348</v>
      </c>
      <c r="E109" s="16">
        <v>21963</v>
      </c>
      <c r="F109" s="16">
        <v>1356</v>
      </c>
      <c r="G109" s="20">
        <v>349</v>
      </c>
      <c r="H109" s="20">
        <v>1206</v>
      </c>
      <c r="I109" s="24">
        <v>51755</v>
      </c>
      <c r="J109" s="20">
        <v>159273</v>
      </c>
    </row>
    <row r="110" spans="1:10" x14ac:dyDescent="0.3">
      <c r="A110" s="6" t="s">
        <v>135</v>
      </c>
      <c r="B110" s="7" t="s">
        <v>34</v>
      </c>
      <c r="C110" s="8">
        <v>45512</v>
      </c>
      <c r="D110" s="7" t="s">
        <v>348</v>
      </c>
      <c r="E110" s="16">
        <v>24355</v>
      </c>
      <c r="F110" s="16">
        <v>1087</v>
      </c>
      <c r="G110" s="20">
        <v>686</v>
      </c>
      <c r="H110" s="20">
        <v>2426</v>
      </c>
      <c r="I110" s="24">
        <v>24963</v>
      </c>
      <c r="J110" s="20">
        <v>212307</v>
      </c>
    </row>
    <row r="111" spans="1:10" x14ac:dyDescent="0.3">
      <c r="A111" s="6" t="s">
        <v>136</v>
      </c>
      <c r="B111" s="7" t="s">
        <v>13</v>
      </c>
      <c r="C111" s="8">
        <v>45502</v>
      </c>
      <c r="D111" s="7" t="s">
        <v>348</v>
      </c>
      <c r="E111" s="16">
        <v>6164</v>
      </c>
      <c r="F111" s="16">
        <v>326</v>
      </c>
      <c r="G111" s="20">
        <v>615</v>
      </c>
      <c r="H111" s="20">
        <v>2806</v>
      </c>
      <c r="I111" s="24">
        <v>38579</v>
      </c>
      <c r="J111" s="20">
        <v>206129</v>
      </c>
    </row>
    <row r="112" spans="1:10" x14ac:dyDescent="0.3">
      <c r="A112" s="6" t="s">
        <v>137</v>
      </c>
      <c r="B112" s="7" t="s">
        <v>17</v>
      </c>
      <c r="C112" s="8">
        <v>45619</v>
      </c>
      <c r="D112" s="7" t="s">
        <v>28</v>
      </c>
      <c r="E112" s="16">
        <v>9941</v>
      </c>
      <c r="F112" s="16">
        <v>1329</v>
      </c>
      <c r="G112" s="20">
        <v>238</v>
      </c>
      <c r="H112" s="20">
        <v>869</v>
      </c>
      <c r="I112" s="24">
        <v>40281</v>
      </c>
      <c r="J112" s="20">
        <v>172311</v>
      </c>
    </row>
    <row r="113" spans="1:10" x14ac:dyDescent="0.3">
      <c r="A113" s="6" t="s">
        <v>138</v>
      </c>
      <c r="B113" s="7" t="s">
        <v>13</v>
      </c>
      <c r="C113" s="8">
        <v>45570</v>
      </c>
      <c r="D113" s="7" t="s">
        <v>344</v>
      </c>
      <c r="E113" s="16">
        <v>16388</v>
      </c>
      <c r="F113" s="16">
        <v>1208</v>
      </c>
      <c r="G113" s="20">
        <v>417</v>
      </c>
      <c r="H113" s="20">
        <v>2306</v>
      </c>
      <c r="I113" s="24">
        <v>16865</v>
      </c>
      <c r="J113" s="20">
        <v>236733</v>
      </c>
    </row>
    <row r="114" spans="1:10" x14ac:dyDescent="0.3">
      <c r="A114" s="6" t="s">
        <v>139</v>
      </c>
      <c r="B114" s="7" t="s">
        <v>17</v>
      </c>
      <c r="C114" s="8">
        <v>45929</v>
      </c>
      <c r="D114" s="7" t="s">
        <v>351</v>
      </c>
      <c r="E114" s="16">
        <v>7569</v>
      </c>
      <c r="F114" s="16">
        <v>803</v>
      </c>
      <c r="G114" s="20">
        <v>804</v>
      </c>
      <c r="H114" s="20">
        <v>1753</v>
      </c>
      <c r="I114" s="24">
        <v>43582</v>
      </c>
      <c r="J114" s="20">
        <v>166945</v>
      </c>
    </row>
    <row r="115" spans="1:10" x14ac:dyDescent="0.3">
      <c r="A115" s="6" t="s">
        <v>140</v>
      </c>
      <c r="B115" s="7" t="s">
        <v>34</v>
      </c>
      <c r="C115" s="8">
        <v>45610</v>
      </c>
      <c r="D115" s="7" t="s">
        <v>345</v>
      </c>
      <c r="E115" s="16">
        <v>6300</v>
      </c>
      <c r="F115" s="16">
        <v>1213</v>
      </c>
      <c r="G115" s="20">
        <v>720</v>
      </c>
      <c r="H115" s="20">
        <v>1037</v>
      </c>
      <c r="I115" s="24">
        <v>39569</v>
      </c>
      <c r="J115" s="20">
        <v>85272</v>
      </c>
    </row>
    <row r="116" spans="1:10" x14ac:dyDescent="0.3">
      <c r="A116" s="6" t="s">
        <v>141</v>
      </c>
      <c r="B116" s="7" t="s">
        <v>13</v>
      </c>
      <c r="C116" s="8">
        <v>45930</v>
      </c>
      <c r="D116" s="7" t="s">
        <v>343</v>
      </c>
      <c r="E116" s="16">
        <v>8269</v>
      </c>
      <c r="F116" s="16">
        <v>250</v>
      </c>
      <c r="G116" s="20">
        <v>638</v>
      </c>
      <c r="H116" s="20">
        <v>815</v>
      </c>
      <c r="I116" s="24">
        <v>41991</v>
      </c>
      <c r="J116" s="20">
        <v>129393</v>
      </c>
    </row>
    <row r="117" spans="1:10" x14ac:dyDescent="0.3">
      <c r="A117" s="6" t="s">
        <v>142</v>
      </c>
      <c r="B117" s="7" t="s">
        <v>17</v>
      </c>
      <c r="C117" s="8">
        <v>45734</v>
      </c>
      <c r="D117" s="7" t="s">
        <v>348</v>
      </c>
      <c r="E117" s="16">
        <v>5818</v>
      </c>
      <c r="F117" s="16">
        <v>1252</v>
      </c>
      <c r="G117" s="20">
        <v>687</v>
      </c>
      <c r="H117" s="20">
        <v>2300</v>
      </c>
      <c r="I117" s="24">
        <v>25081</v>
      </c>
      <c r="J117" s="20">
        <v>101212</v>
      </c>
    </row>
    <row r="118" spans="1:10" x14ac:dyDescent="0.3">
      <c r="A118" s="6" t="s">
        <v>143</v>
      </c>
      <c r="B118" s="7" t="s">
        <v>20</v>
      </c>
      <c r="C118" s="8">
        <v>45600</v>
      </c>
      <c r="D118" s="7" t="s">
        <v>350</v>
      </c>
      <c r="E118" s="16">
        <v>14015</v>
      </c>
      <c r="F118" s="16">
        <v>978</v>
      </c>
      <c r="G118" s="20">
        <v>196</v>
      </c>
      <c r="H118" s="20">
        <v>2744</v>
      </c>
      <c r="I118" s="24">
        <v>20190</v>
      </c>
      <c r="J118" s="20">
        <v>186470</v>
      </c>
    </row>
    <row r="119" spans="1:10" x14ac:dyDescent="0.3">
      <c r="A119" s="6" t="s">
        <v>144</v>
      </c>
      <c r="B119" s="7" t="s">
        <v>34</v>
      </c>
      <c r="C119" s="8">
        <v>45600</v>
      </c>
      <c r="D119" s="7" t="s">
        <v>28</v>
      </c>
      <c r="E119" s="16">
        <v>14234</v>
      </c>
      <c r="F119" s="16">
        <v>1013</v>
      </c>
      <c r="G119" s="20">
        <v>437</v>
      </c>
      <c r="H119" s="20">
        <v>338</v>
      </c>
      <c r="I119" s="24">
        <v>67754</v>
      </c>
      <c r="J119" s="20">
        <v>160030</v>
      </c>
    </row>
    <row r="120" spans="1:10" x14ac:dyDescent="0.3">
      <c r="A120" s="6" t="s">
        <v>145</v>
      </c>
      <c r="B120" s="7" t="s">
        <v>17</v>
      </c>
      <c r="C120" s="8">
        <v>45695</v>
      </c>
      <c r="D120" s="7" t="s">
        <v>352</v>
      </c>
      <c r="E120" s="16">
        <v>20290</v>
      </c>
      <c r="F120" s="16">
        <v>619</v>
      </c>
      <c r="G120" s="20">
        <v>927</v>
      </c>
      <c r="H120" s="20">
        <v>1186</v>
      </c>
      <c r="I120" s="24">
        <v>8924</v>
      </c>
      <c r="J120" s="20">
        <v>96503</v>
      </c>
    </row>
    <row r="121" spans="1:10" x14ac:dyDescent="0.3">
      <c r="A121" s="6" t="s">
        <v>146</v>
      </c>
      <c r="B121" s="7" t="s">
        <v>20</v>
      </c>
      <c r="C121" s="8">
        <v>45586</v>
      </c>
      <c r="D121" s="7" t="s">
        <v>346</v>
      </c>
      <c r="E121" s="16">
        <v>8254</v>
      </c>
      <c r="F121" s="16">
        <v>1405</v>
      </c>
      <c r="G121" s="20">
        <v>165</v>
      </c>
      <c r="H121" s="20">
        <v>2504</v>
      </c>
      <c r="I121" s="24">
        <v>8081</v>
      </c>
      <c r="J121" s="20">
        <v>177710</v>
      </c>
    </row>
    <row r="122" spans="1:10" x14ac:dyDescent="0.3">
      <c r="A122" s="6" t="s">
        <v>147</v>
      </c>
      <c r="B122" s="7" t="s">
        <v>17</v>
      </c>
      <c r="C122" s="8">
        <v>45502</v>
      </c>
      <c r="D122" s="7" t="s">
        <v>343</v>
      </c>
      <c r="E122" s="16">
        <v>19144</v>
      </c>
      <c r="F122" s="16">
        <v>1182</v>
      </c>
      <c r="G122" s="20">
        <v>860</v>
      </c>
      <c r="H122" s="20">
        <v>1398</v>
      </c>
      <c r="I122" s="24">
        <v>4185</v>
      </c>
      <c r="J122" s="20">
        <v>46570</v>
      </c>
    </row>
    <row r="123" spans="1:10" x14ac:dyDescent="0.3">
      <c r="A123" s="6" t="s">
        <v>148</v>
      </c>
      <c r="B123" s="7" t="s">
        <v>20</v>
      </c>
      <c r="C123" s="8">
        <v>45567</v>
      </c>
      <c r="D123" s="7" t="s">
        <v>351</v>
      </c>
      <c r="E123" s="16">
        <v>9350</v>
      </c>
      <c r="F123" s="16">
        <v>1024</v>
      </c>
      <c r="G123" s="20">
        <v>550</v>
      </c>
      <c r="H123" s="20">
        <v>2123</v>
      </c>
      <c r="I123" s="24">
        <v>53916</v>
      </c>
      <c r="J123" s="20">
        <v>108785</v>
      </c>
    </row>
    <row r="124" spans="1:10" x14ac:dyDescent="0.3">
      <c r="A124" s="6" t="s">
        <v>149</v>
      </c>
      <c r="B124" s="7" t="s">
        <v>34</v>
      </c>
      <c r="C124" s="8">
        <v>45457</v>
      </c>
      <c r="D124" s="7" t="s">
        <v>350</v>
      </c>
      <c r="E124" s="16">
        <v>17183</v>
      </c>
      <c r="F124" s="16">
        <v>1224</v>
      </c>
      <c r="G124" s="20">
        <v>943</v>
      </c>
      <c r="H124" s="20">
        <v>2010</v>
      </c>
      <c r="I124" s="24">
        <v>21481</v>
      </c>
      <c r="J124" s="20">
        <v>49110</v>
      </c>
    </row>
    <row r="125" spans="1:10" x14ac:dyDescent="0.3">
      <c r="A125" s="6" t="s">
        <v>150</v>
      </c>
      <c r="B125" s="7" t="s">
        <v>13</v>
      </c>
      <c r="C125" s="8">
        <v>45753</v>
      </c>
      <c r="D125" s="7" t="s">
        <v>351</v>
      </c>
      <c r="E125" s="16">
        <v>8238</v>
      </c>
      <c r="F125" s="16">
        <v>766</v>
      </c>
      <c r="G125" s="20">
        <v>235</v>
      </c>
      <c r="H125" s="20">
        <v>1273</v>
      </c>
      <c r="I125" s="24">
        <v>4706</v>
      </c>
      <c r="J125" s="20">
        <v>119141</v>
      </c>
    </row>
    <row r="126" spans="1:10" x14ac:dyDescent="0.3">
      <c r="A126" s="6" t="s">
        <v>151</v>
      </c>
      <c r="B126" s="7" t="s">
        <v>20</v>
      </c>
      <c r="C126" s="8">
        <v>45543</v>
      </c>
      <c r="D126" s="7" t="s">
        <v>343</v>
      </c>
      <c r="E126" s="16">
        <v>8090</v>
      </c>
      <c r="F126" s="16">
        <v>570</v>
      </c>
      <c r="G126" s="20">
        <v>399</v>
      </c>
      <c r="H126" s="20">
        <v>1862</v>
      </c>
      <c r="I126" s="24">
        <v>34088</v>
      </c>
      <c r="J126" s="20">
        <v>52115</v>
      </c>
    </row>
    <row r="127" spans="1:10" x14ac:dyDescent="0.3">
      <c r="A127" s="6" t="s">
        <v>152</v>
      </c>
      <c r="B127" s="7" t="s">
        <v>17</v>
      </c>
      <c r="C127" s="8">
        <v>45744</v>
      </c>
      <c r="D127" s="7" t="s">
        <v>348</v>
      </c>
      <c r="E127" s="16">
        <v>13637</v>
      </c>
      <c r="F127" s="16">
        <v>1135</v>
      </c>
      <c r="G127" s="20">
        <v>540</v>
      </c>
      <c r="H127" s="20">
        <v>1288</v>
      </c>
      <c r="I127" s="24">
        <v>45183</v>
      </c>
      <c r="J127" s="20">
        <v>79062</v>
      </c>
    </row>
    <row r="128" spans="1:10" x14ac:dyDescent="0.3">
      <c r="A128" s="6" t="s">
        <v>153</v>
      </c>
      <c r="B128" s="7" t="s">
        <v>34</v>
      </c>
      <c r="C128" s="8">
        <v>45684</v>
      </c>
      <c r="D128" s="7" t="s">
        <v>350</v>
      </c>
      <c r="E128" s="16">
        <v>24415</v>
      </c>
      <c r="F128" s="16">
        <v>860</v>
      </c>
      <c r="G128" s="20">
        <v>931</v>
      </c>
      <c r="H128" s="20">
        <v>320</v>
      </c>
      <c r="I128" s="24">
        <v>65049</v>
      </c>
      <c r="J128" s="20">
        <v>62911</v>
      </c>
    </row>
    <row r="129" spans="1:10" x14ac:dyDescent="0.3">
      <c r="A129" s="6" t="s">
        <v>154</v>
      </c>
      <c r="B129" s="7" t="s">
        <v>20</v>
      </c>
      <c r="C129" s="8">
        <v>45667</v>
      </c>
      <c r="D129" s="7" t="s">
        <v>351</v>
      </c>
      <c r="E129" s="16">
        <v>14647</v>
      </c>
      <c r="F129" s="16">
        <v>1168</v>
      </c>
      <c r="G129" s="20">
        <v>484</v>
      </c>
      <c r="H129" s="20">
        <v>2650</v>
      </c>
      <c r="I129" s="24">
        <v>27217</v>
      </c>
      <c r="J129" s="20">
        <v>144061</v>
      </c>
    </row>
    <row r="130" spans="1:10" x14ac:dyDescent="0.3">
      <c r="A130" s="6" t="s">
        <v>155</v>
      </c>
      <c r="B130" s="7" t="s">
        <v>17</v>
      </c>
      <c r="C130" s="8">
        <v>45494</v>
      </c>
      <c r="D130" s="7" t="s">
        <v>346</v>
      </c>
      <c r="E130" s="16">
        <v>11911</v>
      </c>
      <c r="F130" s="16">
        <v>1360</v>
      </c>
      <c r="G130" s="20">
        <v>778</v>
      </c>
      <c r="H130" s="20">
        <v>1168</v>
      </c>
      <c r="I130" s="24">
        <v>16483</v>
      </c>
      <c r="J130" s="20">
        <v>72556</v>
      </c>
    </row>
    <row r="131" spans="1:10" x14ac:dyDescent="0.3">
      <c r="A131" s="6" t="s">
        <v>156</v>
      </c>
      <c r="B131" s="7" t="s">
        <v>17</v>
      </c>
      <c r="C131" s="8">
        <v>45564</v>
      </c>
      <c r="D131" s="7" t="s">
        <v>344</v>
      </c>
      <c r="E131" s="16">
        <v>10472</v>
      </c>
      <c r="F131" s="16">
        <v>401</v>
      </c>
      <c r="G131" s="20">
        <v>668</v>
      </c>
      <c r="H131" s="20">
        <v>383</v>
      </c>
      <c r="I131" s="24">
        <v>37571</v>
      </c>
      <c r="J131" s="20">
        <v>249203</v>
      </c>
    </row>
    <row r="132" spans="1:10" x14ac:dyDescent="0.3">
      <c r="A132" s="6" t="s">
        <v>157</v>
      </c>
      <c r="B132" s="7" t="s">
        <v>17</v>
      </c>
      <c r="C132" s="8">
        <v>45586</v>
      </c>
      <c r="D132" s="7" t="s">
        <v>349</v>
      </c>
      <c r="E132" s="16">
        <v>20271</v>
      </c>
      <c r="F132" s="16">
        <v>512</v>
      </c>
      <c r="G132" s="20">
        <v>286</v>
      </c>
      <c r="H132" s="20">
        <v>1982</v>
      </c>
      <c r="I132" s="24">
        <v>43225</v>
      </c>
      <c r="J132" s="20">
        <v>168335</v>
      </c>
    </row>
    <row r="133" spans="1:10" x14ac:dyDescent="0.3">
      <c r="A133" s="6" t="s">
        <v>158</v>
      </c>
      <c r="B133" s="7" t="s">
        <v>20</v>
      </c>
      <c r="C133" s="8">
        <v>45720</v>
      </c>
      <c r="D133" s="7" t="s">
        <v>344</v>
      </c>
      <c r="E133" s="16">
        <v>5266</v>
      </c>
      <c r="F133" s="16">
        <v>316</v>
      </c>
      <c r="G133" s="20">
        <v>837</v>
      </c>
      <c r="H133" s="20">
        <v>2276</v>
      </c>
      <c r="I133" s="24">
        <v>20967</v>
      </c>
      <c r="J133" s="20">
        <v>41969</v>
      </c>
    </row>
    <row r="134" spans="1:10" x14ac:dyDescent="0.3">
      <c r="A134" s="6" t="s">
        <v>159</v>
      </c>
      <c r="B134" s="7" t="s">
        <v>20</v>
      </c>
      <c r="C134" s="8">
        <v>45694</v>
      </c>
      <c r="D134" s="7" t="s">
        <v>343</v>
      </c>
      <c r="E134" s="16">
        <v>2666</v>
      </c>
      <c r="F134" s="16">
        <v>1136</v>
      </c>
      <c r="G134" s="20">
        <v>989</v>
      </c>
      <c r="H134" s="20">
        <v>1710</v>
      </c>
      <c r="I134" s="24">
        <v>36467</v>
      </c>
      <c r="J134" s="20">
        <v>83753</v>
      </c>
    </row>
    <row r="135" spans="1:10" x14ac:dyDescent="0.3">
      <c r="A135" s="6" t="s">
        <v>160</v>
      </c>
      <c r="B135" s="7" t="s">
        <v>20</v>
      </c>
      <c r="C135" s="8">
        <v>45931</v>
      </c>
      <c r="D135" s="7" t="s">
        <v>28</v>
      </c>
      <c r="E135" s="16">
        <v>6188</v>
      </c>
      <c r="F135" s="16">
        <v>774</v>
      </c>
      <c r="G135" s="20">
        <v>647</v>
      </c>
      <c r="H135" s="20">
        <v>1830</v>
      </c>
      <c r="I135" s="24">
        <v>55436</v>
      </c>
      <c r="J135" s="20">
        <v>175542</v>
      </c>
    </row>
    <row r="136" spans="1:10" x14ac:dyDescent="0.3">
      <c r="A136" s="6" t="s">
        <v>161</v>
      </c>
      <c r="B136" s="7" t="s">
        <v>13</v>
      </c>
      <c r="C136" s="8">
        <v>45624</v>
      </c>
      <c r="D136" s="7" t="s">
        <v>349</v>
      </c>
      <c r="E136" s="16">
        <v>19055</v>
      </c>
      <c r="F136" s="16">
        <v>443</v>
      </c>
      <c r="G136" s="20">
        <v>976</v>
      </c>
      <c r="H136" s="20">
        <v>869</v>
      </c>
      <c r="I136" s="24">
        <v>75437</v>
      </c>
      <c r="J136" s="20">
        <v>161863</v>
      </c>
    </row>
    <row r="137" spans="1:10" x14ac:dyDescent="0.3">
      <c r="A137" s="6" t="s">
        <v>162</v>
      </c>
      <c r="B137" s="7" t="s">
        <v>20</v>
      </c>
      <c r="C137" s="8">
        <v>45932</v>
      </c>
      <c r="D137" s="7" t="s">
        <v>345</v>
      </c>
      <c r="E137" s="16">
        <v>12161</v>
      </c>
      <c r="F137" s="16">
        <v>736</v>
      </c>
      <c r="G137" s="20">
        <v>876</v>
      </c>
      <c r="H137" s="20">
        <v>1233</v>
      </c>
      <c r="I137" s="24">
        <v>21337</v>
      </c>
      <c r="J137" s="20">
        <v>50225</v>
      </c>
    </row>
    <row r="138" spans="1:10" x14ac:dyDescent="0.3">
      <c r="A138" s="6" t="s">
        <v>163</v>
      </c>
      <c r="B138" s="7" t="s">
        <v>20</v>
      </c>
      <c r="C138" s="8">
        <v>45504</v>
      </c>
      <c r="D138" s="7" t="s">
        <v>346</v>
      </c>
      <c r="E138" s="16">
        <v>13314</v>
      </c>
      <c r="F138" s="16">
        <v>274</v>
      </c>
      <c r="G138" s="20">
        <v>626</v>
      </c>
      <c r="H138" s="20">
        <v>2280</v>
      </c>
      <c r="I138" s="24">
        <v>14639</v>
      </c>
      <c r="J138" s="20">
        <v>163008</v>
      </c>
    </row>
    <row r="139" spans="1:10" x14ac:dyDescent="0.3">
      <c r="A139" s="6" t="s">
        <v>164</v>
      </c>
      <c r="B139" s="7" t="s">
        <v>20</v>
      </c>
      <c r="C139" s="8">
        <v>45745</v>
      </c>
      <c r="D139" s="7" t="s">
        <v>345</v>
      </c>
      <c r="E139" s="16">
        <v>23508</v>
      </c>
      <c r="F139" s="16">
        <v>585</v>
      </c>
      <c r="G139" s="20">
        <v>743</v>
      </c>
      <c r="H139" s="20">
        <v>2155</v>
      </c>
      <c r="I139" s="24">
        <v>3704</v>
      </c>
      <c r="J139" s="20">
        <v>194268</v>
      </c>
    </row>
    <row r="140" spans="1:10" x14ac:dyDescent="0.3">
      <c r="A140" s="6" t="s">
        <v>165</v>
      </c>
      <c r="B140" s="7" t="s">
        <v>13</v>
      </c>
      <c r="C140" s="8">
        <v>45594</v>
      </c>
      <c r="D140" s="7" t="s">
        <v>350</v>
      </c>
      <c r="E140" s="16">
        <v>23969</v>
      </c>
      <c r="F140" s="16">
        <v>1433</v>
      </c>
      <c r="G140" s="20">
        <v>372</v>
      </c>
      <c r="H140" s="20">
        <v>1092</v>
      </c>
      <c r="I140" s="24">
        <v>32147</v>
      </c>
      <c r="J140" s="20">
        <v>145823</v>
      </c>
    </row>
    <row r="141" spans="1:10" x14ac:dyDescent="0.3">
      <c r="A141" s="6" t="s">
        <v>166</v>
      </c>
      <c r="B141" s="7" t="s">
        <v>20</v>
      </c>
      <c r="C141" s="8">
        <v>45488</v>
      </c>
      <c r="D141" s="7" t="s">
        <v>347</v>
      </c>
      <c r="E141" s="16">
        <v>14891</v>
      </c>
      <c r="F141" s="16">
        <v>674</v>
      </c>
      <c r="G141" s="20">
        <v>521</v>
      </c>
      <c r="H141" s="20">
        <v>1091</v>
      </c>
      <c r="I141" s="24">
        <v>18101</v>
      </c>
      <c r="J141" s="20">
        <v>53669</v>
      </c>
    </row>
    <row r="142" spans="1:10" x14ac:dyDescent="0.3">
      <c r="A142" s="6" t="s">
        <v>167</v>
      </c>
      <c r="B142" s="7" t="s">
        <v>17</v>
      </c>
      <c r="C142" s="8">
        <v>45933</v>
      </c>
      <c r="D142" s="7" t="s">
        <v>349</v>
      </c>
      <c r="E142" s="16">
        <v>6777</v>
      </c>
      <c r="F142" s="16">
        <v>617</v>
      </c>
      <c r="G142" s="20">
        <v>551</v>
      </c>
      <c r="H142" s="20">
        <v>2109</v>
      </c>
      <c r="I142" s="24">
        <v>18559</v>
      </c>
      <c r="J142" s="20">
        <v>208452</v>
      </c>
    </row>
    <row r="143" spans="1:10" x14ac:dyDescent="0.3">
      <c r="A143" s="6" t="s">
        <v>168</v>
      </c>
      <c r="B143" s="7" t="s">
        <v>20</v>
      </c>
      <c r="C143" s="8">
        <v>45741</v>
      </c>
      <c r="D143" s="7" t="s">
        <v>345</v>
      </c>
      <c r="E143" s="16">
        <v>5900</v>
      </c>
      <c r="F143" s="16">
        <v>546</v>
      </c>
      <c r="G143" s="20">
        <v>592</v>
      </c>
      <c r="H143" s="20">
        <v>1594</v>
      </c>
      <c r="I143" s="24">
        <v>38627</v>
      </c>
      <c r="J143" s="20">
        <v>164398</v>
      </c>
    </row>
    <row r="144" spans="1:10" x14ac:dyDescent="0.3">
      <c r="A144" s="6" t="s">
        <v>169</v>
      </c>
      <c r="B144" s="7" t="s">
        <v>17</v>
      </c>
      <c r="C144" s="8">
        <v>45567</v>
      </c>
      <c r="D144" s="7" t="s">
        <v>345</v>
      </c>
      <c r="E144" s="16">
        <v>15716</v>
      </c>
      <c r="F144" s="16">
        <v>839</v>
      </c>
      <c r="G144" s="20">
        <v>639</v>
      </c>
      <c r="H144" s="20">
        <v>2839</v>
      </c>
      <c r="I144" s="24">
        <v>349</v>
      </c>
      <c r="J144" s="20">
        <v>150677</v>
      </c>
    </row>
    <row r="145" spans="1:10" x14ac:dyDescent="0.3">
      <c r="A145" s="6" t="s">
        <v>170</v>
      </c>
      <c r="B145" s="7" t="s">
        <v>17</v>
      </c>
      <c r="C145" s="8">
        <v>45593</v>
      </c>
      <c r="D145" s="7" t="s">
        <v>351</v>
      </c>
      <c r="E145" s="16">
        <v>8981</v>
      </c>
      <c r="F145" s="16">
        <v>1138</v>
      </c>
      <c r="G145" s="20">
        <v>764</v>
      </c>
      <c r="H145" s="20">
        <v>2555</v>
      </c>
      <c r="I145" s="24">
        <v>92810</v>
      </c>
      <c r="J145" s="20">
        <v>88320</v>
      </c>
    </row>
    <row r="146" spans="1:10" x14ac:dyDescent="0.3">
      <c r="A146" s="6" t="s">
        <v>171</v>
      </c>
      <c r="B146" s="7" t="s">
        <v>17</v>
      </c>
      <c r="C146" s="8">
        <v>45516</v>
      </c>
      <c r="D146" s="7" t="s">
        <v>344</v>
      </c>
      <c r="E146" s="16">
        <v>8376</v>
      </c>
      <c r="F146" s="16">
        <v>1154</v>
      </c>
      <c r="G146" s="20">
        <v>422</v>
      </c>
      <c r="H146" s="20">
        <v>1907</v>
      </c>
      <c r="I146" s="24">
        <v>36874</v>
      </c>
      <c r="J146" s="20">
        <v>218486</v>
      </c>
    </row>
    <row r="147" spans="1:10" x14ac:dyDescent="0.3">
      <c r="A147" s="6" t="s">
        <v>172</v>
      </c>
      <c r="B147" s="7" t="s">
        <v>13</v>
      </c>
      <c r="C147" s="8">
        <v>45448</v>
      </c>
      <c r="D147" s="7" t="s">
        <v>351</v>
      </c>
      <c r="E147" s="16">
        <v>18907</v>
      </c>
      <c r="F147" s="16">
        <v>1075</v>
      </c>
      <c r="G147" s="20">
        <v>675</v>
      </c>
      <c r="H147" s="20">
        <v>1383</v>
      </c>
      <c r="I147" s="24">
        <v>17875</v>
      </c>
      <c r="J147" s="20">
        <v>186649</v>
      </c>
    </row>
    <row r="148" spans="1:10" x14ac:dyDescent="0.3">
      <c r="A148" s="6" t="s">
        <v>173</v>
      </c>
      <c r="B148" s="7" t="s">
        <v>13</v>
      </c>
      <c r="C148" s="8">
        <v>45586</v>
      </c>
      <c r="D148" s="7" t="s">
        <v>349</v>
      </c>
      <c r="E148" s="16">
        <v>20777</v>
      </c>
      <c r="F148" s="16">
        <v>962</v>
      </c>
      <c r="G148" s="20">
        <v>308</v>
      </c>
      <c r="H148" s="20">
        <v>2777</v>
      </c>
      <c r="I148" s="24">
        <v>25529</v>
      </c>
      <c r="J148" s="20">
        <v>165354</v>
      </c>
    </row>
    <row r="149" spans="1:10" x14ac:dyDescent="0.3">
      <c r="A149" s="6" t="s">
        <v>174</v>
      </c>
      <c r="B149" s="7" t="s">
        <v>13</v>
      </c>
      <c r="C149" s="8">
        <v>45762</v>
      </c>
      <c r="D149" s="7" t="s">
        <v>349</v>
      </c>
      <c r="E149" s="16">
        <v>20977</v>
      </c>
      <c r="F149" s="16">
        <v>1402</v>
      </c>
      <c r="G149" s="20">
        <v>301</v>
      </c>
      <c r="H149" s="20">
        <v>1284</v>
      </c>
      <c r="I149" s="24">
        <v>24620</v>
      </c>
      <c r="J149" s="20">
        <v>128009</v>
      </c>
    </row>
    <row r="150" spans="1:10" x14ac:dyDescent="0.3">
      <c r="A150" s="6" t="s">
        <v>175</v>
      </c>
      <c r="B150" s="7" t="s">
        <v>20</v>
      </c>
      <c r="C150" s="8">
        <v>45459</v>
      </c>
      <c r="D150" s="7" t="s">
        <v>343</v>
      </c>
      <c r="E150" s="16">
        <v>12160</v>
      </c>
      <c r="F150" s="16">
        <v>1405</v>
      </c>
      <c r="G150" s="20">
        <v>769</v>
      </c>
      <c r="H150" s="20">
        <v>1980</v>
      </c>
      <c r="I150" s="24">
        <v>33174</v>
      </c>
      <c r="J150" s="20">
        <v>226481</v>
      </c>
    </row>
    <row r="151" spans="1:10" x14ac:dyDescent="0.3">
      <c r="A151" s="6" t="s">
        <v>176</v>
      </c>
      <c r="B151" s="7" t="s">
        <v>17</v>
      </c>
      <c r="C151" s="8">
        <v>45526</v>
      </c>
      <c r="D151" s="7" t="s">
        <v>351</v>
      </c>
      <c r="E151" s="16">
        <v>16124</v>
      </c>
      <c r="F151" s="16">
        <v>863</v>
      </c>
      <c r="G151" s="20">
        <v>337</v>
      </c>
      <c r="H151" s="20">
        <v>819</v>
      </c>
      <c r="I151" s="24">
        <v>85788</v>
      </c>
      <c r="J151" s="20">
        <v>68625</v>
      </c>
    </row>
    <row r="152" spans="1:10" x14ac:dyDescent="0.3">
      <c r="A152" s="6" t="s">
        <v>177</v>
      </c>
      <c r="B152" s="7" t="s">
        <v>13</v>
      </c>
      <c r="C152" s="8">
        <v>45499</v>
      </c>
      <c r="D152" s="7" t="s">
        <v>55</v>
      </c>
      <c r="E152" s="16">
        <v>18282</v>
      </c>
      <c r="F152" s="16">
        <v>224</v>
      </c>
      <c r="G152" s="20">
        <v>962</v>
      </c>
      <c r="H152" s="20">
        <v>890</v>
      </c>
      <c r="I152" s="24">
        <v>35105</v>
      </c>
      <c r="J152" s="20">
        <v>64089</v>
      </c>
    </row>
    <row r="153" spans="1:10" x14ac:dyDescent="0.3">
      <c r="A153" s="6" t="s">
        <v>178</v>
      </c>
      <c r="B153" s="7" t="s">
        <v>13</v>
      </c>
      <c r="C153" s="8">
        <v>45934</v>
      </c>
      <c r="D153" s="7" t="s">
        <v>352</v>
      </c>
      <c r="E153" s="16">
        <v>12488</v>
      </c>
      <c r="F153" s="16">
        <v>1403</v>
      </c>
      <c r="G153" s="20">
        <v>247</v>
      </c>
      <c r="H153" s="20">
        <v>1350</v>
      </c>
      <c r="I153" s="24">
        <v>28370</v>
      </c>
      <c r="J153" s="20">
        <v>76487</v>
      </c>
    </row>
    <row r="154" spans="1:10" x14ac:dyDescent="0.3">
      <c r="A154" s="6" t="s">
        <v>179</v>
      </c>
      <c r="B154" s="7" t="s">
        <v>20</v>
      </c>
      <c r="C154" s="8">
        <v>45658</v>
      </c>
      <c r="D154" s="7" t="s">
        <v>344</v>
      </c>
      <c r="E154" s="16">
        <v>24574</v>
      </c>
      <c r="F154" s="16">
        <v>909</v>
      </c>
      <c r="G154" s="20">
        <v>280</v>
      </c>
      <c r="H154" s="20">
        <v>2009</v>
      </c>
      <c r="I154" s="24">
        <v>6221</v>
      </c>
      <c r="J154" s="20">
        <v>236910</v>
      </c>
    </row>
    <row r="155" spans="1:10" x14ac:dyDescent="0.3">
      <c r="A155" s="6" t="s">
        <v>180</v>
      </c>
      <c r="B155" s="7" t="s">
        <v>13</v>
      </c>
      <c r="C155" s="8">
        <v>45574</v>
      </c>
      <c r="D155" s="7" t="s">
        <v>349</v>
      </c>
      <c r="E155" s="16">
        <v>7240</v>
      </c>
      <c r="F155" s="16">
        <v>1384</v>
      </c>
      <c r="G155" s="20">
        <v>954</v>
      </c>
      <c r="H155" s="20">
        <v>2335</v>
      </c>
      <c r="I155" s="24">
        <v>6757</v>
      </c>
      <c r="J155" s="20">
        <v>150448</v>
      </c>
    </row>
    <row r="156" spans="1:10" x14ac:dyDescent="0.3">
      <c r="A156" s="6" t="s">
        <v>181</v>
      </c>
      <c r="B156" s="7" t="s">
        <v>20</v>
      </c>
      <c r="C156" s="8">
        <v>45647</v>
      </c>
      <c r="D156" s="7" t="s">
        <v>343</v>
      </c>
      <c r="E156" s="16">
        <v>12453</v>
      </c>
      <c r="F156" s="16">
        <v>376</v>
      </c>
      <c r="G156" s="20">
        <v>320</v>
      </c>
      <c r="H156" s="20">
        <v>2546</v>
      </c>
      <c r="I156" s="24">
        <v>22617</v>
      </c>
      <c r="J156" s="20">
        <v>90138</v>
      </c>
    </row>
    <row r="157" spans="1:10" x14ac:dyDescent="0.3">
      <c r="A157" s="6" t="s">
        <v>182</v>
      </c>
      <c r="B157" s="7" t="s">
        <v>34</v>
      </c>
      <c r="C157" s="8">
        <v>45587</v>
      </c>
      <c r="D157" s="7" t="s">
        <v>347</v>
      </c>
      <c r="E157" s="16">
        <v>12478</v>
      </c>
      <c r="F157" s="16">
        <v>484</v>
      </c>
      <c r="G157" s="20">
        <v>332</v>
      </c>
      <c r="H157" s="20">
        <v>2734</v>
      </c>
      <c r="I157" s="24">
        <v>43338</v>
      </c>
      <c r="J157" s="20">
        <v>213895</v>
      </c>
    </row>
    <row r="158" spans="1:10" x14ac:dyDescent="0.3">
      <c r="A158" s="6" t="s">
        <v>183</v>
      </c>
      <c r="B158" s="7" t="s">
        <v>13</v>
      </c>
      <c r="C158" s="8">
        <v>45496</v>
      </c>
      <c r="D158" s="7" t="s">
        <v>351</v>
      </c>
      <c r="E158" s="16">
        <v>24877</v>
      </c>
      <c r="F158" s="16">
        <v>262</v>
      </c>
      <c r="G158" s="20">
        <v>513</v>
      </c>
      <c r="H158" s="20">
        <v>648</v>
      </c>
      <c r="I158" s="24">
        <v>47544</v>
      </c>
      <c r="J158" s="20">
        <v>208280</v>
      </c>
    </row>
    <row r="159" spans="1:10" x14ac:dyDescent="0.3">
      <c r="A159" s="6" t="s">
        <v>184</v>
      </c>
      <c r="B159" s="7" t="s">
        <v>34</v>
      </c>
      <c r="C159" s="8">
        <v>45515</v>
      </c>
      <c r="D159" s="7" t="s">
        <v>344</v>
      </c>
      <c r="E159" s="16">
        <v>14394</v>
      </c>
      <c r="F159" s="16">
        <v>1202</v>
      </c>
      <c r="G159" s="20">
        <v>188</v>
      </c>
      <c r="H159" s="20">
        <v>1259</v>
      </c>
      <c r="I159" s="24">
        <v>21925</v>
      </c>
      <c r="J159" s="20">
        <v>94061</v>
      </c>
    </row>
    <row r="160" spans="1:10" x14ac:dyDescent="0.3">
      <c r="A160" s="6" t="s">
        <v>185</v>
      </c>
      <c r="B160" s="7" t="s">
        <v>20</v>
      </c>
      <c r="C160" s="8">
        <v>45935</v>
      </c>
      <c r="D160" s="7" t="s">
        <v>347</v>
      </c>
      <c r="E160" s="16">
        <v>21262</v>
      </c>
      <c r="F160" s="16">
        <v>861</v>
      </c>
      <c r="G160" s="20">
        <v>676</v>
      </c>
      <c r="H160" s="20">
        <v>2263</v>
      </c>
      <c r="I160" s="24">
        <v>12085</v>
      </c>
      <c r="J160" s="20">
        <v>201731</v>
      </c>
    </row>
    <row r="161" spans="1:10" x14ac:dyDescent="0.3">
      <c r="A161" s="6" t="s">
        <v>186</v>
      </c>
      <c r="B161" s="7" t="s">
        <v>17</v>
      </c>
      <c r="C161" s="8">
        <v>45528</v>
      </c>
      <c r="D161" s="7" t="s">
        <v>351</v>
      </c>
      <c r="E161" s="16">
        <v>22527</v>
      </c>
      <c r="F161" s="16">
        <v>865</v>
      </c>
      <c r="G161" s="20">
        <v>646</v>
      </c>
      <c r="H161" s="20">
        <v>992</v>
      </c>
      <c r="I161" s="24">
        <v>18654</v>
      </c>
      <c r="J161" s="20">
        <v>141376</v>
      </c>
    </row>
    <row r="162" spans="1:10" x14ac:dyDescent="0.3">
      <c r="A162" s="6" t="s">
        <v>187</v>
      </c>
      <c r="B162" s="7" t="s">
        <v>13</v>
      </c>
      <c r="C162" s="8">
        <v>45936</v>
      </c>
      <c r="D162" s="7" t="s">
        <v>345</v>
      </c>
      <c r="E162" s="16">
        <v>22028</v>
      </c>
      <c r="F162" s="16">
        <v>355</v>
      </c>
      <c r="G162" s="20">
        <v>665</v>
      </c>
      <c r="H162" s="20">
        <v>1859</v>
      </c>
      <c r="I162" s="24">
        <v>50565</v>
      </c>
      <c r="J162" s="20">
        <v>202962</v>
      </c>
    </row>
    <row r="163" spans="1:10" x14ac:dyDescent="0.3">
      <c r="A163" s="6" t="s">
        <v>188</v>
      </c>
      <c r="B163" s="7" t="s">
        <v>20</v>
      </c>
      <c r="C163" s="8">
        <v>45748</v>
      </c>
      <c r="D163" s="7" t="s">
        <v>347</v>
      </c>
      <c r="E163" s="16">
        <v>6432</v>
      </c>
      <c r="F163" s="16">
        <v>1272</v>
      </c>
      <c r="G163" s="20">
        <v>498</v>
      </c>
      <c r="H163" s="20">
        <v>677</v>
      </c>
      <c r="I163" s="24">
        <v>47305</v>
      </c>
      <c r="J163" s="20">
        <v>119134</v>
      </c>
    </row>
    <row r="164" spans="1:10" x14ac:dyDescent="0.3">
      <c r="A164" s="6" t="s">
        <v>189</v>
      </c>
      <c r="B164" s="7" t="s">
        <v>17</v>
      </c>
      <c r="C164" s="8">
        <v>45755</v>
      </c>
      <c r="D164" s="7" t="s">
        <v>343</v>
      </c>
      <c r="E164" s="16">
        <v>15568</v>
      </c>
      <c r="F164" s="16">
        <v>1166</v>
      </c>
      <c r="G164" s="20">
        <v>546</v>
      </c>
      <c r="H164" s="20">
        <v>826</v>
      </c>
      <c r="I164" s="24">
        <v>21836</v>
      </c>
      <c r="J164" s="20">
        <v>87055</v>
      </c>
    </row>
    <row r="165" spans="1:10" x14ac:dyDescent="0.3">
      <c r="A165" s="6" t="s">
        <v>190</v>
      </c>
      <c r="B165" s="7" t="s">
        <v>17</v>
      </c>
      <c r="C165" s="8">
        <v>45715</v>
      </c>
      <c r="D165" s="7" t="s">
        <v>344</v>
      </c>
      <c r="E165" s="16">
        <v>16178</v>
      </c>
      <c r="F165" s="16">
        <v>1048</v>
      </c>
      <c r="G165" s="20">
        <v>871</v>
      </c>
      <c r="H165" s="20">
        <v>2553</v>
      </c>
      <c r="I165" s="24">
        <v>39025</v>
      </c>
      <c r="J165" s="20">
        <v>59508</v>
      </c>
    </row>
    <row r="166" spans="1:10" x14ac:dyDescent="0.3">
      <c r="A166" s="6" t="s">
        <v>191</v>
      </c>
      <c r="B166" s="7" t="s">
        <v>34</v>
      </c>
      <c r="C166" s="8">
        <v>45937</v>
      </c>
      <c r="D166" s="7" t="s">
        <v>348</v>
      </c>
      <c r="E166" s="16">
        <v>19660</v>
      </c>
      <c r="F166" s="16">
        <v>1307</v>
      </c>
      <c r="G166" s="20">
        <v>310</v>
      </c>
      <c r="H166" s="20">
        <v>2802</v>
      </c>
      <c r="I166" s="24">
        <v>22171</v>
      </c>
      <c r="J166" s="20">
        <v>213359</v>
      </c>
    </row>
    <row r="167" spans="1:10" x14ac:dyDescent="0.3">
      <c r="A167" s="6" t="s">
        <v>192</v>
      </c>
      <c r="B167" s="7" t="s">
        <v>20</v>
      </c>
      <c r="C167" s="8">
        <v>45704</v>
      </c>
      <c r="D167" s="7" t="s">
        <v>350</v>
      </c>
      <c r="E167" s="16">
        <v>24195</v>
      </c>
      <c r="F167" s="16">
        <v>888</v>
      </c>
      <c r="G167" s="20">
        <v>165</v>
      </c>
      <c r="H167" s="20">
        <v>1559</v>
      </c>
      <c r="I167" s="24">
        <v>11596</v>
      </c>
      <c r="J167" s="20">
        <v>249988</v>
      </c>
    </row>
    <row r="168" spans="1:10" x14ac:dyDescent="0.3">
      <c r="A168" s="6" t="s">
        <v>193</v>
      </c>
      <c r="B168" s="7" t="s">
        <v>17</v>
      </c>
      <c r="C168" s="8">
        <v>45624</v>
      </c>
      <c r="D168" s="7" t="s">
        <v>350</v>
      </c>
      <c r="E168" s="16">
        <v>2302</v>
      </c>
      <c r="F168" s="16">
        <v>347</v>
      </c>
      <c r="G168" s="20">
        <v>642</v>
      </c>
      <c r="H168" s="20">
        <v>2175</v>
      </c>
      <c r="I168" s="24">
        <v>56378</v>
      </c>
      <c r="J168" s="20">
        <v>198056</v>
      </c>
    </row>
    <row r="169" spans="1:10" x14ac:dyDescent="0.3">
      <c r="A169" s="6" t="s">
        <v>194</v>
      </c>
      <c r="B169" s="7" t="s">
        <v>13</v>
      </c>
      <c r="C169" s="8">
        <v>45608</v>
      </c>
      <c r="D169" s="7" t="s">
        <v>344</v>
      </c>
      <c r="E169" s="16">
        <v>19022</v>
      </c>
      <c r="F169" s="16">
        <v>541</v>
      </c>
      <c r="G169" s="20">
        <v>575</v>
      </c>
      <c r="H169" s="20">
        <v>2063</v>
      </c>
      <c r="I169" s="24">
        <v>42743</v>
      </c>
      <c r="J169" s="20">
        <v>150169</v>
      </c>
    </row>
    <row r="170" spans="1:10" x14ac:dyDescent="0.3">
      <c r="A170" s="6" t="s">
        <v>195</v>
      </c>
      <c r="B170" s="7" t="s">
        <v>13</v>
      </c>
      <c r="C170" s="8">
        <v>45629</v>
      </c>
      <c r="D170" s="7" t="s">
        <v>347</v>
      </c>
      <c r="E170" s="16">
        <v>2055</v>
      </c>
      <c r="F170" s="16">
        <v>675</v>
      </c>
      <c r="G170" s="20">
        <v>257</v>
      </c>
      <c r="H170" s="20">
        <v>820</v>
      </c>
      <c r="I170" s="24">
        <v>33534</v>
      </c>
      <c r="J170" s="20">
        <v>48125</v>
      </c>
    </row>
    <row r="171" spans="1:10" x14ac:dyDescent="0.3">
      <c r="A171" s="6" t="s">
        <v>196</v>
      </c>
      <c r="B171" s="7" t="s">
        <v>34</v>
      </c>
      <c r="C171" s="8">
        <v>45775</v>
      </c>
      <c r="D171" s="7" t="s">
        <v>351</v>
      </c>
      <c r="E171" s="16">
        <v>15013</v>
      </c>
      <c r="F171" s="16">
        <v>1286</v>
      </c>
      <c r="G171" s="20">
        <v>599</v>
      </c>
      <c r="H171" s="20">
        <v>2001</v>
      </c>
      <c r="I171" s="24">
        <v>67839</v>
      </c>
      <c r="J171" s="20">
        <v>76059</v>
      </c>
    </row>
    <row r="172" spans="1:10" x14ac:dyDescent="0.3">
      <c r="A172" s="6" t="s">
        <v>197</v>
      </c>
      <c r="B172" s="7" t="s">
        <v>17</v>
      </c>
      <c r="C172" s="8">
        <v>45657</v>
      </c>
      <c r="D172" s="7" t="s">
        <v>343</v>
      </c>
      <c r="E172" s="16">
        <v>10717</v>
      </c>
      <c r="F172" s="16">
        <v>760</v>
      </c>
      <c r="G172" s="20">
        <v>460</v>
      </c>
      <c r="H172" s="20">
        <v>1316</v>
      </c>
      <c r="I172" s="24">
        <v>18164</v>
      </c>
      <c r="J172" s="20">
        <v>240641</v>
      </c>
    </row>
    <row r="173" spans="1:10" x14ac:dyDescent="0.3">
      <c r="A173" s="6" t="s">
        <v>198</v>
      </c>
      <c r="B173" s="7" t="s">
        <v>20</v>
      </c>
      <c r="C173" s="8">
        <v>45518</v>
      </c>
      <c r="D173" s="7" t="s">
        <v>352</v>
      </c>
      <c r="E173" s="16">
        <v>10150</v>
      </c>
      <c r="F173" s="16">
        <v>526</v>
      </c>
      <c r="G173" s="20">
        <v>888</v>
      </c>
      <c r="H173" s="20">
        <v>1313</v>
      </c>
      <c r="I173" s="24">
        <v>51605</v>
      </c>
      <c r="J173" s="20">
        <v>143409</v>
      </c>
    </row>
    <row r="174" spans="1:10" x14ac:dyDescent="0.3">
      <c r="A174" s="6" t="s">
        <v>199</v>
      </c>
      <c r="B174" s="7" t="s">
        <v>13</v>
      </c>
      <c r="C174" s="8">
        <v>45631</v>
      </c>
      <c r="D174" s="7" t="s">
        <v>350</v>
      </c>
      <c r="E174" s="16">
        <v>4125</v>
      </c>
      <c r="F174" s="16">
        <v>1364</v>
      </c>
      <c r="G174" s="20">
        <v>319</v>
      </c>
      <c r="H174" s="20">
        <v>2848</v>
      </c>
      <c r="I174" s="24">
        <v>15379</v>
      </c>
      <c r="J174" s="20">
        <v>188159</v>
      </c>
    </row>
    <row r="175" spans="1:10" x14ac:dyDescent="0.3">
      <c r="A175" s="6" t="s">
        <v>200</v>
      </c>
      <c r="B175" s="7" t="s">
        <v>17</v>
      </c>
      <c r="C175" s="8">
        <v>45465</v>
      </c>
      <c r="D175" s="7" t="s">
        <v>343</v>
      </c>
      <c r="E175" s="16">
        <v>13479</v>
      </c>
      <c r="F175" s="16">
        <v>1189</v>
      </c>
      <c r="G175" s="20">
        <v>695</v>
      </c>
      <c r="H175" s="20">
        <v>416</v>
      </c>
      <c r="I175" s="24">
        <v>30229</v>
      </c>
      <c r="J175" s="20">
        <v>45704</v>
      </c>
    </row>
    <row r="176" spans="1:10" x14ac:dyDescent="0.3">
      <c r="A176" s="6" t="s">
        <v>201</v>
      </c>
      <c r="B176" s="7" t="s">
        <v>17</v>
      </c>
      <c r="C176" s="8">
        <v>45938</v>
      </c>
      <c r="D176" s="7" t="s">
        <v>350</v>
      </c>
      <c r="E176" s="16">
        <v>17745</v>
      </c>
      <c r="F176" s="16">
        <v>414</v>
      </c>
      <c r="G176" s="20">
        <v>563</v>
      </c>
      <c r="H176" s="20">
        <v>2733</v>
      </c>
      <c r="I176" s="24">
        <v>995</v>
      </c>
      <c r="J176" s="20">
        <v>231648</v>
      </c>
    </row>
    <row r="177" spans="1:10" x14ac:dyDescent="0.3">
      <c r="A177" s="6" t="s">
        <v>202</v>
      </c>
      <c r="B177" s="7" t="s">
        <v>34</v>
      </c>
      <c r="C177" s="8">
        <v>45939</v>
      </c>
      <c r="D177" s="7" t="s">
        <v>345</v>
      </c>
      <c r="E177" s="16">
        <v>18748</v>
      </c>
      <c r="F177" s="16">
        <v>634</v>
      </c>
      <c r="G177" s="20">
        <v>400</v>
      </c>
      <c r="H177" s="20">
        <v>1667</v>
      </c>
      <c r="I177" s="24">
        <v>75813</v>
      </c>
      <c r="J177" s="20">
        <v>244456</v>
      </c>
    </row>
    <row r="178" spans="1:10" x14ac:dyDescent="0.3">
      <c r="A178" s="6" t="s">
        <v>203</v>
      </c>
      <c r="B178" s="7" t="s">
        <v>13</v>
      </c>
      <c r="C178" s="8">
        <v>45483</v>
      </c>
      <c r="D178" s="7" t="s">
        <v>351</v>
      </c>
      <c r="E178" s="16">
        <v>8809</v>
      </c>
      <c r="F178" s="16">
        <v>1151</v>
      </c>
      <c r="G178" s="20">
        <v>908</v>
      </c>
      <c r="H178" s="20">
        <v>883</v>
      </c>
      <c r="I178" s="24">
        <v>42921</v>
      </c>
      <c r="J178" s="20">
        <v>151279</v>
      </c>
    </row>
    <row r="179" spans="1:10" x14ac:dyDescent="0.3">
      <c r="A179" s="6" t="s">
        <v>204</v>
      </c>
      <c r="B179" s="7" t="s">
        <v>13</v>
      </c>
      <c r="C179" s="8">
        <v>45940</v>
      </c>
      <c r="D179" s="7" t="s">
        <v>345</v>
      </c>
      <c r="E179" s="16">
        <v>6621</v>
      </c>
      <c r="F179" s="16">
        <v>922</v>
      </c>
      <c r="G179" s="20">
        <v>930</v>
      </c>
      <c r="H179" s="20">
        <v>694</v>
      </c>
      <c r="I179" s="24">
        <v>839</v>
      </c>
      <c r="J179" s="20">
        <v>243532</v>
      </c>
    </row>
    <row r="180" spans="1:10" x14ac:dyDescent="0.3">
      <c r="A180" s="6" t="s">
        <v>205</v>
      </c>
      <c r="B180" s="7" t="s">
        <v>20</v>
      </c>
      <c r="C180" s="8">
        <v>45488</v>
      </c>
      <c r="D180" s="7" t="s">
        <v>350</v>
      </c>
      <c r="E180" s="16">
        <v>17034</v>
      </c>
      <c r="F180" s="16">
        <v>231</v>
      </c>
      <c r="G180" s="20">
        <v>290</v>
      </c>
      <c r="H180" s="20">
        <v>1387</v>
      </c>
      <c r="I180" s="24">
        <v>63550</v>
      </c>
      <c r="J180" s="20">
        <v>198280</v>
      </c>
    </row>
    <row r="181" spans="1:10" x14ac:dyDescent="0.3">
      <c r="A181" s="6" t="s">
        <v>206</v>
      </c>
      <c r="B181" s="7" t="s">
        <v>13</v>
      </c>
      <c r="C181" s="8">
        <v>45941</v>
      </c>
      <c r="D181" s="7" t="s">
        <v>348</v>
      </c>
      <c r="E181" s="16">
        <v>15623</v>
      </c>
      <c r="F181" s="16">
        <v>869</v>
      </c>
      <c r="G181" s="20">
        <v>423</v>
      </c>
      <c r="H181" s="20">
        <v>371</v>
      </c>
      <c r="I181" s="24">
        <v>47579</v>
      </c>
      <c r="J181" s="20">
        <v>158516</v>
      </c>
    </row>
    <row r="182" spans="1:10" x14ac:dyDescent="0.3">
      <c r="A182" s="6" t="s">
        <v>207</v>
      </c>
      <c r="B182" s="7" t="s">
        <v>20</v>
      </c>
      <c r="C182" s="8">
        <v>45942</v>
      </c>
      <c r="D182" s="7" t="s">
        <v>348</v>
      </c>
      <c r="E182" s="16">
        <v>7126</v>
      </c>
      <c r="F182" s="16">
        <v>484</v>
      </c>
      <c r="G182" s="20">
        <v>565</v>
      </c>
      <c r="H182" s="20">
        <v>573</v>
      </c>
      <c r="I182" s="24">
        <v>7389</v>
      </c>
      <c r="J182" s="20">
        <v>237096</v>
      </c>
    </row>
    <row r="183" spans="1:10" x14ac:dyDescent="0.3">
      <c r="A183" s="6" t="s">
        <v>208</v>
      </c>
      <c r="B183" s="7" t="s">
        <v>13</v>
      </c>
      <c r="C183" s="8">
        <v>45504</v>
      </c>
      <c r="D183" s="7" t="s">
        <v>345</v>
      </c>
      <c r="E183" s="16">
        <v>7122</v>
      </c>
      <c r="F183" s="16">
        <v>628</v>
      </c>
      <c r="G183" s="20">
        <v>757</v>
      </c>
      <c r="H183" s="20">
        <v>2313</v>
      </c>
      <c r="I183" s="24">
        <v>50924</v>
      </c>
      <c r="J183" s="20">
        <v>210954</v>
      </c>
    </row>
    <row r="184" spans="1:10" x14ac:dyDescent="0.3">
      <c r="A184" s="6" t="s">
        <v>209</v>
      </c>
      <c r="B184" s="7" t="s">
        <v>34</v>
      </c>
      <c r="C184" s="8">
        <v>45643</v>
      </c>
      <c r="D184" s="7" t="s">
        <v>348</v>
      </c>
      <c r="E184" s="16">
        <v>20030</v>
      </c>
      <c r="F184" s="16">
        <v>485</v>
      </c>
      <c r="G184" s="20">
        <v>888</v>
      </c>
      <c r="H184" s="20">
        <v>1643</v>
      </c>
      <c r="I184" s="24">
        <v>4322</v>
      </c>
      <c r="J184" s="20">
        <v>196995</v>
      </c>
    </row>
    <row r="185" spans="1:10" x14ac:dyDescent="0.3">
      <c r="A185" s="6" t="s">
        <v>210</v>
      </c>
      <c r="B185" s="7" t="s">
        <v>13</v>
      </c>
      <c r="C185" s="8">
        <v>45943</v>
      </c>
      <c r="D185" s="7" t="s">
        <v>350</v>
      </c>
      <c r="E185" s="16">
        <v>19302</v>
      </c>
      <c r="F185" s="16">
        <v>1367</v>
      </c>
      <c r="G185" s="20">
        <v>188</v>
      </c>
      <c r="H185" s="20">
        <v>637</v>
      </c>
      <c r="I185" s="24">
        <v>31404</v>
      </c>
      <c r="J185" s="20">
        <v>154044</v>
      </c>
    </row>
    <row r="186" spans="1:10" x14ac:dyDescent="0.3">
      <c r="A186" s="6" t="s">
        <v>211</v>
      </c>
      <c r="B186" s="7" t="s">
        <v>20</v>
      </c>
      <c r="C186" s="8">
        <v>45668</v>
      </c>
      <c r="D186" s="7" t="s">
        <v>344</v>
      </c>
      <c r="E186" s="16">
        <v>21181</v>
      </c>
      <c r="F186" s="16">
        <v>1242</v>
      </c>
      <c r="G186" s="20">
        <v>963</v>
      </c>
      <c r="H186" s="20">
        <v>1689</v>
      </c>
      <c r="I186" s="24">
        <v>49329</v>
      </c>
      <c r="J186" s="20">
        <v>69165</v>
      </c>
    </row>
    <row r="187" spans="1:10" x14ac:dyDescent="0.3">
      <c r="A187" s="6" t="s">
        <v>212</v>
      </c>
      <c r="B187" s="7" t="s">
        <v>20</v>
      </c>
      <c r="C187" s="8">
        <v>45528</v>
      </c>
      <c r="D187" s="7" t="s">
        <v>345</v>
      </c>
      <c r="E187" s="16">
        <v>24890</v>
      </c>
      <c r="F187" s="16">
        <v>217</v>
      </c>
      <c r="G187" s="20">
        <v>178</v>
      </c>
      <c r="H187" s="20">
        <v>906</v>
      </c>
      <c r="I187" s="24">
        <v>54826</v>
      </c>
      <c r="J187" s="20">
        <v>107203</v>
      </c>
    </row>
    <row r="188" spans="1:10" x14ac:dyDescent="0.3">
      <c r="A188" s="6" t="s">
        <v>213</v>
      </c>
      <c r="B188" s="7" t="s">
        <v>34</v>
      </c>
      <c r="C188" s="8">
        <v>45648</v>
      </c>
      <c r="D188" s="7" t="s">
        <v>352</v>
      </c>
      <c r="E188" s="16">
        <v>7870</v>
      </c>
      <c r="F188" s="16">
        <v>968</v>
      </c>
      <c r="G188" s="20">
        <v>626</v>
      </c>
      <c r="H188" s="20">
        <v>465</v>
      </c>
      <c r="I188" s="24">
        <v>27184</v>
      </c>
      <c r="J188" s="20">
        <v>44114</v>
      </c>
    </row>
    <row r="189" spans="1:10" x14ac:dyDescent="0.3">
      <c r="A189" s="6" t="s">
        <v>214</v>
      </c>
      <c r="B189" s="7" t="s">
        <v>13</v>
      </c>
      <c r="C189" s="8">
        <v>45449</v>
      </c>
      <c r="D189" s="7" t="s">
        <v>352</v>
      </c>
      <c r="E189" s="16">
        <v>3531</v>
      </c>
      <c r="F189" s="16">
        <v>789</v>
      </c>
      <c r="G189" s="20">
        <v>467</v>
      </c>
      <c r="H189" s="20">
        <v>1867</v>
      </c>
      <c r="I189" s="24">
        <v>40816</v>
      </c>
      <c r="J189" s="20">
        <v>236037</v>
      </c>
    </row>
    <row r="190" spans="1:10" x14ac:dyDescent="0.3">
      <c r="A190" s="6" t="s">
        <v>215</v>
      </c>
      <c r="B190" s="7" t="s">
        <v>13</v>
      </c>
      <c r="C190" s="8">
        <v>45740</v>
      </c>
      <c r="D190" s="7" t="s">
        <v>28</v>
      </c>
      <c r="E190" s="16">
        <v>10172</v>
      </c>
      <c r="F190" s="16">
        <v>1398</v>
      </c>
      <c r="G190" s="20">
        <v>394</v>
      </c>
      <c r="H190" s="20">
        <v>2358</v>
      </c>
      <c r="I190" s="24">
        <v>59610</v>
      </c>
      <c r="J190" s="20">
        <v>76321</v>
      </c>
    </row>
    <row r="191" spans="1:10" x14ac:dyDescent="0.3">
      <c r="A191" s="6" t="s">
        <v>216</v>
      </c>
      <c r="B191" s="7" t="s">
        <v>34</v>
      </c>
      <c r="C191" s="8">
        <v>45569</v>
      </c>
      <c r="D191" s="7" t="s">
        <v>347</v>
      </c>
      <c r="E191" s="16">
        <v>21729</v>
      </c>
      <c r="F191" s="16">
        <v>1209</v>
      </c>
      <c r="G191" s="20">
        <v>897</v>
      </c>
      <c r="H191" s="20">
        <v>1624</v>
      </c>
      <c r="I191" s="24">
        <v>38771</v>
      </c>
      <c r="J191" s="20">
        <v>113297</v>
      </c>
    </row>
    <row r="192" spans="1:10" x14ac:dyDescent="0.3">
      <c r="A192" s="6" t="s">
        <v>217</v>
      </c>
      <c r="B192" s="7" t="s">
        <v>13</v>
      </c>
      <c r="C192" s="8">
        <v>45944</v>
      </c>
      <c r="D192" s="7" t="s">
        <v>351</v>
      </c>
      <c r="E192" s="16">
        <v>9673</v>
      </c>
      <c r="F192" s="16">
        <v>393</v>
      </c>
      <c r="G192" s="20">
        <v>846</v>
      </c>
      <c r="H192" s="20">
        <v>1028</v>
      </c>
      <c r="I192" s="24">
        <v>55556</v>
      </c>
      <c r="J192" s="20">
        <v>136652</v>
      </c>
    </row>
    <row r="193" spans="1:10" x14ac:dyDescent="0.3">
      <c r="A193" s="6" t="s">
        <v>218</v>
      </c>
      <c r="B193" s="7" t="s">
        <v>13</v>
      </c>
      <c r="C193" s="8">
        <v>45945</v>
      </c>
      <c r="D193" s="7" t="s">
        <v>348</v>
      </c>
      <c r="E193" s="16">
        <v>8882</v>
      </c>
      <c r="F193" s="16">
        <v>701</v>
      </c>
      <c r="G193" s="20">
        <v>421</v>
      </c>
      <c r="H193" s="20">
        <v>2343</v>
      </c>
      <c r="I193" s="24">
        <v>13588</v>
      </c>
      <c r="J193" s="20">
        <v>139304</v>
      </c>
    </row>
    <row r="194" spans="1:10" x14ac:dyDescent="0.3">
      <c r="A194" s="6" t="s">
        <v>219</v>
      </c>
      <c r="B194" s="7" t="s">
        <v>20</v>
      </c>
      <c r="C194" s="8">
        <v>45546</v>
      </c>
      <c r="D194" s="7" t="s">
        <v>348</v>
      </c>
      <c r="E194" s="16">
        <v>3906</v>
      </c>
      <c r="F194" s="16">
        <v>1187</v>
      </c>
      <c r="G194" s="20">
        <v>589</v>
      </c>
      <c r="H194" s="20">
        <v>401</v>
      </c>
      <c r="I194" s="24">
        <v>52687</v>
      </c>
      <c r="J194" s="20">
        <v>196498</v>
      </c>
    </row>
    <row r="195" spans="1:10" x14ac:dyDescent="0.3">
      <c r="A195" s="6" t="s">
        <v>220</v>
      </c>
      <c r="B195" s="7" t="s">
        <v>13</v>
      </c>
      <c r="C195" s="8">
        <v>45567</v>
      </c>
      <c r="D195" s="7" t="s">
        <v>347</v>
      </c>
      <c r="E195" s="16">
        <v>5086</v>
      </c>
      <c r="F195" s="16">
        <v>1336</v>
      </c>
      <c r="G195" s="20">
        <v>897</v>
      </c>
      <c r="H195" s="20">
        <v>1715</v>
      </c>
      <c r="I195" s="24">
        <v>60592</v>
      </c>
      <c r="J195" s="20">
        <v>57772</v>
      </c>
    </row>
    <row r="196" spans="1:10" x14ac:dyDescent="0.3">
      <c r="A196" s="6" t="s">
        <v>221</v>
      </c>
      <c r="B196" s="7" t="s">
        <v>13</v>
      </c>
      <c r="C196" s="8">
        <v>45519</v>
      </c>
      <c r="D196" s="7" t="s">
        <v>349</v>
      </c>
      <c r="E196" s="16">
        <v>15503</v>
      </c>
      <c r="F196" s="16">
        <v>313</v>
      </c>
      <c r="G196" s="20">
        <v>388</v>
      </c>
      <c r="H196" s="20">
        <v>1078</v>
      </c>
      <c r="I196" s="24">
        <v>11500</v>
      </c>
      <c r="J196" s="20">
        <v>143754</v>
      </c>
    </row>
    <row r="197" spans="1:10" x14ac:dyDescent="0.3">
      <c r="A197" s="6" t="s">
        <v>222</v>
      </c>
      <c r="B197" s="7" t="s">
        <v>34</v>
      </c>
      <c r="C197" s="8">
        <v>45918</v>
      </c>
      <c r="D197" s="7" t="s">
        <v>55</v>
      </c>
      <c r="E197" s="16">
        <v>10152</v>
      </c>
      <c r="F197" s="16">
        <v>1445</v>
      </c>
      <c r="G197" s="20">
        <v>526</v>
      </c>
      <c r="H197" s="20">
        <v>513</v>
      </c>
      <c r="I197" s="24">
        <v>18959</v>
      </c>
      <c r="J197" s="20">
        <v>43712</v>
      </c>
    </row>
    <row r="198" spans="1:10" x14ac:dyDescent="0.3">
      <c r="A198" s="6" t="s">
        <v>223</v>
      </c>
      <c r="B198" s="7" t="s">
        <v>34</v>
      </c>
      <c r="C198" s="8">
        <v>45587</v>
      </c>
      <c r="D198" s="7" t="s">
        <v>345</v>
      </c>
      <c r="E198" s="16">
        <v>7750</v>
      </c>
      <c r="F198" s="16">
        <v>1146</v>
      </c>
      <c r="G198" s="20">
        <v>415</v>
      </c>
      <c r="H198" s="20">
        <v>1411</v>
      </c>
      <c r="I198" s="24">
        <v>85339</v>
      </c>
      <c r="J198" s="20">
        <v>172439</v>
      </c>
    </row>
    <row r="199" spans="1:10" x14ac:dyDescent="0.3">
      <c r="A199" s="6" t="s">
        <v>224</v>
      </c>
      <c r="B199" s="7" t="s">
        <v>17</v>
      </c>
      <c r="C199" s="8">
        <v>45919</v>
      </c>
      <c r="D199" s="7" t="s">
        <v>346</v>
      </c>
      <c r="E199" s="16">
        <v>14772</v>
      </c>
      <c r="F199" s="16">
        <v>1030</v>
      </c>
      <c r="G199" s="20">
        <v>508</v>
      </c>
      <c r="H199" s="20">
        <v>1876</v>
      </c>
      <c r="I199" s="24">
        <v>8882</v>
      </c>
      <c r="J199" s="20">
        <v>155142</v>
      </c>
    </row>
    <row r="200" spans="1:10" x14ac:dyDescent="0.3">
      <c r="A200" s="6" t="s">
        <v>225</v>
      </c>
      <c r="B200" s="7" t="s">
        <v>20</v>
      </c>
      <c r="C200" s="8">
        <v>45920</v>
      </c>
      <c r="D200" s="7" t="s">
        <v>348</v>
      </c>
      <c r="E200" s="16">
        <v>12267</v>
      </c>
      <c r="F200" s="16">
        <v>1487</v>
      </c>
      <c r="G200" s="20">
        <v>489</v>
      </c>
      <c r="H200" s="20">
        <v>2748</v>
      </c>
      <c r="I200" s="24">
        <v>34685</v>
      </c>
      <c r="J200" s="20">
        <v>131736</v>
      </c>
    </row>
    <row r="201" spans="1:10" x14ac:dyDescent="0.3">
      <c r="A201" s="6" t="s">
        <v>226</v>
      </c>
      <c r="B201" s="7" t="s">
        <v>13</v>
      </c>
      <c r="C201" s="8">
        <v>45754</v>
      </c>
      <c r="D201" s="7" t="s">
        <v>351</v>
      </c>
      <c r="E201" s="16">
        <v>3062</v>
      </c>
      <c r="F201" s="16">
        <v>1124</v>
      </c>
      <c r="G201" s="20">
        <v>538</v>
      </c>
      <c r="H201" s="20">
        <v>2935</v>
      </c>
      <c r="I201" s="24">
        <v>69749</v>
      </c>
      <c r="J201" s="20">
        <v>91924</v>
      </c>
    </row>
    <row r="202" spans="1:10" x14ac:dyDescent="0.3">
      <c r="A202" s="6" t="s">
        <v>227</v>
      </c>
      <c r="B202" s="7" t="s">
        <v>13</v>
      </c>
      <c r="C202" s="8">
        <v>45672</v>
      </c>
      <c r="D202" s="7" t="s">
        <v>28</v>
      </c>
      <c r="E202" s="16">
        <v>20360</v>
      </c>
      <c r="F202" s="16">
        <v>254</v>
      </c>
      <c r="G202" s="20">
        <v>726</v>
      </c>
      <c r="H202" s="20">
        <v>1995</v>
      </c>
      <c r="I202" s="24">
        <v>14280</v>
      </c>
      <c r="J202" s="20">
        <v>43726</v>
      </c>
    </row>
    <row r="203" spans="1:10" x14ac:dyDescent="0.3">
      <c r="A203" s="6" t="s">
        <v>228</v>
      </c>
      <c r="B203" s="7" t="s">
        <v>17</v>
      </c>
      <c r="C203" s="8">
        <v>45921</v>
      </c>
      <c r="D203" s="7" t="s">
        <v>352</v>
      </c>
      <c r="E203" s="16">
        <v>19680</v>
      </c>
      <c r="F203" s="16">
        <v>999</v>
      </c>
      <c r="G203" s="20">
        <v>838</v>
      </c>
      <c r="H203" s="20">
        <v>891</v>
      </c>
      <c r="I203" s="24">
        <v>29576</v>
      </c>
      <c r="J203" s="20">
        <v>129152</v>
      </c>
    </row>
    <row r="204" spans="1:10" x14ac:dyDescent="0.3">
      <c r="A204" s="6" t="s">
        <v>229</v>
      </c>
      <c r="B204" s="7" t="s">
        <v>13</v>
      </c>
      <c r="C204" s="8">
        <v>45617</v>
      </c>
      <c r="D204" s="7" t="s">
        <v>348</v>
      </c>
      <c r="E204" s="16">
        <v>8229</v>
      </c>
      <c r="F204" s="16">
        <v>977</v>
      </c>
      <c r="G204" s="20">
        <v>152</v>
      </c>
      <c r="H204" s="20">
        <v>1633</v>
      </c>
      <c r="I204" s="24">
        <v>71447</v>
      </c>
      <c r="J204" s="20">
        <v>67723</v>
      </c>
    </row>
    <row r="205" spans="1:10" x14ac:dyDescent="0.3">
      <c r="A205" s="6" t="s">
        <v>230</v>
      </c>
      <c r="B205" s="7" t="s">
        <v>20</v>
      </c>
      <c r="C205" s="8">
        <v>45922</v>
      </c>
      <c r="D205" s="7" t="s">
        <v>28</v>
      </c>
      <c r="E205" s="16">
        <v>18509</v>
      </c>
      <c r="F205" s="16">
        <v>361</v>
      </c>
      <c r="G205" s="20">
        <v>578</v>
      </c>
      <c r="H205" s="20">
        <v>1409</v>
      </c>
      <c r="I205" s="24">
        <v>10569</v>
      </c>
      <c r="J205" s="20">
        <v>166969</v>
      </c>
    </row>
    <row r="206" spans="1:10" x14ac:dyDescent="0.3">
      <c r="A206" s="6" t="s">
        <v>231</v>
      </c>
      <c r="B206" s="7" t="s">
        <v>17</v>
      </c>
      <c r="C206" s="8">
        <v>45923</v>
      </c>
      <c r="D206" s="7" t="s">
        <v>350</v>
      </c>
      <c r="E206" s="16">
        <v>17147</v>
      </c>
      <c r="F206" s="16">
        <v>286</v>
      </c>
      <c r="G206" s="20">
        <v>291</v>
      </c>
      <c r="H206" s="20">
        <v>2439</v>
      </c>
      <c r="I206" s="24">
        <v>45631</v>
      </c>
      <c r="J206" s="20">
        <v>140494</v>
      </c>
    </row>
    <row r="207" spans="1:10" x14ac:dyDescent="0.3">
      <c r="A207" s="6" t="s">
        <v>232</v>
      </c>
      <c r="B207" s="7" t="s">
        <v>20</v>
      </c>
      <c r="C207" s="8">
        <v>45467</v>
      </c>
      <c r="D207" s="7" t="s">
        <v>350</v>
      </c>
      <c r="E207" s="16">
        <v>6632</v>
      </c>
      <c r="F207" s="16">
        <v>254</v>
      </c>
      <c r="G207" s="20">
        <v>525</v>
      </c>
      <c r="H207" s="20">
        <v>1013</v>
      </c>
      <c r="I207" s="24">
        <v>13838</v>
      </c>
      <c r="J207" s="20">
        <v>180180</v>
      </c>
    </row>
    <row r="208" spans="1:10" x14ac:dyDescent="0.3">
      <c r="A208" s="6" t="s">
        <v>233</v>
      </c>
      <c r="B208" s="7" t="s">
        <v>17</v>
      </c>
      <c r="C208" s="8">
        <v>45655</v>
      </c>
      <c r="D208" s="7" t="s">
        <v>55</v>
      </c>
      <c r="E208" s="16">
        <v>8288</v>
      </c>
      <c r="F208" s="16">
        <v>1401</v>
      </c>
      <c r="G208" s="20">
        <v>819</v>
      </c>
      <c r="H208" s="20">
        <v>1235</v>
      </c>
      <c r="I208" s="24">
        <v>33446</v>
      </c>
      <c r="J208" s="20">
        <v>248786</v>
      </c>
    </row>
    <row r="209" spans="1:10" x14ac:dyDescent="0.3">
      <c r="A209" s="6" t="s">
        <v>234</v>
      </c>
      <c r="B209" s="7" t="s">
        <v>17</v>
      </c>
      <c r="C209" s="8">
        <v>45467</v>
      </c>
      <c r="D209" s="7" t="s">
        <v>344</v>
      </c>
      <c r="E209" s="16">
        <v>5596</v>
      </c>
      <c r="F209" s="16">
        <v>1231</v>
      </c>
      <c r="G209" s="20">
        <v>473</v>
      </c>
      <c r="H209" s="20">
        <v>2251</v>
      </c>
      <c r="I209" s="24">
        <v>43705</v>
      </c>
      <c r="J209" s="20">
        <v>75643</v>
      </c>
    </row>
    <row r="210" spans="1:10" x14ac:dyDescent="0.3">
      <c r="A210" s="6" t="s">
        <v>235</v>
      </c>
      <c r="B210" s="7" t="s">
        <v>34</v>
      </c>
      <c r="C210" s="8">
        <v>45735</v>
      </c>
      <c r="D210" s="7" t="s">
        <v>346</v>
      </c>
      <c r="E210" s="16">
        <v>13475</v>
      </c>
      <c r="F210" s="16">
        <v>1032</v>
      </c>
      <c r="G210" s="20">
        <v>295</v>
      </c>
      <c r="H210" s="20">
        <v>541</v>
      </c>
      <c r="I210" s="24">
        <v>43666</v>
      </c>
      <c r="J210" s="20">
        <v>202396</v>
      </c>
    </row>
    <row r="211" spans="1:10" x14ac:dyDescent="0.3">
      <c r="A211" s="6" t="s">
        <v>236</v>
      </c>
      <c r="B211" s="7" t="s">
        <v>20</v>
      </c>
      <c r="C211" s="8">
        <v>45707</v>
      </c>
      <c r="D211" s="7" t="s">
        <v>349</v>
      </c>
      <c r="E211" s="16">
        <v>8168</v>
      </c>
      <c r="F211" s="16">
        <v>512</v>
      </c>
      <c r="G211" s="20">
        <v>442</v>
      </c>
      <c r="H211" s="20">
        <v>2343</v>
      </c>
      <c r="I211" s="24">
        <v>2753</v>
      </c>
      <c r="J211" s="20">
        <v>143896</v>
      </c>
    </row>
    <row r="212" spans="1:10" x14ac:dyDescent="0.3">
      <c r="A212" s="6" t="s">
        <v>237</v>
      </c>
      <c r="B212" s="7" t="s">
        <v>13</v>
      </c>
      <c r="C212" s="8">
        <v>45924</v>
      </c>
      <c r="D212" s="7" t="s">
        <v>55</v>
      </c>
      <c r="E212" s="16">
        <v>11795</v>
      </c>
      <c r="F212" s="16">
        <v>958</v>
      </c>
      <c r="G212" s="20">
        <v>814</v>
      </c>
      <c r="H212" s="20">
        <v>301</v>
      </c>
      <c r="I212" s="24">
        <v>12564</v>
      </c>
      <c r="J212" s="20">
        <v>179999</v>
      </c>
    </row>
    <row r="213" spans="1:10" x14ac:dyDescent="0.3">
      <c r="A213" s="6" t="s">
        <v>238</v>
      </c>
      <c r="B213" s="7" t="s">
        <v>13</v>
      </c>
      <c r="C213" s="8">
        <v>45719</v>
      </c>
      <c r="D213" s="7" t="s">
        <v>343</v>
      </c>
      <c r="E213" s="16">
        <v>9561</v>
      </c>
      <c r="F213" s="16">
        <v>642</v>
      </c>
      <c r="G213" s="20">
        <v>581</v>
      </c>
      <c r="H213" s="20">
        <v>2572</v>
      </c>
      <c r="I213" s="24">
        <v>38552</v>
      </c>
      <c r="J213" s="20">
        <v>133680</v>
      </c>
    </row>
    <row r="214" spans="1:10" x14ac:dyDescent="0.3">
      <c r="A214" s="6" t="s">
        <v>239</v>
      </c>
      <c r="B214" s="7" t="s">
        <v>20</v>
      </c>
      <c r="C214" s="8">
        <v>45778</v>
      </c>
      <c r="D214" s="7" t="s">
        <v>349</v>
      </c>
      <c r="E214" s="16">
        <v>10258</v>
      </c>
      <c r="F214" s="16">
        <v>527</v>
      </c>
      <c r="G214" s="20">
        <v>854</v>
      </c>
      <c r="H214" s="20">
        <v>2068</v>
      </c>
      <c r="I214" s="24">
        <v>45632</v>
      </c>
      <c r="J214" s="20">
        <v>136546</v>
      </c>
    </row>
    <row r="215" spans="1:10" x14ac:dyDescent="0.3">
      <c r="A215" s="6" t="s">
        <v>240</v>
      </c>
      <c r="B215" s="7" t="s">
        <v>13</v>
      </c>
      <c r="C215" s="8">
        <v>45649</v>
      </c>
      <c r="D215" s="7" t="s">
        <v>345</v>
      </c>
      <c r="E215" s="16">
        <v>18616</v>
      </c>
      <c r="F215" s="16">
        <v>1277</v>
      </c>
      <c r="G215" s="20">
        <v>734</v>
      </c>
      <c r="H215" s="20">
        <v>2249</v>
      </c>
      <c r="I215" s="24">
        <v>3399</v>
      </c>
      <c r="J215" s="20">
        <v>193515</v>
      </c>
    </row>
    <row r="216" spans="1:10" x14ac:dyDescent="0.3">
      <c r="A216" s="6" t="s">
        <v>241</v>
      </c>
      <c r="B216" s="7" t="s">
        <v>13</v>
      </c>
      <c r="C216" s="8">
        <v>45925</v>
      </c>
      <c r="D216" s="7" t="s">
        <v>351</v>
      </c>
      <c r="E216" s="16">
        <v>8371</v>
      </c>
      <c r="F216" s="16">
        <v>960</v>
      </c>
      <c r="G216" s="20">
        <v>548</v>
      </c>
      <c r="H216" s="20">
        <v>2936</v>
      </c>
      <c r="I216" s="24">
        <v>82543</v>
      </c>
      <c r="J216" s="20">
        <v>119973</v>
      </c>
    </row>
    <row r="217" spans="1:10" x14ac:dyDescent="0.3">
      <c r="A217" s="6" t="s">
        <v>242</v>
      </c>
      <c r="B217" s="7" t="s">
        <v>20</v>
      </c>
      <c r="C217" s="8">
        <v>45502</v>
      </c>
      <c r="D217" s="7" t="s">
        <v>343</v>
      </c>
      <c r="E217" s="16">
        <v>22590</v>
      </c>
      <c r="F217" s="16">
        <v>1462</v>
      </c>
      <c r="G217" s="20">
        <v>966</v>
      </c>
      <c r="H217" s="20">
        <v>2463</v>
      </c>
      <c r="I217" s="24">
        <v>29689</v>
      </c>
      <c r="J217" s="20">
        <v>103449</v>
      </c>
    </row>
    <row r="218" spans="1:10" x14ac:dyDescent="0.3">
      <c r="A218" s="6" t="s">
        <v>243</v>
      </c>
      <c r="B218" s="7" t="s">
        <v>17</v>
      </c>
      <c r="C218" s="8">
        <v>45926</v>
      </c>
      <c r="D218" s="7" t="s">
        <v>343</v>
      </c>
      <c r="E218" s="16">
        <v>16369</v>
      </c>
      <c r="F218" s="16">
        <v>1452</v>
      </c>
      <c r="G218" s="20">
        <v>493</v>
      </c>
      <c r="H218" s="20">
        <v>1217</v>
      </c>
      <c r="I218" s="24">
        <v>91440</v>
      </c>
      <c r="J218" s="20">
        <v>149834</v>
      </c>
    </row>
    <row r="219" spans="1:10" x14ac:dyDescent="0.3">
      <c r="A219" s="6" t="s">
        <v>244</v>
      </c>
      <c r="B219" s="7" t="s">
        <v>20</v>
      </c>
      <c r="C219" s="8">
        <v>45454</v>
      </c>
      <c r="D219" s="7" t="s">
        <v>55</v>
      </c>
      <c r="E219" s="16">
        <v>14910</v>
      </c>
      <c r="F219" s="16">
        <v>778</v>
      </c>
      <c r="G219" s="20">
        <v>289</v>
      </c>
      <c r="H219" s="20">
        <v>2541</v>
      </c>
      <c r="I219" s="24">
        <v>14309</v>
      </c>
      <c r="J219" s="20">
        <v>247815</v>
      </c>
    </row>
    <row r="220" spans="1:10" x14ac:dyDescent="0.3">
      <c r="A220" s="6" t="s">
        <v>245</v>
      </c>
      <c r="B220" s="7" t="s">
        <v>17</v>
      </c>
      <c r="C220" s="8">
        <v>45685</v>
      </c>
      <c r="D220" s="7" t="s">
        <v>347</v>
      </c>
      <c r="E220" s="16">
        <v>9943</v>
      </c>
      <c r="F220" s="16">
        <v>1274</v>
      </c>
      <c r="G220" s="20">
        <v>336</v>
      </c>
      <c r="H220" s="20">
        <v>389</v>
      </c>
      <c r="I220" s="24">
        <v>6145</v>
      </c>
      <c r="J220" s="20">
        <v>231305</v>
      </c>
    </row>
    <row r="221" spans="1:10" x14ac:dyDescent="0.3">
      <c r="A221" s="6" t="s">
        <v>246</v>
      </c>
      <c r="B221" s="7" t="s">
        <v>13</v>
      </c>
      <c r="C221" s="8">
        <v>45445</v>
      </c>
      <c r="D221" s="7" t="s">
        <v>344</v>
      </c>
      <c r="E221" s="16">
        <v>14199</v>
      </c>
      <c r="F221" s="16">
        <v>1206</v>
      </c>
      <c r="G221" s="20">
        <v>954</v>
      </c>
      <c r="H221" s="20">
        <v>2009</v>
      </c>
      <c r="I221" s="24">
        <v>8</v>
      </c>
      <c r="J221" s="20">
        <v>65537</v>
      </c>
    </row>
    <row r="222" spans="1:10" x14ac:dyDescent="0.3">
      <c r="A222" s="6" t="s">
        <v>247</v>
      </c>
      <c r="B222" s="7" t="s">
        <v>13</v>
      </c>
      <c r="C222" s="8">
        <v>45739</v>
      </c>
      <c r="D222" s="7" t="s">
        <v>347</v>
      </c>
      <c r="E222" s="16">
        <v>17728</v>
      </c>
      <c r="F222" s="16">
        <v>1487</v>
      </c>
      <c r="G222" s="20">
        <v>210</v>
      </c>
      <c r="H222" s="20">
        <v>2469</v>
      </c>
      <c r="I222" s="24">
        <v>30565</v>
      </c>
      <c r="J222" s="20">
        <v>117576</v>
      </c>
    </row>
    <row r="223" spans="1:10" x14ac:dyDescent="0.3">
      <c r="A223" s="6" t="s">
        <v>248</v>
      </c>
      <c r="B223" s="7" t="s">
        <v>13</v>
      </c>
      <c r="C223" s="8">
        <v>45573</v>
      </c>
      <c r="D223" s="7" t="s">
        <v>55</v>
      </c>
      <c r="E223" s="16">
        <v>8738</v>
      </c>
      <c r="F223" s="16">
        <v>295</v>
      </c>
      <c r="G223" s="20">
        <v>529</v>
      </c>
      <c r="H223" s="20">
        <v>442</v>
      </c>
      <c r="I223" s="24">
        <v>25286</v>
      </c>
      <c r="J223" s="20">
        <v>147522</v>
      </c>
    </row>
    <row r="224" spans="1:10" x14ac:dyDescent="0.3">
      <c r="A224" s="6" t="s">
        <v>249</v>
      </c>
      <c r="B224" s="7" t="s">
        <v>34</v>
      </c>
      <c r="C224" s="8">
        <v>45608</v>
      </c>
      <c r="D224" s="7" t="s">
        <v>345</v>
      </c>
      <c r="E224" s="16">
        <v>17913</v>
      </c>
      <c r="F224" s="16">
        <v>1311</v>
      </c>
      <c r="G224" s="20">
        <v>859</v>
      </c>
      <c r="H224" s="20">
        <v>405</v>
      </c>
      <c r="I224" s="24">
        <v>59842</v>
      </c>
      <c r="J224" s="20">
        <v>62612</v>
      </c>
    </row>
    <row r="225" spans="1:10" x14ac:dyDescent="0.3">
      <c r="A225" s="6" t="s">
        <v>250</v>
      </c>
      <c r="B225" s="7" t="s">
        <v>17</v>
      </c>
      <c r="C225" s="8">
        <v>45907</v>
      </c>
      <c r="D225" s="7" t="s">
        <v>352</v>
      </c>
      <c r="E225" s="16">
        <v>4472</v>
      </c>
      <c r="F225" s="16">
        <v>1301</v>
      </c>
      <c r="G225" s="20">
        <v>956</v>
      </c>
      <c r="H225" s="20">
        <v>1186</v>
      </c>
      <c r="I225" s="24">
        <v>3363</v>
      </c>
      <c r="J225" s="20">
        <v>46471</v>
      </c>
    </row>
    <row r="226" spans="1:10" x14ac:dyDescent="0.3">
      <c r="A226" s="6" t="s">
        <v>251</v>
      </c>
      <c r="B226" s="7" t="s">
        <v>34</v>
      </c>
      <c r="C226" s="8">
        <v>45463</v>
      </c>
      <c r="D226" s="7" t="s">
        <v>348</v>
      </c>
      <c r="E226" s="16">
        <v>21123</v>
      </c>
      <c r="F226" s="16">
        <v>1343</v>
      </c>
      <c r="G226" s="20">
        <v>589</v>
      </c>
      <c r="H226" s="20">
        <v>727</v>
      </c>
      <c r="I226" s="24">
        <v>87833</v>
      </c>
      <c r="J226" s="20">
        <v>206703</v>
      </c>
    </row>
    <row r="227" spans="1:10" x14ac:dyDescent="0.3">
      <c r="A227" s="6" t="s">
        <v>252</v>
      </c>
      <c r="B227" s="7" t="s">
        <v>34</v>
      </c>
      <c r="C227" s="8">
        <v>45908</v>
      </c>
      <c r="D227" s="7" t="s">
        <v>348</v>
      </c>
      <c r="E227" s="16">
        <v>23785</v>
      </c>
      <c r="F227" s="16">
        <v>1013</v>
      </c>
      <c r="G227" s="20">
        <v>468</v>
      </c>
      <c r="H227" s="20">
        <v>1628</v>
      </c>
      <c r="I227" s="24">
        <v>8272</v>
      </c>
      <c r="J227" s="20">
        <v>71348</v>
      </c>
    </row>
    <row r="228" spans="1:10" x14ac:dyDescent="0.3">
      <c r="A228" s="6" t="s">
        <v>253</v>
      </c>
      <c r="B228" s="7" t="s">
        <v>20</v>
      </c>
      <c r="C228" s="8">
        <v>45455</v>
      </c>
      <c r="D228" s="7" t="s">
        <v>344</v>
      </c>
      <c r="E228" s="16">
        <v>17679</v>
      </c>
      <c r="F228" s="16">
        <v>690</v>
      </c>
      <c r="G228" s="20">
        <v>451</v>
      </c>
      <c r="H228" s="20">
        <v>2195</v>
      </c>
      <c r="I228" s="24">
        <v>4390</v>
      </c>
      <c r="J228" s="20">
        <v>235804</v>
      </c>
    </row>
    <row r="229" spans="1:10" x14ac:dyDescent="0.3">
      <c r="A229" s="6" t="s">
        <v>254</v>
      </c>
      <c r="B229" s="7" t="s">
        <v>34</v>
      </c>
      <c r="C229" s="8">
        <v>45474</v>
      </c>
      <c r="D229" s="7" t="s">
        <v>345</v>
      </c>
      <c r="E229" s="16">
        <v>3761</v>
      </c>
      <c r="F229" s="16">
        <v>651</v>
      </c>
      <c r="G229" s="20">
        <v>493</v>
      </c>
      <c r="H229" s="20">
        <v>2294</v>
      </c>
      <c r="I229" s="24">
        <v>71696</v>
      </c>
      <c r="J229" s="20">
        <v>41177</v>
      </c>
    </row>
    <row r="230" spans="1:10" x14ac:dyDescent="0.3">
      <c r="A230" s="6" t="s">
        <v>255</v>
      </c>
      <c r="B230" s="7" t="s">
        <v>20</v>
      </c>
      <c r="C230" s="8">
        <v>45476</v>
      </c>
      <c r="D230" s="7" t="s">
        <v>344</v>
      </c>
      <c r="E230" s="16">
        <v>12167</v>
      </c>
      <c r="F230" s="16">
        <v>364</v>
      </c>
      <c r="G230" s="20">
        <v>160</v>
      </c>
      <c r="H230" s="20">
        <v>616</v>
      </c>
      <c r="I230" s="24">
        <v>42228</v>
      </c>
      <c r="J230" s="20">
        <v>175832</v>
      </c>
    </row>
    <row r="231" spans="1:10" x14ac:dyDescent="0.3">
      <c r="A231" s="6" t="s">
        <v>256</v>
      </c>
      <c r="B231" s="7" t="s">
        <v>20</v>
      </c>
      <c r="C231" s="8">
        <v>45488</v>
      </c>
      <c r="D231" s="7" t="s">
        <v>28</v>
      </c>
      <c r="E231" s="16">
        <v>12554</v>
      </c>
      <c r="F231" s="16">
        <v>381</v>
      </c>
      <c r="G231" s="20">
        <v>211</v>
      </c>
      <c r="H231" s="20">
        <v>2286</v>
      </c>
      <c r="I231" s="24">
        <v>50567</v>
      </c>
      <c r="J231" s="20">
        <v>72779</v>
      </c>
    </row>
    <row r="232" spans="1:10" x14ac:dyDescent="0.3">
      <c r="A232" s="6" t="s">
        <v>257</v>
      </c>
      <c r="B232" s="7" t="s">
        <v>34</v>
      </c>
      <c r="C232" s="8">
        <v>45909</v>
      </c>
      <c r="D232" s="7" t="s">
        <v>347</v>
      </c>
      <c r="E232" s="16">
        <v>19260</v>
      </c>
      <c r="F232" s="16">
        <v>668</v>
      </c>
      <c r="G232" s="20">
        <v>994</v>
      </c>
      <c r="H232" s="20">
        <v>934</v>
      </c>
      <c r="I232" s="24">
        <v>20509</v>
      </c>
      <c r="J232" s="20">
        <v>61636</v>
      </c>
    </row>
    <row r="233" spans="1:10" x14ac:dyDescent="0.3">
      <c r="A233" s="6" t="s">
        <v>258</v>
      </c>
      <c r="B233" s="7" t="s">
        <v>17</v>
      </c>
      <c r="C233" s="8">
        <v>45776</v>
      </c>
      <c r="D233" s="7" t="s">
        <v>348</v>
      </c>
      <c r="E233" s="16">
        <v>16277</v>
      </c>
      <c r="F233" s="16">
        <v>1109</v>
      </c>
      <c r="G233" s="20">
        <v>375</v>
      </c>
      <c r="H233" s="20">
        <v>2225</v>
      </c>
      <c r="I233" s="24">
        <v>1044</v>
      </c>
      <c r="J233" s="20">
        <v>121889</v>
      </c>
    </row>
    <row r="234" spans="1:10" x14ac:dyDescent="0.3">
      <c r="A234" s="6" t="s">
        <v>259</v>
      </c>
      <c r="B234" s="7" t="s">
        <v>17</v>
      </c>
      <c r="C234" s="8">
        <v>45724</v>
      </c>
      <c r="D234" s="7" t="s">
        <v>343</v>
      </c>
      <c r="E234" s="16">
        <v>5812</v>
      </c>
      <c r="F234" s="16">
        <v>934</v>
      </c>
      <c r="G234" s="20">
        <v>302</v>
      </c>
      <c r="H234" s="20">
        <v>2356</v>
      </c>
      <c r="I234" s="24">
        <v>37437</v>
      </c>
      <c r="J234" s="20">
        <v>93551</v>
      </c>
    </row>
    <row r="235" spans="1:10" x14ac:dyDescent="0.3">
      <c r="A235" s="6" t="s">
        <v>260</v>
      </c>
      <c r="B235" s="7" t="s">
        <v>17</v>
      </c>
      <c r="C235" s="8">
        <v>45444</v>
      </c>
      <c r="D235" s="7" t="s">
        <v>347</v>
      </c>
      <c r="E235" s="16">
        <v>19844</v>
      </c>
      <c r="F235" s="16">
        <v>1022</v>
      </c>
      <c r="G235" s="20">
        <v>860</v>
      </c>
      <c r="H235" s="20">
        <v>2570</v>
      </c>
      <c r="I235" s="24">
        <v>23719</v>
      </c>
      <c r="J235" s="20">
        <v>182628</v>
      </c>
    </row>
    <row r="236" spans="1:10" x14ac:dyDescent="0.3">
      <c r="A236" s="6" t="s">
        <v>261</v>
      </c>
      <c r="B236" s="7" t="s">
        <v>17</v>
      </c>
      <c r="C236" s="8">
        <v>45648</v>
      </c>
      <c r="D236" s="7" t="s">
        <v>346</v>
      </c>
      <c r="E236" s="16">
        <v>20117</v>
      </c>
      <c r="F236" s="16">
        <v>1143</v>
      </c>
      <c r="G236" s="20">
        <v>713</v>
      </c>
      <c r="H236" s="20">
        <v>1739</v>
      </c>
      <c r="I236" s="24">
        <v>34444</v>
      </c>
      <c r="J236" s="20">
        <v>198670</v>
      </c>
    </row>
    <row r="237" spans="1:10" x14ac:dyDescent="0.3">
      <c r="A237" s="6" t="s">
        <v>262</v>
      </c>
      <c r="B237" s="7" t="s">
        <v>17</v>
      </c>
      <c r="C237" s="8">
        <v>45523</v>
      </c>
      <c r="D237" s="7" t="s">
        <v>351</v>
      </c>
      <c r="E237" s="16">
        <v>3605</v>
      </c>
      <c r="F237" s="16">
        <v>206</v>
      </c>
      <c r="G237" s="20">
        <v>921</v>
      </c>
      <c r="H237" s="20">
        <v>852</v>
      </c>
      <c r="I237" s="24">
        <v>11660</v>
      </c>
      <c r="J237" s="20">
        <v>182635</v>
      </c>
    </row>
    <row r="238" spans="1:10" x14ac:dyDescent="0.3">
      <c r="A238" s="6" t="s">
        <v>263</v>
      </c>
      <c r="B238" s="7" t="s">
        <v>34</v>
      </c>
      <c r="C238" s="8">
        <v>45587</v>
      </c>
      <c r="D238" s="7" t="s">
        <v>345</v>
      </c>
      <c r="E238" s="16">
        <v>7622</v>
      </c>
      <c r="F238" s="16">
        <v>529</v>
      </c>
      <c r="G238" s="20">
        <v>720</v>
      </c>
      <c r="H238" s="20">
        <v>1015</v>
      </c>
      <c r="I238" s="24">
        <v>71322</v>
      </c>
      <c r="J238" s="20">
        <v>86819</v>
      </c>
    </row>
    <row r="239" spans="1:10" x14ac:dyDescent="0.3">
      <c r="A239" s="6" t="s">
        <v>264</v>
      </c>
      <c r="B239" s="7" t="s">
        <v>34</v>
      </c>
      <c r="C239" s="8">
        <v>45489</v>
      </c>
      <c r="D239" s="7" t="s">
        <v>349</v>
      </c>
      <c r="E239" s="16">
        <v>8767</v>
      </c>
      <c r="F239" s="16">
        <v>974</v>
      </c>
      <c r="G239" s="20">
        <v>733</v>
      </c>
      <c r="H239" s="20">
        <v>1587</v>
      </c>
      <c r="I239" s="24">
        <v>74927</v>
      </c>
      <c r="J239" s="20">
        <v>113770</v>
      </c>
    </row>
    <row r="240" spans="1:10" x14ac:dyDescent="0.3">
      <c r="A240" s="6" t="s">
        <v>265</v>
      </c>
      <c r="B240" s="7" t="s">
        <v>13</v>
      </c>
      <c r="C240" s="8">
        <v>45910</v>
      </c>
      <c r="D240" s="7" t="s">
        <v>344</v>
      </c>
      <c r="E240" s="16">
        <v>13613</v>
      </c>
      <c r="F240" s="16">
        <v>350</v>
      </c>
      <c r="G240" s="20">
        <v>809</v>
      </c>
      <c r="H240" s="20">
        <v>2013</v>
      </c>
      <c r="I240" s="24">
        <v>20471</v>
      </c>
      <c r="J240" s="20">
        <v>198038</v>
      </c>
    </row>
    <row r="241" spans="1:10" x14ac:dyDescent="0.3">
      <c r="A241" s="6" t="s">
        <v>266</v>
      </c>
      <c r="B241" s="7" t="s">
        <v>17</v>
      </c>
      <c r="C241" s="8">
        <v>45911</v>
      </c>
      <c r="D241" s="7" t="s">
        <v>347</v>
      </c>
      <c r="E241" s="16">
        <v>21901</v>
      </c>
      <c r="F241" s="16">
        <v>1308</v>
      </c>
      <c r="G241" s="20">
        <v>724</v>
      </c>
      <c r="H241" s="20">
        <v>2183</v>
      </c>
      <c r="I241" s="24">
        <v>15996</v>
      </c>
      <c r="J241" s="20">
        <v>230961</v>
      </c>
    </row>
    <row r="242" spans="1:10" x14ac:dyDescent="0.3">
      <c r="A242" s="6" t="s">
        <v>267</v>
      </c>
      <c r="B242" s="7" t="s">
        <v>34</v>
      </c>
      <c r="C242" s="8">
        <v>45675</v>
      </c>
      <c r="D242" s="7" t="s">
        <v>351</v>
      </c>
      <c r="E242" s="16">
        <v>12589</v>
      </c>
      <c r="F242" s="16">
        <v>346</v>
      </c>
      <c r="G242" s="20">
        <v>459</v>
      </c>
      <c r="H242" s="20">
        <v>1407</v>
      </c>
      <c r="I242" s="24">
        <v>29254</v>
      </c>
      <c r="J242" s="20">
        <v>198059</v>
      </c>
    </row>
    <row r="243" spans="1:10" x14ac:dyDescent="0.3">
      <c r="A243" s="6" t="s">
        <v>268</v>
      </c>
      <c r="B243" s="7" t="s">
        <v>13</v>
      </c>
      <c r="C243" s="8">
        <v>45912</v>
      </c>
      <c r="D243" s="7" t="s">
        <v>347</v>
      </c>
      <c r="E243" s="16">
        <v>15918</v>
      </c>
      <c r="F243" s="16">
        <v>1114</v>
      </c>
      <c r="G243" s="20">
        <v>392</v>
      </c>
      <c r="H243" s="20">
        <v>1641</v>
      </c>
      <c r="I243" s="24">
        <v>28044</v>
      </c>
      <c r="J243" s="20">
        <v>118714</v>
      </c>
    </row>
    <row r="244" spans="1:10" x14ac:dyDescent="0.3">
      <c r="A244" s="6" t="s">
        <v>269</v>
      </c>
      <c r="B244" s="7" t="s">
        <v>17</v>
      </c>
      <c r="C244" s="8">
        <v>45722</v>
      </c>
      <c r="D244" s="7" t="s">
        <v>349</v>
      </c>
      <c r="E244" s="16">
        <v>22119</v>
      </c>
      <c r="F244" s="16">
        <v>899</v>
      </c>
      <c r="G244" s="20">
        <v>642</v>
      </c>
      <c r="H244" s="20">
        <v>410</v>
      </c>
      <c r="I244" s="24">
        <v>49490</v>
      </c>
      <c r="J244" s="20">
        <v>229420</v>
      </c>
    </row>
    <row r="245" spans="1:10" x14ac:dyDescent="0.3">
      <c r="A245" s="6" t="s">
        <v>270</v>
      </c>
      <c r="B245" s="7" t="s">
        <v>20</v>
      </c>
      <c r="C245" s="8">
        <v>45913</v>
      </c>
      <c r="D245" s="7" t="s">
        <v>351</v>
      </c>
      <c r="E245" s="16">
        <v>15046</v>
      </c>
      <c r="F245" s="16">
        <v>281</v>
      </c>
      <c r="G245" s="20">
        <v>515</v>
      </c>
      <c r="H245" s="20">
        <v>550</v>
      </c>
      <c r="I245" s="24">
        <v>22583</v>
      </c>
      <c r="J245" s="20">
        <v>64596</v>
      </c>
    </row>
    <row r="246" spans="1:10" x14ac:dyDescent="0.3">
      <c r="A246" s="6" t="s">
        <v>271</v>
      </c>
      <c r="B246" s="7" t="s">
        <v>13</v>
      </c>
      <c r="C246" s="8">
        <v>45669</v>
      </c>
      <c r="D246" s="7" t="s">
        <v>346</v>
      </c>
      <c r="E246" s="16">
        <v>4590</v>
      </c>
      <c r="F246" s="16">
        <v>713</v>
      </c>
      <c r="G246" s="20">
        <v>479</v>
      </c>
      <c r="H246" s="20">
        <v>2730</v>
      </c>
      <c r="I246" s="24">
        <v>41050</v>
      </c>
      <c r="J246" s="20">
        <v>204246</v>
      </c>
    </row>
    <row r="247" spans="1:10" x14ac:dyDescent="0.3">
      <c r="A247" s="6" t="s">
        <v>272</v>
      </c>
      <c r="B247" s="7" t="s">
        <v>34</v>
      </c>
      <c r="C247" s="8">
        <v>45576</v>
      </c>
      <c r="D247" s="7" t="s">
        <v>349</v>
      </c>
      <c r="E247" s="16">
        <v>19447</v>
      </c>
      <c r="F247" s="16">
        <v>1014</v>
      </c>
      <c r="G247" s="20">
        <v>256</v>
      </c>
      <c r="H247" s="20">
        <v>2354</v>
      </c>
      <c r="I247" s="24">
        <v>5472</v>
      </c>
      <c r="J247" s="20">
        <v>104106</v>
      </c>
    </row>
    <row r="248" spans="1:10" x14ac:dyDescent="0.3">
      <c r="A248" s="6" t="s">
        <v>273</v>
      </c>
      <c r="B248" s="7" t="s">
        <v>20</v>
      </c>
      <c r="C248" s="8">
        <v>45531</v>
      </c>
      <c r="D248" s="7" t="s">
        <v>55</v>
      </c>
      <c r="E248" s="16">
        <v>6324</v>
      </c>
      <c r="F248" s="16">
        <v>908</v>
      </c>
      <c r="G248" s="20">
        <v>375</v>
      </c>
      <c r="H248" s="20">
        <v>758</v>
      </c>
      <c r="I248" s="24">
        <v>34850</v>
      </c>
      <c r="J248" s="20">
        <v>241039</v>
      </c>
    </row>
    <row r="249" spans="1:10" x14ac:dyDescent="0.3">
      <c r="A249" s="6" t="s">
        <v>274</v>
      </c>
      <c r="B249" s="7" t="s">
        <v>20</v>
      </c>
      <c r="C249" s="8">
        <v>45914</v>
      </c>
      <c r="D249" s="7" t="s">
        <v>350</v>
      </c>
      <c r="E249" s="16">
        <v>12787</v>
      </c>
      <c r="F249" s="16">
        <v>945</v>
      </c>
      <c r="G249" s="20">
        <v>974</v>
      </c>
      <c r="H249" s="20">
        <v>1407</v>
      </c>
      <c r="I249" s="24">
        <v>4037</v>
      </c>
      <c r="J249" s="20">
        <v>99182</v>
      </c>
    </row>
    <row r="250" spans="1:10" x14ac:dyDescent="0.3">
      <c r="A250" s="6" t="s">
        <v>275</v>
      </c>
      <c r="B250" s="7" t="s">
        <v>20</v>
      </c>
      <c r="C250" s="8">
        <v>45491</v>
      </c>
      <c r="D250" s="7" t="s">
        <v>55</v>
      </c>
      <c r="E250" s="16">
        <v>11111</v>
      </c>
      <c r="F250" s="16">
        <v>1222</v>
      </c>
      <c r="G250" s="20">
        <v>367</v>
      </c>
      <c r="H250" s="20">
        <v>507</v>
      </c>
      <c r="I250" s="24">
        <v>14129</v>
      </c>
      <c r="J250" s="20">
        <v>127163</v>
      </c>
    </row>
    <row r="251" spans="1:10" x14ac:dyDescent="0.3">
      <c r="A251" s="6" t="s">
        <v>276</v>
      </c>
      <c r="B251" s="7" t="s">
        <v>13</v>
      </c>
      <c r="C251" s="8">
        <v>45465</v>
      </c>
      <c r="D251" s="7" t="s">
        <v>348</v>
      </c>
      <c r="E251" s="16">
        <v>7342</v>
      </c>
      <c r="F251" s="16">
        <v>906</v>
      </c>
      <c r="G251" s="20">
        <v>902</v>
      </c>
      <c r="H251" s="20">
        <v>1199</v>
      </c>
      <c r="I251" s="24">
        <v>68488</v>
      </c>
      <c r="J251" s="20">
        <v>79310</v>
      </c>
    </row>
    <row r="252" spans="1:10" x14ac:dyDescent="0.3">
      <c r="A252" s="6" t="s">
        <v>277</v>
      </c>
      <c r="B252" s="7" t="s">
        <v>34</v>
      </c>
      <c r="C252" s="8">
        <v>45915</v>
      </c>
      <c r="D252" s="7" t="s">
        <v>347</v>
      </c>
      <c r="E252" s="16">
        <v>18389</v>
      </c>
      <c r="F252" s="16">
        <v>670</v>
      </c>
      <c r="G252" s="20">
        <v>655</v>
      </c>
      <c r="H252" s="20">
        <v>321</v>
      </c>
      <c r="I252" s="24">
        <v>21869</v>
      </c>
      <c r="J252" s="20">
        <v>96088</v>
      </c>
    </row>
    <row r="253" spans="1:10" x14ac:dyDescent="0.3">
      <c r="A253" s="6" t="s">
        <v>278</v>
      </c>
      <c r="B253" s="7" t="s">
        <v>20</v>
      </c>
      <c r="C253" s="8">
        <v>45775</v>
      </c>
      <c r="D253" s="7" t="s">
        <v>350</v>
      </c>
      <c r="E253" s="16">
        <v>10659</v>
      </c>
      <c r="F253" s="16">
        <v>1342</v>
      </c>
      <c r="G253" s="20">
        <v>408</v>
      </c>
      <c r="H253" s="20">
        <v>709</v>
      </c>
      <c r="I253" s="24">
        <v>16309</v>
      </c>
      <c r="J253" s="20">
        <v>168803</v>
      </c>
    </row>
    <row r="254" spans="1:10" x14ac:dyDescent="0.3">
      <c r="A254" s="6" t="s">
        <v>279</v>
      </c>
      <c r="B254" s="7" t="s">
        <v>17</v>
      </c>
      <c r="C254" s="8">
        <v>45916</v>
      </c>
      <c r="D254" s="7" t="s">
        <v>55</v>
      </c>
      <c r="E254" s="16">
        <v>16043</v>
      </c>
      <c r="F254" s="16">
        <v>595</v>
      </c>
      <c r="G254" s="20">
        <v>923</v>
      </c>
      <c r="H254" s="20">
        <v>1194</v>
      </c>
      <c r="I254" s="24">
        <v>52613</v>
      </c>
      <c r="J254" s="20">
        <v>179978</v>
      </c>
    </row>
    <row r="255" spans="1:10" x14ac:dyDescent="0.3">
      <c r="A255" s="6" t="s">
        <v>280</v>
      </c>
      <c r="B255" s="7" t="s">
        <v>20</v>
      </c>
      <c r="C255" s="8">
        <v>45671</v>
      </c>
      <c r="D255" s="7" t="s">
        <v>350</v>
      </c>
      <c r="E255" s="16">
        <v>24350</v>
      </c>
      <c r="F255" s="16">
        <v>460</v>
      </c>
      <c r="G255" s="20">
        <v>666</v>
      </c>
      <c r="H255" s="20">
        <v>814</v>
      </c>
      <c r="I255" s="24">
        <v>21120</v>
      </c>
      <c r="J255" s="20">
        <v>76914</v>
      </c>
    </row>
    <row r="256" spans="1:10" x14ac:dyDescent="0.3">
      <c r="A256" s="6" t="s">
        <v>281</v>
      </c>
      <c r="B256" s="7" t="s">
        <v>20</v>
      </c>
      <c r="C256" s="8">
        <v>45750</v>
      </c>
      <c r="D256" s="7" t="s">
        <v>352</v>
      </c>
      <c r="E256" s="16">
        <v>10837</v>
      </c>
      <c r="F256" s="16">
        <v>1004</v>
      </c>
      <c r="G256" s="20">
        <v>922</v>
      </c>
      <c r="H256" s="20">
        <v>1108</v>
      </c>
      <c r="I256" s="24">
        <v>36807</v>
      </c>
      <c r="J256" s="20">
        <v>150350</v>
      </c>
    </row>
    <row r="257" spans="1:10" x14ac:dyDescent="0.3">
      <c r="A257" s="6" t="s">
        <v>282</v>
      </c>
      <c r="B257" s="7" t="s">
        <v>13</v>
      </c>
      <c r="C257" s="8">
        <v>45917</v>
      </c>
      <c r="D257" s="7" t="s">
        <v>347</v>
      </c>
      <c r="E257" s="16">
        <v>2117</v>
      </c>
      <c r="F257" s="16">
        <v>1133</v>
      </c>
      <c r="G257" s="20">
        <v>203</v>
      </c>
      <c r="H257" s="20">
        <v>1173</v>
      </c>
      <c r="I257" s="24">
        <v>40125</v>
      </c>
      <c r="J257" s="20">
        <v>85379</v>
      </c>
    </row>
    <row r="258" spans="1:10" x14ac:dyDescent="0.3">
      <c r="A258" s="6" t="s">
        <v>283</v>
      </c>
      <c r="B258" s="7" t="s">
        <v>13</v>
      </c>
      <c r="C258" s="8">
        <v>45753</v>
      </c>
      <c r="D258" s="7" t="s">
        <v>350</v>
      </c>
      <c r="E258" s="16">
        <v>15917</v>
      </c>
      <c r="F258" s="16">
        <v>1479</v>
      </c>
      <c r="G258" s="20">
        <v>196</v>
      </c>
      <c r="H258" s="20">
        <v>313</v>
      </c>
      <c r="I258" s="24">
        <v>48524</v>
      </c>
      <c r="J258" s="20">
        <v>249684</v>
      </c>
    </row>
    <row r="259" spans="1:10" x14ac:dyDescent="0.3">
      <c r="A259" s="6" t="s">
        <v>284</v>
      </c>
      <c r="B259" s="7" t="s">
        <v>34</v>
      </c>
      <c r="C259" s="8">
        <v>45509</v>
      </c>
      <c r="D259" s="7" t="s">
        <v>343</v>
      </c>
      <c r="E259" s="16">
        <v>20935</v>
      </c>
      <c r="F259" s="16">
        <v>1104</v>
      </c>
      <c r="G259" s="20">
        <v>876</v>
      </c>
      <c r="H259" s="20">
        <v>1270</v>
      </c>
      <c r="I259" s="24">
        <v>21454</v>
      </c>
      <c r="J259" s="20">
        <v>208722</v>
      </c>
    </row>
    <row r="260" spans="1:10" x14ac:dyDescent="0.3">
      <c r="A260" s="6" t="s">
        <v>285</v>
      </c>
      <c r="B260" s="7" t="s">
        <v>17</v>
      </c>
      <c r="C260" s="8">
        <v>45698</v>
      </c>
      <c r="D260" s="7" t="s">
        <v>344</v>
      </c>
      <c r="E260" s="16">
        <v>16309</v>
      </c>
      <c r="F260" s="16">
        <v>1449</v>
      </c>
      <c r="G260" s="20">
        <v>838</v>
      </c>
      <c r="H260" s="20">
        <v>2434</v>
      </c>
      <c r="I260" s="24">
        <v>2940</v>
      </c>
      <c r="J260" s="20">
        <v>217953</v>
      </c>
    </row>
    <row r="261" spans="1:10" x14ac:dyDescent="0.3">
      <c r="A261" s="6" t="s">
        <v>286</v>
      </c>
      <c r="B261" s="7" t="s">
        <v>13</v>
      </c>
      <c r="C261" s="8">
        <v>45700</v>
      </c>
      <c r="D261" s="7" t="s">
        <v>344</v>
      </c>
      <c r="E261" s="16">
        <v>15234</v>
      </c>
      <c r="F261" s="16">
        <v>1276</v>
      </c>
      <c r="G261" s="20">
        <v>670</v>
      </c>
      <c r="H261" s="20">
        <v>1860</v>
      </c>
      <c r="I261" s="24">
        <v>60397</v>
      </c>
      <c r="J261" s="20">
        <v>86413</v>
      </c>
    </row>
    <row r="262" spans="1:10" x14ac:dyDescent="0.3">
      <c r="A262" s="6" t="s">
        <v>287</v>
      </c>
      <c r="B262" s="7" t="s">
        <v>20</v>
      </c>
      <c r="C262" s="8">
        <v>45592</v>
      </c>
      <c r="D262" s="7" t="s">
        <v>343</v>
      </c>
      <c r="E262" s="16">
        <v>7560</v>
      </c>
      <c r="F262" s="16">
        <v>1139</v>
      </c>
      <c r="G262" s="20">
        <v>248</v>
      </c>
      <c r="H262" s="20">
        <v>1624</v>
      </c>
      <c r="I262" s="24">
        <v>72237</v>
      </c>
      <c r="J262" s="20">
        <v>177084</v>
      </c>
    </row>
    <row r="263" spans="1:10" x14ac:dyDescent="0.3">
      <c r="A263" s="6" t="s">
        <v>288</v>
      </c>
      <c r="B263" s="7" t="s">
        <v>34</v>
      </c>
      <c r="C263" s="8">
        <v>45675</v>
      </c>
      <c r="D263" s="7" t="s">
        <v>351</v>
      </c>
      <c r="E263" s="16">
        <v>22673</v>
      </c>
      <c r="F263" s="16">
        <v>1053</v>
      </c>
      <c r="G263" s="20">
        <v>169</v>
      </c>
      <c r="H263" s="20">
        <v>1566</v>
      </c>
      <c r="I263" s="24">
        <v>9417</v>
      </c>
      <c r="J263" s="20">
        <v>221187</v>
      </c>
    </row>
    <row r="264" spans="1:10" x14ac:dyDescent="0.3">
      <c r="A264" s="6" t="s">
        <v>289</v>
      </c>
      <c r="B264" s="7" t="s">
        <v>20</v>
      </c>
      <c r="C264" s="8">
        <v>45524</v>
      </c>
      <c r="D264" s="7" t="s">
        <v>28</v>
      </c>
      <c r="E264" s="16">
        <v>2846</v>
      </c>
      <c r="F264" s="16">
        <v>792</v>
      </c>
      <c r="G264" s="20">
        <v>902</v>
      </c>
      <c r="H264" s="20">
        <v>2469</v>
      </c>
      <c r="I264" s="24">
        <v>12130</v>
      </c>
      <c r="J264" s="20">
        <v>47151</v>
      </c>
    </row>
    <row r="265" spans="1:10" x14ac:dyDescent="0.3">
      <c r="A265" s="6" t="s">
        <v>290</v>
      </c>
      <c r="B265" s="7" t="s">
        <v>20</v>
      </c>
      <c r="C265" s="8">
        <v>45687</v>
      </c>
      <c r="D265" s="7" t="s">
        <v>351</v>
      </c>
      <c r="E265" s="16">
        <v>12954</v>
      </c>
      <c r="F265" s="16">
        <v>913</v>
      </c>
      <c r="G265" s="20">
        <v>722</v>
      </c>
      <c r="H265" s="20">
        <v>1049</v>
      </c>
      <c r="I265" s="24">
        <v>475</v>
      </c>
      <c r="J265" s="20">
        <v>97716</v>
      </c>
    </row>
    <row r="266" spans="1:10" x14ac:dyDescent="0.3">
      <c r="A266" s="6" t="s">
        <v>291</v>
      </c>
      <c r="B266" s="7" t="s">
        <v>13</v>
      </c>
      <c r="C266" s="8">
        <v>45708</v>
      </c>
      <c r="D266" s="7" t="s">
        <v>349</v>
      </c>
      <c r="E266" s="16">
        <v>15703</v>
      </c>
      <c r="F266" s="16">
        <v>1381</v>
      </c>
      <c r="G266" s="20">
        <v>639</v>
      </c>
      <c r="H266" s="20">
        <v>984</v>
      </c>
      <c r="I266" s="24">
        <v>10967</v>
      </c>
      <c r="J266" s="20">
        <v>133747</v>
      </c>
    </row>
    <row r="267" spans="1:10" x14ac:dyDescent="0.3">
      <c r="A267" s="6" t="s">
        <v>292</v>
      </c>
      <c r="B267" s="7" t="s">
        <v>34</v>
      </c>
      <c r="C267" s="8">
        <v>45621</v>
      </c>
      <c r="D267" s="7" t="s">
        <v>349</v>
      </c>
      <c r="E267" s="16">
        <v>17385</v>
      </c>
      <c r="F267" s="16">
        <v>831</v>
      </c>
      <c r="G267" s="20">
        <v>568</v>
      </c>
      <c r="H267" s="20">
        <v>2227</v>
      </c>
      <c r="I267" s="24">
        <v>49351</v>
      </c>
      <c r="J267" s="20">
        <v>207450</v>
      </c>
    </row>
    <row r="268" spans="1:10" x14ac:dyDescent="0.3">
      <c r="A268" s="6" t="s">
        <v>293</v>
      </c>
      <c r="B268" s="7" t="s">
        <v>17</v>
      </c>
      <c r="C268" s="8">
        <v>45569</v>
      </c>
      <c r="D268" s="7" t="s">
        <v>350</v>
      </c>
      <c r="E268" s="16">
        <v>15746</v>
      </c>
      <c r="F268" s="16">
        <v>258</v>
      </c>
      <c r="G268" s="20">
        <v>839</v>
      </c>
      <c r="H268" s="20">
        <v>2656</v>
      </c>
      <c r="I268" s="24">
        <v>66614</v>
      </c>
      <c r="J268" s="20">
        <v>213724</v>
      </c>
    </row>
    <row r="269" spans="1:10" x14ac:dyDescent="0.3">
      <c r="A269" s="6" t="s">
        <v>294</v>
      </c>
      <c r="B269" s="7" t="s">
        <v>17</v>
      </c>
      <c r="C269" s="8">
        <v>45760</v>
      </c>
      <c r="D269" s="7" t="s">
        <v>55</v>
      </c>
      <c r="E269" s="16">
        <v>24700</v>
      </c>
      <c r="F269" s="16">
        <v>327</v>
      </c>
      <c r="G269" s="20">
        <v>999</v>
      </c>
      <c r="H269" s="20">
        <v>994</v>
      </c>
      <c r="I269" s="24">
        <v>59400</v>
      </c>
      <c r="J269" s="20">
        <v>243502</v>
      </c>
    </row>
    <row r="270" spans="1:10" x14ac:dyDescent="0.3">
      <c r="A270" s="6" t="s">
        <v>295</v>
      </c>
      <c r="B270" s="7" t="s">
        <v>13</v>
      </c>
      <c r="C270" s="8">
        <v>45601</v>
      </c>
      <c r="D270" s="7" t="s">
        <v>55</v>
      </c>
      <c r="E270" s="16">
        <v>8469</v>
      </c>
      <c r="F270" s="16">
        <v>935</v>
      </c>
      <c r="G270" s="20">
        <v>211</v>
      </c>
      <c r="H270" s="20">
        <v>2635</v>
      </c>
      <c r="I270" s="24">
        <v>21890</v>
      </c>
      <c r="J270" s="20">
        <v>184539</v>
      </c>
    </row>
    <row r="271" spans="1:10" x14ac:dyDescent="0.3">
      <c r="A271" s="6" t="s">
        <v>296</v>
      </c>
      <c r="B271" s="7" t="s">
        <v>13</v>
      </c>
      <c r="C271" s="8">
        <v>45672</v>
      </c>
      <c r="D271" s="7" t="s">
        <v>344</v>
      </c>
      <c r="E271" s="16">
        <v>11333</v>
      </c>
      <c r="F271" s="16">
        <v>920</v>
      </c>
      <c r="G271" s="20">
        <v>294</v>
      </c>
      <c r="H271" s="20">
        <v>606</v>
      </c>
      <c r="I271" s="24">
        <v>59490</v>
      </c>
      <c r="J271" s="20">
        <v>202082</v>
      </c>
    </row>
    <row r="272" spans="1:10" x14ac:dyDescent="0.3">
      <c r="A272" s="6" t="s">
        <v>297</v>
      </c>
      <c r="B272" s="7" t="s">
        <v>34</v>
      </c>
      <c r="C272" s="8">
        <v>45582</v>
      </c>
      <c r="D272" s="7" t="s">
        <v>345</v>
      </c>
      <c r="E272" s="16">
        <v>18608</v>
      </c>
      <c r="F272" s="16">
        <v>1338</v>
      </c>
      <c r="G272" s="20">
        <v>365</v>
      </c>
      <c r="H272" s="20">
        <v>2289</v>
      </c>
      <c r="I272" s="24">
        <v>20785</v>
      </c>
      <c r="J272" s="20">
        <v>161999</v>
      </c>
    </row>
    <row r="273" spans="1:10" x14ac:dyDescent="0.3">
      <c r="A273" s="6" t="s">
        <v>298</v>
      </c>
      <c r="B273" s="7" t="s">
        <v>17</v>
      </c>
      <c r="C273" s="8">
        <v>45743</v>
      </c>
      <c r="D273" s="7" t="s">
        <v>351</v>
      </c>
      <c r="E273" s="16">
        <v>14819</v>
      </c>
      <c r="F273" s="16">
        <v>1432</v>
      </c>
      <c r="G273" s="20">
        <v>152</v>
      </c>
      <c r="H273" s="20">
        <v>961</v>
      </c>
      <c r="I273" s="24">
        <v>39154</v>
      </c>
      <c r="J273" s="20">
        <v>154793</v>
      </c>
    </row>
    <row r="274" spans="1:10" x14ac:dyDescent="0.3">
      <c r="A274" s="6" t="s">
        <v>299</v>
      </c>
      <c r="B274" s="7" t="s">
        <v>17</v>
      </c>
      <c r="C274" s="8">
        <v>45577</v>
      </c>
      <c r="D274" s="7" t="s">
        <v>352</v>
      </c>
      <c r="E274" s="16">
        <v>6208</v>
      </c>
      <c r="F274" s="16">
        <v>725</v>
      </c>
      <c r="G274" s="20">
        <v>309</v>
      </c>
      <c r="H274" s="20">
        <v>848</v>
      </c>
      <c r="I274" s="24">
        <v>39319</v>
      </c>
      <c r="J274" s="20">
        <v>225763</v>
      </c>
    </row>
    <row r="275" spans="1:10" x14ac:dyDescent="0.3">
      <c r="A275" s="6" t="s">
        <v>300</v>
      </c>
      <c r="B275" s="7" t="s">
        <v>17</v>
      </c>
      <c r="C275" s="8">
        <v>45658</v>
      </c>
      <c r="D275" s="7" t="s">
        <v>347</v>
      </c>
      <c r="E275" s="16">
        <v>8283</v>
      </c>
      <c r="F275" s="16">
        <v>720</v>
      </c>
      <c r="G275" s="20">
        <v>888</v>
      </c>
      <c r="H275" s="20">
        <v>611</v>
      </c>
      <c r="I275" s="24">
        <v>52791</v>
      </c>
      <c r="J275" s="20">
        <v>235229</v>
      </c>
    </row>
    <row r="276" spans="1:10" x14ac:dyDescent="0.3">
      <c r="A276" s="6" t="s">
        <v>301</v>
      </c>
      <c r="B276" s="7" t="s">
        <v>20</v>
      </c>
      <c r="C276" s="8">
        <v>45509</v>
      </c>
      <c r="D276" s="7" t="s">
        <v>348</v>
      </c>
      <c r="E276" s="16">
        <v>4048</v>
      </c>
      <c r="F276" s="16">
        <v>751</v>
      </c>
      <c r="G276" s="20">
        <v>930</v>
      </c>
      <c r="H276" s="20">
        <v>1382</v>
      </c>
      <c r="I276" s="24">
        <v>16844</v>
      </c>
      <c r="J276" s="20">
        <v>148177</v>
      </c>
    </row>
    <row r="277" spans="1:10" x14ac:dyDescent="0.3">
      <c r="A277" s="6" t="s">
        <v>302</v>
      </c>
      <c r="B277" s="7" t="s">
        <v>17</v>
      </c>
      <c r="C277" s="8">
        <v>45450</v>
      </c>
      <c r="D277" s="7" t="s">
        <v>346</v>
      </c>
      <c r="E277" s="16">
        <v>8233</v>
      </c>
      <c r="F277" s="16">
        <v>436</v>
      </c>
      <c r="G277" s="20">
        <v>269</v>
      </c>
      <c r="H277" s="20">
        <v>2037</v>
      </c>
      <c r="I277" s="24">
        <v>8875</v>
      </c>
      <c r="J277" s="20">
        <v>52289</v>
      </c>
    </row>
    <row r="278" spans="1:10" x14ac:dyDescent="0.3">
      <c r="A278" s="6" t="s">
        <v>303</v>
      </c>
      <c r="B278" s="7" t="s">
        <v>20</v>
      </c>
      <c r="C278" s="8">
        <v>45753</v>
      </c>
      <c r="D278" s="7" t="s">
        <v>55</v>
      </c>
      <c r="E278" s="16">
        <v>14941</v>
      </c>
      <c r="F278" s="16">
        <v>1424</v>
      </c>
      <c r="G278" s="20">
        <v>238</v>
      </c>
      <c r="H278" s="20">
        <v>1054</v>
      </c>
      <c r="I278" s="24">
        <v>20516</v>
      </c>
      <c r="J278" s="20">
        <v>216048</v>
      </c>
    </row>
    <row r="279" spans="1:10" x14ac:dyDescent="0.3">
      <c r="A279" s="6" t="s">
        <v>304</v>
      </c>
      <c r="B279" s="7" t="s">
        <v>34</v>
      </c>
      <c r="C279" s="8">
        <v>45622</v>
      </c>
      <c r="D279" s="7" t="s">
        <v>347</v>
      </c>
      <c r="E279" s="16">
        <v>14607</v>
      </c>
      <c r="F279" s="16">
        <v>1458</v>
      </c>
      <c r="G279" s="20">
        <v>478</v>
      </c>
      <c r="H279" s="20">
        <v>334</v>
      </c>
      <c r="I279" s="24">
        <v>49257</v>
      </c>
      <c r="J279" s="20">
        <v>214668</v>
      </c>
    </row>
    <row r="280" spans="1:10" x14ac:dyDescent="0.3">
      <c r="A280" s="6" t="s">
        <v>305</v>
      </c>
      <c r="B280" s="7" t="s">
        <v>20</v>
      </c>
      <c r="C280" s="8">
        <v>45537</v>
      </c>
      <c r="D280" s="7" t="s">
        <v>346</v>
      </c>
      <c r="E280" s="16">
        <v>11765</v>
      </c>
      <c r="F280" s="16">
        <v>693</v>
      </c>
      <c r="G280" s="20">
        <v>729</v>
      </c>
      <c r="H280" s="20">
        <v>744</v>
      </c>
      <c r="I280" s="24">
        <v>97772</v>
      </c>
      <c r="J280" s="20">
        <v>194243</v>
      </c>
    </row>
    <row r="281" spans="1:10" x14ac:dyDescent="0.3">
      <c r="A281" s="6" t="s">
        <v>306</v>
      </c>
      <c r="B281" s="7" t="s">
        <v>34</v>
      </c>
      <c r="C281" s="8">
        <v>45918</v>
      </c>
      <c r="D281" s="7" t="s">
        <v>347</v>
      </c>
      <c r="E281" s="16">
        <v>3828</v>
      </c>
      <c r="F281" s="16">
        <v>203</v>
      </c>
      <c r="G281" s="20">
        <v>506</v>
      </c>
      <c r="H281" s="20">
        <v>2440</v>
      </c>
      <c r="I281" s="24">
        <v>63650</v>
      </c>
      <c r="J281" s="20">
        <v>126365</v>
      </c>
    </row>
    <row r="282" spans="1:10" x14ac:dyDescent="0.3">
      <c r="A282" s="6" t="s">
        <v>307</v>
      </c>
      <c r="B282" s="7" t="s">
        <v>17</v>
      </c>
      <c r="C282" s="8">
        <v>45738</v>
      </c>
      <c r="D282" s="7" t="s">
        <v>350</v>
      </c>
      <c r="E282" s="16">
        <v>3917</v>
      </c>
      <c r="F282" s="16">
        <v>865</v>
      </c>
      <c r="G282" s="20">
        <v>759</v>
      </c>
      <c r="H282" s="20">
        <v>2282</v>
      </c>
      <c r="I282" s="24">
        <v>56125</v>
      </c>
      <c r="J282" s="20">
        <v>154014</v>
      </c>
    </row>
    <row r="283" spans="1:10" x14ac:dyDescent="0.3">
      <c r="A283" s="6" t="s">
        <v>308</v>
      </c>
      <c r="B283" s="7" t="s">
        <v>17</v>
      </c>
      <c r="C283" s="8">
        <v>45568</v>
      </c>
      <c r="D283" s="7" t="s">
        <v>346</v>
      </c>
      <c r="E283" s="16">
        <v>22618</v>
      </c>
      <c r="F283" s="16">
        <v>641</v>
      </c>
      <c r="G283" s="20">
        <v>416</v>
      </c>
      <c r="H283" s="20">
        <v>1530</v>
      </c>
      <c r="I283" s="24">
        <v>18395</v>
      </c>
      <c r="J283" s="20">
        <v>215211</v>
      </c>
    </row>
    <row r="284" spans="1:10" x14ac:dyDescent="0.3">
      <c r="A284" s="6" t="s">
        <v>309</v>
      </c>
      <c r="B284" s="7" t="s">
        <v>34</v>
      </c>
      <c r="C284" s="8">
        <v>45786</v>
      </c>
      <c r="D284" s="7" t="s">
        <v>348</v>
      </c>
      <c r="E284" s="16">
        <v>8988</v>
      </c>
      <c r="F284" s="16">
        <v>228</v>
      </c>
      <c r="G284" s="20">
        <v>766</v>
      </c>
      <c r="H284" s="20">
        <v>652</v>
      </c>
      <c r="I284" s="24">
        <v>63789</v>
      </c>
      <c r="J284" s="20">
        <v>219785</v>
      </c>
    </row>
    <row r="285" spans="1:10" x14ac:dyDescent="0.3">
      <c r="A285" s="6" t="s">
        <v>310</v>
      </c>
      <c r="B285" s="7" t="s">
        <v>13</v>
      </c>
      <c r="C285" s="8">
        <v>45552</v>
      </c>
      <c r="D285" s="7" t="s">
        <v>347</v>
      </c>
      <c r="E285" s="16">
        <v>20410</v>
      </c>
      <c r="F285" s="16">
        <v>1332</v>
      </c>
      <c r="G285" s="20">
        <v>472</v>
      </c>
      <c r="H285" s="20">
        <v>1202</v>
      </c>
      <c r="I285" s="24">
        <v>9418</v>
      </c>
      <c r="J285" s="20">
        <v>200806</v>
      </c>
    </row>
    <row r="286" spans="1:10" x14ac:dyDescent="0.3">
      <c r="A286" s="6" t="s">
        <v>311</v>
      </c>
      <c r="B286" s="7" t="s">
        <v>34</v>
      </c>
      <c r="C286" s="8">
        <v>45491</v>
      </c>
      <c r="D286" s="7" t="s">
        <v>343</v>
      </c>
      <c r="E286" s="16">
        <v>16594</v>
      </c>
      <c r="F286" s="16">
        <v>809</v>
      </c>
      <c r="G286" s="20">
        <v>784</v>
      </c>
      <c r="H286" s="20">
        <v>1655</v>
      </c>
      <c r="I286" s="24">
        <v>35505</v>
      </c>
      <c r="J286" s="20">
        <v>112588</v>
      </c>
    </row>
    <row r="287" spans="1:10" x14ac:dyDescent="0.3">
      <c r="A287" s="6" t="s">
        <v>312</v>
      </c>
      <c r="B287" s="7" t="s">
        <v>13</v>
      </c>
      <c r="C287" s="8">
        <v>45919</v>
      </c>
      <c r="D287" s="7" t="s">
        <v>348</v>
      </c>
      <c r="E287" s="16">
        <v>22128</v>
      </c>
      <c r="F287" s="16">
        <v>1004</v>
      </c>
      <c r="G287" s="20">
        <v>690</v>
      </c>
      <c r="H287" s="20">
        <v>2048</v>
      </c>
      <c r="I287" s="24">
        <v>19443</v>
      </c>
      <c r="J287" s="20">
        <v>103646</v>
      </c>
    </row>
    <row r="288" spans="1:10" x14ac:dyDescent="0.3">
      <c r="A288" s="6" t="s">
        <v>313</v>
      </c>
      <c r="B288" s="7" t="s">
        <v>20</v>
      </c>
      <c r="C288" s="8">
        <v>45519</v>
      </c>
      <c r="D288" s="7" t="s">
        <v>346</v>
      </c>
      <c r="E288" s="16">
        <v>14977</v>
      </c>
      <c r="F288" s="16">
        <v>274</v>
      </c>
      <c r="G288" s="20">
        <v>798</v>
      </c>
      <c r="H288" s="20">
        <v>458</v>
      </c>
      <c r="I288" s="24">
        <v>6636</v>
      </c>
      <c r="J288" s="20">
        <v>43654</v>
      </c>
    </row>
    <row r="289" spans="1:10" x14ac:dyDescent="0.3">
      <c r="A289" s="6" t="s">
        <v>314</v>
      </c>
      <c r="B289" s="7" t="s">
        <v>20</v>
      </c>
      <c r="C289" s="8">
        <v>45764</v>
      </c>
      <c r="D289" s="7" t="s">
        <v>348</v>
      </c>
      <c r="E289" s="16">
        <v>2009</v>
      </c>
      <c r="F289" s="16">
        <v>1037</v>
      </c>
      <c r="G289" s="20">
        <v>344</v>
      </c>
      <c r="H289" s="20">
        <v>2277</v>
      </c>
      <c r="I289" s="24">
        <v>85743</v>
      </c>
      <c r="J289" s="20">
        <v>58743</v>
      </c>
    </row>
    <row r="290" spans="1:10" x14ac:dyDescent="0.3">
      <c r="A290" s="6" t="s">
        <v>315</v>
      </c>
      <c r="B290" s="7" t="s">
        <v>20</v>
      </c>
      <c r="C290" s="8">
        <v>45624</v>
      </c>
      <c r="D290" s="7" t="s">
        <v>347</v>
      </c>
      <c r="E290" s="16">
        <v>18644</v>
      </c>
      <c r="F290" s="16">
        <v>1369</v>
      </c>
      <c r="G290" s="20">
        <v>887</v>
      </c>
      <c r="H290" s="20">
        <v>1256</v>
      </c>
      <c r="I290" s="24">
        <v>43415</v>
      </c>
      <c r="J290" s="20">
        <v>88368</v>
      </c>
    </row>
    <row r="291" spans="1:10" x14ac:dyDescent="0.3">
      <c r="A291" s="6" t="s">
        <v>316</v>
      </c>
      <c r="B291" s="7" t="s">
        <v>17</v>
      </c>
      <c r="C291" s="8">
        <v>45920</v>
      </c>
      <c r="D291" s="7" t="s">
        <v>28</v>
      </c>
      <c r="E291" s="16">
        <v>24422</v>
      </c>
      <c r="F291" s="16">
        <v>327</v>
      </c>
      <c r="G291" s="20">
        <v>481</v>
      </c>
      <c r="H291" s="20">
        <v>2371</v>
      </c>
      <c r="I291" s="24">
        <v>35340</v>
      </c>
      <c r="J291" s="20">
        <v>245244</v>
      </c>
    </row>
    <row r="292" spans="1:10" x14ac:dyDescent="0.3">
      <c r="A292" s="6" t="s">
        <v>317</v>
      </c>
      <c r="B292" s="7" t="s">
        <v>20</v>
      </c>
      <c r="C292" s="8">
        <v>45602</v>
      </c>
      <c r="D292" s="7" t="s">
        <v>347</v>
      </c>
      <c r="E292" s="16">
        <v>11865</v>
      </c>
      <c r="F292" s="16">
        <v>241</v>
      </c>
      <c r="G292" s="20">
        <v>319</v>
      </c>
      <c r="H292" s="20">
        <v>703</v>
      </c>
      <c r="I292" s="24">
        <v>69596</v>
      </c>
      <c r="J292" s="20">
        <v>177513</v>
      </c>
    </row>
    <row r="293" spans="1:10" x14ac:dyDescent="0.3">
      <c r="A293" s="6" t="s">
        <v>318</v>
      </c>
      <c r="B293" s="7" t="s">
        <v>13</v>
      </c>
      <c r="C293" s="8">
        <v>45613</v>
      </c>
      <c r="D293" s="7" t="s">
        <v>347</v>
      </c>
      <c r="E293" s="16">
        <v>4219</v>
      </c>
      <c r="F293" s="16">
        <v>240</v>
      </c>
      <c r="G293" s="20">
        <v>670</v>
      </c>
      <c r="H293" s="20">
        <v>815</v>
      </c>
      <c r="I293" s="24">
        <v>11978</v>
      </c>
      <c r="J293" s="20">
        <v>159735</v>
      </c>
    </row>
    <row r="294" spans="1:10" x14ac:dyDescent="0.3">
      <c r="A294" s="6" t="s">
        <v>319</v>
      </c>
      <c r="B294" s="7" t="s">
        <v>20</v>
      </c>
      <c r="C294" s="8">
        <v>45791</v>
      </c>
      <c r="D294" s="7" t="s">
        <v>350</v>
      </c>
      <c r="E294" s="16">
        <v>9041</v>
      </c>
      <c r="F294" s="16">
        <v>1133</v>
      </c>
      <c r="G294" s="20">
        <v>612</v>
      </c>
      <c r="H294" s="20">
        <v>1687</v>
      </c>
      <c r="I294" s="24">
        <v>28102</v>
      </c>
      <c r="J294" s="20">
        <v>195683</v>
      </c>
    </row>
    <row r="295" spans="1:10" x14ac:dyDescent="0.3">
      <c r="A295" s="6" t="s">
        <v>320</v>
      </c>
      <c r="B295" s="7" t="s">
        <v>34</v>
      </c>
      <c r="C295" s="8">
        <v>45462</v>
      </c>
      <c r="D295" s="7" t="s">
        <v>351</v>
      </c>
      <c r="E295" s="16">
        <v>20444</v>
      </c>
      <c r="F295" s="16">
        <v>233</v>
      </c>
      <c r="G295" s="20">
        <v>189</v>
      </c>
      <c r="H295" s="20">
        <v>2879</v>
      </c>
      <c r="I295" s="24">
        <v>28185</v>
      </c>
      <c r="J295" s="20">
        <v>159891</v>
      </c>
    </row>
    <row r="296" spans="1:10" x14ac:dyDescent="0.3">
      <c r="A296" s="6" t="s">
        <v>321</v>
      </c>
      <c r="B296" s="7" t="s">
        <v>34</v>
      </c>
      <c r="C296" s="8">
        <v>45783</v>
      </c>
      <c r="D296" s="7" t="s">
        <v>343</v>
      </c>
      <c r="E296" s="16">
        <v>7287</v>
      </c>
      <c r="F296" s="16">
        <v>1240</v>
      </c>
      <c r="G296" s="20">
        <v>686</v>
      </c>
      <c r="H296" s="20">
        <v>1255</v>
      </c>
      <c r="I296" s="24">
        <v>15403</v>
      </c>
      <c r="J296" s="20">
        <v>147971</v>
      </c>
    </row>
    <row r="297" spans="1:10" x14ac:dyDescent="0.3">
      <c r="A297" s="6" t="s">
        <v>322</v>
      </c>
      <c r="B297" s="7" t="s">
        <v>17</v>
      </c>
      <c r="C297" s="8">
        <v>45699</v>
      </c>
      <c r="D297" s="7" t="s">
        <v>352</v>
      </c>
      <c r="E297" s="16">
        <v>3619</v>
      </c>
      <c r="F297" s="16">
        <v>1376</v>
      </c>
      <c r="G297" s="20">
        <v>410</v>
      </c>
      <c r="H297" s="20">
        <v>2499</v>
      </c>
      <c r="I297" s="24">
        <v>58146</v>
      </c>
      <c r="J297" s="20">
        <v>52149</v>
      </c>
    </row>
    <row r="298" spans="1:10" x14ac:dyDescent="0.3">
      <c r="A298" s="6" t="s">
        <v>323</v>
      </c>
      <c r="B298" s="7" t="s">
        <v>34</v>
      </c>
      <c r="C298" s="8">
        <v>45650</v>
      </c>
      <c r="D298" s="7" t="s">
        <v>55</v>
      </c>
      <c r="E298" s="16">
        <v>10512</v>
      </c>
      <c r="F298" s="16">
        <v>1197</v>
      </c>
      <c r="G298" s="20">
        <v>544</v>
      </c>
      <c r="H298" s="20">
        <v>2012</v>
      </c>
      <c r="I298" s="24">
        <v>10245</v>
      </c>
      <c r="J298" s="20">
        <v>140102</v>
      </c>
    </row>
    <row r="299" spans="1:10" x14ac:dyDescent="0.3">
      <c r="A299" s="6" t="s">
        <v>324</v>
      </c>
      <c r="B299" s="7" t="s">
        <v>13</v>
      </c>
      <c r="C299" s="8">
        <v>45924</v>
      </c>
      <c r="D299" s="7" t="s">
        <v>349</v>
      </c>
      <c r="E299" s="16">
        <v>3342</v>
      </c>
      <c r="F299" s="16">
        <v>787</v>
      </c>
      <c r="G299" s="20">
        <v>375</v>
      </c>
      <c r="H299" s="20">
        <v>907</v>
      </c>
      <c r="I299" s="24">
        <v>85823</v>
      </c>
      <c r="J299" s="20">
        <v>99189</v>
      </c>
    </row>
    <row r="300" spans="1:10" x14ac:dyDescent="0.3">
      <c r="A300" s="6" t="s">
        <v>325</v>
      </c>
      <c r="B300" s="7" t="s">
        <v>20</v>
      </c>
      <c r="C300" s="8">
        <v>45925</v>
      </c>
      <c r="D300" s="7" t="s">
        <v>351</v>
      </c>
      <c r="E300" s="16">
        <v>12568</v>
      </c>
      <c r="F300" s="16">
        <v>541</v>
      </c>
      <c r="G300" s="20">
        <v>273</v>
      </c>
      <c r="H300" s="20">
        <v>2767</v>
      </c>
      <c r="I300" s="24">
        <v>22331</v>
      </c>
      <c r="J300" s="20">
        <v>192747</v>
      </c>
    </row>
    <row r="301" spans="1:10" x14ac:dyDescent="0.3">
      <c r="A301" s="10" t="s">
        <v>326</v>
      </c>
      <c r="B301" s="11" t="s">
        <v>17</v>
      </c>
      <c r="C301" s="12">
        <v>45926</v>
      </c>
      <c r="D301" s="11" t="s">
        <v>349</v>
      </c>
      <c r="E301" s="17">
        <v>21216</v>
      </c>
      <c r="F301" s="17">
        <v>226</v>
      </c>
      <c r="G301" s="21">
        <v>187</v>
      </c>
      <c r="H301" s="21">
        <v>1573</v>
      </c>
      <c r="I301" s="25">
        <v>62688</v>
      </c>
      <c r="J301" s="21">
        <v>111031</v>
      </c>
    </row>
  </sheetData>
  <conditionalFormatting sqref="A1:A301">
    <cfRule type="duplicateValues" dxfId="45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26BA-DD2F-4CD9-997B-5BE6E2784266}">
  <dimension ref="A1:AG301"/>
  <sheetViews>
    <sheetView workbookViewId="0">
      <selection activeCell="L2" sqref="L2:L8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16.77734375" bestFit="1" customWidth="1"/>
    <col min="5" max="5" width="31.88671875" bestFit="1" customWidth="1"/>
    <col min="8" max="8" width="12.33203125" bestFit="1" customWidth="1"/>
    <col min="9" max="9" width="7.88671875" bestFit="1" customWidth="1"/>
    <col min="10" max="10" width="8.33203125" bestFit="1" customWidth="1"/>
    <col min="11" max="11" width="13.21875" bestFit="1" customWidth="1"/>
    <col min="12" max="12" width="17.6640625" bestFit="1" customWidth="1"/>
    <col min="13" max="13" width="26" bestFit="1" customWidth="1"/>
  </cols>
  <sheetData>
    <row r="1" spans="1:33" x14ac:dyDescent="0.3">
      <c r="A1" t="s">
        <v>0</v>
      </c>
      <c r="B1" t="s">
        <v>1</v>
      </c>
      <c r="C1" s="73" t="s">
        <v>2</v>
      </c>
      <c r="D1" t="s">
        <v>3</v>
      </c>
      <c r="E1" t="s">
        <v>4</v>
      </c>
      <c r="F1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33" t="s">
        <v>353</v>
      </c>
      <c r="M1" t="s">
        <v>11</v>
      </c>
    </row>
    <row r="2" spans="1:33" ht="15.6" x14ac:dyDescent="0.3">
      <c r="A2" t="s">
        <v>108</v>
      </c>
      <c r="B2" t="s">
        <v>17</v>
      </c>
      <c r="C2" s="73">
        <v>45497</v>
      </c>
      <c r="D2" t="s">
        <v>24</v>
      </c>
      <c r="E2" t="s">
        <v>347</v>
      </c>
      <c r="F2" s="18">
        <v>22914</v>
      </c>
      <c r="G2" s="18">
        <v>954</v>
      </c>
      <c r="H2" s="18">
        <v>584</v>
      </c>
      <c r="I2" s="18">
        <v>1519</v>
      </c>
      <c r="J2" s="18">
        <v>13637</v>
      </c>
      <c r="K2" s="18">
        <v>49847</v>
      </c>
      <c r="L2" s="33">
        <v>0.49054105563022848</v>
      </c>
      <c r="M2" t="s">
        <v>15</v>
      </c>
      <c r="O2" s="179" t="s">
        <v>483</v>
      </c>
      <c r="P2" s="149"/>
      <c r="Q2" s="149"/>
      <c r="R2" s="149"/>
      <c r="S2" s="149"/>
      <c r="T2" s="149"/>
      <c r="U2" s="150"/>
      <c r="V2" s="150"/>
      <c r="W2" s="150"/>
      <c r="X2" s="135"/>
    </row>
    <row r="3" spans="1:33" ht="15.6" x14ac:dyDescent="0.3">
      <c r="A3" t="s">
        <v>227</v>
      </c>
      <c r="B3" t="s">
        <v>13</v>
      </c>
      <c r="C3" s="73">
        <v>45672</v>
      </c>
      <c r="D3" t="s">
        <v>21</v>
      </c>
      <c r="E3" t="s">
        <v>28</v>
      </c>
      <c r="F3" s="18">
        <v>20360</v>
      </c>
      <c r="G3" s="18">
        <v>254</v>
      </c>
      <c r="H3" s="18">
        <v>726</v>
      </c>
      <c r="I3" s="18">
        <v>1995</v>
      </c>
      <c r="J3" s="18">
        <v>14280</v>
      </c>
      <c r="K3" s="18">
        <v>43726</v>
      </c>
      <c r="L3" s="33">
        <v>0.48803915290673738</v>
      </c>
      <c r="M3" t="s">
        <v>25</v>
      </c>
      <c r="O3" s="180" t="s">
        <v>466</v>
      </c>
      <c r="P3" s="150"/>
      <c r="Q3" s="150"/>
      <c r="R3" s="150"/>
      <c r="S3" s="150"/>
      <c r="T3" s="150"/>
      <c r="U3" s="150"/>
      <c r="V3" s="150"/>
      <c r="W3" s="150"/>
      <c r="X3" s="135"/>
    </row>
    <row r="4" spans="1:33" ht="15.6" x14ac:dyDescent="0.3">
      <c r="A4" t="s">
        <v>147</v>
      </c>
      <c r="B4" t="s">
        <v>17</v>
      </c>
      <c r="C4" s="73">
        <v>45502</v>
      </c>
      <c r="D4" t="s">
        <v>24</v>
      </c>
      <c r="E4" t="s">
        <v>343</v>
      </c>
      <c r="F4" s="18">
        <v>19144</v>
      </c>
      <c r="G4" s="18">
        <v>1182</v>
      </c>
      <c r="H4" s="18">
        <v>860</v>
      </c>
      <c r="I4" s="18">
        <v>1398</v>
      </c>
      <c r="J4" s="18">
        <v>4185</v>
      </c>
      <c r="K4" s="18">
        <v>46570</v>
      </c>
      <c r="L4" s="33">
        <v>0.454928065278076</v>
      </c>
      <c r="M4" t="s">
        <v>15</v>
      </c>
      <c r="O4" s="180" t="s">
        <v>428</v>
      </c>
      <c r="P4" s="150"/>
      <c r="Q4" s="150"/>
      <c r="R4" s="150"/>
      <c r="S4" s="150"/>
      <c r="T4" s="150"/>
      <c r="U4" s="150"/>
      <c r="V4" s="150"/>
      <c r="W4" s="150"/>
      <c r="X4" s="135"/>
    </row>
    <row r="5" spans="1:33" ht="15.6" x14ac:dyDescent="0.3">
      <c r="A5" t="s">
        <v>153</v>
      </c>
      <c r="B5" t="s">
        <v>34</v>
      </c>
      <c r="C5" s="73">
        <v>45684</v>
      </c>
      <c r="D5" t="s">
        <v>14</v>
      </c>
      <c r="E5" t="s">
        <v>350</v>
      </c>
      <c r="F5" s="18">
        <v>24415</v>
      </c>
      <c r="G5" s="18">
        <v>860</v>
      </c>
      <c r="H5" s="18">
        <v>931</v>
      </c>
      <c r="I5" s="18">
        <v>320</v>
      </c>
      <c r="J5" s="18">
        <v>65049</v>
      </c>
      <c r="K5" s="18">
        <v>62911</v>
      </c>
      <c r="L5" s="33">
        <v>0.41655672298962027</v>
      </c>
      <c r="M5" t="s">
        <v>15</v>
      </c>
      <c r="O5" s="180" t="s">
        <v>429</v>
      </c>
      <c r="P5" s="150"/>
      <c r="Q5" s="150"/>
      <c r="R5" s="150"/>
      <c r="S5" s="150"/>
      <c r="T5" s="150"/>
      <c r="U5" s="150"/>
      <c r="V5" s="150"/>
      <c r="W5" s="150"/>
      <c r="X5" s="135"/>
    </row>
    <row r="6" spans="1:33" ht="15.6" x14ac:dyDescent="0.3">
      <c r="A6" t="s">
        <v>37</v>
      </c>
      <c r="B6" t="s">
        <v>13</v>
      </c>
      <c r="C6" s="73">
        <v>45614</v>
      </c>
      <c r="D6" t="s">
        <v>30</v>
      </c>
      <c r="E6" t="s">
        <v>347</v>
      </c>
      <c r="F6" s="18">
        <v>21255</v>
      </c>
      <c r="G6" s="18">
        <v>1452</v>
      </c>
      <c r="H6" s="18">
        <v>625</v>
      </c>
      <c r="I6" s="18">
        <v>1624</v>
      </c>
      <c r="J6" s="18">
        <v>21282</v>
      </c>
      <c r="K6" s="18">
        <v>57778</v>
      </c>
      <c r="L6" s="33">
        <v>0.40382152376337016</v>
      </c>
      <c r="M6" t="s">
        <v>38</v>
      </c>
      <c r="O6" s="180" t="s">
        <v>430</v>
      </c>
      <c r="P6" s="150"/>
      <c r="Q6" s="150"/>
      <c r="R6" s="150"/>
      <c r="S6" s="150"/>
      <c r="T6" s="150"/>
      <c r="U6" s="150"/>
      <c r="V6" s="150"/>
      <c r="W6" s="150"/>
      <c r="X6" s="135"/>
    </row>
    <row r="7" spans="1:33" ht="15.6" x14ac:dyDescent="0.3">
      <c r="A7" t="s">
        <v>149</v>
      </c>
      <c r="B7" t="s">
        <v>34</v>
      </c>
      <c r="C7" s="73">
        <v>45457</v>
      </c>
      <c r="D7" t="s">
        <v>24</v>
      </c>
      <c r="E7" t="s">
        <v>350</v>
      </c>
      <c r="F7" s="18">
        <v>17183</v>
      </c>
      <c r="G7" s="18">
        <v>1224</v>
      </c>
      <c r="H7" s="18">
        <v>943</v>
      </c>
      <c r="I7" s="18">
        <v>2010</v>
      </c>
      <c r="J7" s="18">
        <v>21481</v>
      </c>
      <c r="K7" s="18">
        <v>49110</v>
      </c>
      <c r="L7" s="33">
        <v>0.39401343921808185</v>
      </c>
      <c r="M7" t="s">
        <v>22</v>
      </c>
      <c r="O7" s="180" t="s">
        <v>431</v>
      </c>
      <c r="P7" s="150"/>
      <c r="Q7" s="150"/>
      <c r="R7" s="150"/>
      <c r="S7" s="150"/>
      <c r="T7" s="150"/>
      <c r="U7" s="150"/>
      <c r="V7" s="150"/>
      <c r="W7" s="150"/>
      <c r="X7" s="135"/>
    </row>
    <row r="8" spans="1:33" x14ac:dyDescent="0.3">
      <c r="A8" t="s">
        <v>313</v>
      </c>
      <c r="B8" t="s">
        <v>20</v>
      </c>
      <c r="C8" s="73">
        <v>45519</v>
      </c>
      <c r="D8" t="s">
        <v>24</v>
      </c>
      <c r="E8" t="s">
        <v>346</v>
      </c>
      <c r="F8" s="18">
        <v>14977</v>
      </c>
      <c r="G8" s="18">
        <v>274</v>
      </c>
      <c r="H8" s="18">
        <v>798</v>
      </c>
      <c r="I8" s="18">
        <v>458</v>
      </c>
      <c r="J8" s="18">
        <v>6636</v>
      </c>
      <c r="K8" s="18">
        <v>43654</v>
      </c>
      <c r="L8" s="33">
        <v>0.36764099509781462</v>
      </c>
      <c r="M8" t="s">
        <v>15</v>
      </c>
    </row>
    <row r="9" spans="1:33" ht="18" x14ac:dyDescent="0.35">
      <c r="A9" t="s">
        <v>252</v>
      </c>
      <c r="B9" t="s">
        <v>34</v>
      </c>
      <c r="C9" s="73">
        <v>45908</v>
      </c>
      <c r="D9" t="s">
        <v>21</v>
      </c>
      <c r="E9" t="s">
        <v>348</v>
      </c>
      <c r="F9" s="18">
        <v>23785</v>
      </c>
      <c r="G9" s="18">
        <v>1013</v>
      </c>
      <c r="H9" s="18">
        <v>468</v>
      </c>
      <c r="I9" s="18">
        <v>1628</v>
      </c>
      <c r="J9" s="18">
        <v>8272</v>
      </c>
      <c r="K9" s="18">
        <v>71348</v>
      </c>
      <c r="L9" s="33">
        <v>0.35412345125301342</v>
      </c>
      <c r="M9" t="s">
        <v>18</v>
      </c>
      <c r="O9" s="144" t="s">
        <v>441</v>
      </c>
      <c r="P9" s="142"/>
      <c r="Q9" s="142"/>
      <c r="R9" s="142"/>
      <c r="S9" s="142"/>
      <c r="T9" s="142"/>
      <c r="U9" s="137"/>
      <c r="V9" s="137"/>
      <c r="W9" s="137"/>
      <c r="X9" s="137"/>
      <c r="Y9" s="137"/>
      <c r="Z9" s="137"/>
    </row>
    <row r="10" spans="1:33" ht="18" x14ac:dyDescent="0.3">
      <c r="A10" t="s">
        <v>257</v>
      </c>
      <c r="B10" t="s">
        <v>34</v>
      </c>
      <c r="C10" s="73">
        <v>45909</v>
      </c>
      <c r="D10" t="s">
        <v>14</v>
      </c>
      <c r="E10" t="s">
        <v>347</v>
      </c>
      <c r="F10" s="18">
        <v>19260</v>
      </c>
      <c r="G10" s="18">
        <v>668</v>
      </c>
      <c r="H10" s="18">
        <v>994</v>
      </c>
      <c r="I10" s="18">
        <v>934</v>
      </c>
      <c r="J10" s="18">
        <v>20509</v>
      </c>
      <c r="K10" s="18">
        <v>61636</v>
      </c>
      <c r="L10" s="33">
        <v>0.33944448049841003</v>
      </c>
      <c r="M10" t="s">
        <v>18</v>
      </c>
      <c r="O10" s="144" t="s">
        <v>442</v>
      </c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29"/>
      <c r="AB10" s="129"/>
      <c r="AC10" s="129"/>
      <c r="AD10" s="129"/>
      <c r="AE10" s="129"/>
      <c r="AF10" s="129"/>
      <c r="AG10" s="129"/>
    </row>
    <row r="11" spans="1:33" ht="18" x14ac:dyDescent="0.35">
      <c r="A11" t="s">
        <v>211</v>
      </c>
      <c r="B11" t="s">
        <v>20</v>
      </c>
      <c r="C11" s="73">
        <v>45668</v>
      </c>
      <c r="D11" t="s">
        <v>14</v>
      </c>
      <c r="E11" t="s">
        <v>344</v>
      </c>
      <c r="F11" s="18">
        <v>21181</v>
      </c>
      <c r="G11" s="18">
        <v>1242</v>
      </c>
      <c r="H11" s="18">
        <v>963</v>
      </c>
      <c r="I11" s="18">
        <v>1689</v>
      </c>
      <c r="J11" s="18">
        <v>49329</v>
      </c>
      <c r="K11" s="18">
        <v>69165</v>
      </c>
      <c r="L11" s="33">
        <v>0.33811899081905589</v>
      </c>
      <c r="M11" t="s">
        <v>15</v>
      </c>
      <c r="O11" s="142" t="s">
        <v>443</v>
      </c>
      <c r="P11" s="142"/>
      <c r="Q11" s="142"/>
      <c r="R11" s="142"/>
      <c r="S11" s="142"/>
      <c r="T11" s="142"/>
      <c r="U11" s="142"/>
      <c r="V11" s="142"/>
      <c r="W11" s="137"/>
      <c r="X11" s="137"/>
      <c r="Y11" s="137"/>
      <c r="Z11" s="137"/>
    </row>
    <row r="12" spans="1:33" x14ac:dyDescent="0.3">
      <c r="A12" t="s">
        <v>132</v>
      </c>
      <c r="B12" t="s">
        <v>34</v>
      </c>
      <c r="C12" s="73">
        <v>45692</v>
      </c>
      <c r="D12" t="s">
        <v>30</v>
      </c>
      <c r="E12" t="s">
        <v>348</v>
      </c>
      <c r="F12" s="18">
        <v>23833</v>
      </c>
      <c r="G12" s="18">
        <v>555</v>
      </c>
      <c r="H12" s="18">
        <v>523</v>
      </c>
      <c r="I12" s="18">
        <v>1330</v>
      </c>
      <c r="J12" s="18">
        <v>69141</v>
      </c>
      <c r="K12" s="18">
        <v>73997</v>
      </c>
      <c r="L12" s="33">
        <v>0.33664878305877266</v>
      </c>
      <c r="M12" t="s">
        <v>25</v>
      </c>
    </row>
    <row r="13" spans="1:33" x14ac:dyDescent="0.3">
      <c r="A13" t="s">
        <v>200</v>
      </c>
      <c r="B13" t="s">
        <v>17</v>
      </c>
      <c r="C13" s="73">
        <v>45465</v>
      </c>
      <c r="D13" t="s">
        <v>30</v>
      </c>
      <c r="E13" t="s">
        <v>343</v>
      </c>
      <c r="F13" s="18">
        <v>13479</v>
      </c>
      <c r="G13" s="18">
        <v>1189</v>
      </c>
      <c r="H13" s="18">
        <v>695</v>
      </c>
      <c r="I13" s="18">
        <v>416</v>
      </c>
      <c r="J13" s="18">
        <v>30229</v>
      </c>
      <c r="K13" s="18">
        <v>45704</v>
      </c>
      <c r="L13" s="33">
        <v>0.33614125678277612</v>
      </c>
      <c r="M13" t="s">
        <v>15</v>
      </c>
    </row>
    <row r="14" spans="1:33" x14ac:dyDescent="0.3">
      <c r="A14" t="s">
        <v>280</v>
      </c>
      <c r="B14" t="s">
        <v>20</v>
      </c>
      <c r="C14" s="73">
        <v>45671</v>
      </c>
      <c r="D14" t="s">
        <v>30</v>
      </c>
      <c r="E14" t="s">
        <v>350</v>
      </c>
      <c r="F14" s="18">
        <v>24350</v>
      </c>
      <c r="G14" s="18">
        <v>460</v>
      </c>
      <c r="H14" s="18">
        <v>666</v>
      </c>
      <c r="I14" s="18">
        <v>814</v>
      </c>
      <c r="J14" s="18">
        <v>21120</v>
      </c>
      <c r="K14" s="18">
        <v>76914</v>
      </c>
      <c r="L14" s="33">
        <v>0.33122708479600593</v>
      </c>
      <c r="M14" t="s">
        <v>15</v>
      </c>
    </row>
    <row r="15" spans="1:33" x14ac:dyDescent="0.3">
      <c r="A15" t="s">
        <v>249</v>
      </c>
      <c r="B15" t="s">
        <v>34</v>
      </c>
      <c r="C15" s="73">
        <v>45608</v>
      </c>
      <c r="D15" t="s">
        <v>24</v>
      </c>
      <c r="E15" t="s">
        <v>345</v>
      </c>
      <c r="F15" s="18">
        <v>17913</v>
      </c>
      <c r="G15" s="18">
        <v>1311</v>
      </c>
      <c r="H15" s="18">
        <v>859</v>
      </c>
      <c r="I15" s="18">
        <v>405</v>
      </c>
      <c r="J15" s="18">
        <v>59842</v>
      </c>
      <c r="K15" s="18">
        <v>62612</v>
      </c>
      <c r="L15" s="33">
        <v>0.32075321024723696</v>
      </c>
      <c r="M15" t="s">
        <v>22</v>
      </c>
    </row>
    <row r="16" spans="1:33" x14ac:dyDescent="0.3">
      <c r="A16" t="s">
        <v>190</v>
      </c>
      <c r="B16" t="s">
        <v>17</v>
      </c>
      <c r="C16" s="73">
        <v>45715</v>
      </c>
      <c r="D16" t="s">
        <v>14</v>
      </c>
      <c r="E16" t="s">
        <v>344</v>
      </c>
      <c r="F16" s="18">
        <v>16178</v>
      </c>
      <c r="G16" s="18">
        <v>1048</v>
      </c>
      <c r="H16" s="18">
        <v>871</v>
      </c>
      <c r="I16" s="18">
        <v>2553</v>
      </c>
      <c r="J16" s="18">
        <v>39025</v>
      </c>
      <c r="K16" s="18">
        <v>59508</v>
      </c>
      <c r="L16" s="33">
        <v>0.30411037171472743</v>
      </c>
      <c r="M16" t="s">
        <v>15</v>
      </c>
    </row>
    <row r="17" spans="1:13" x14ac:dyDescent="0.3">
      <c r="A17" t="s">
        <v>177</v>
      </c>
      <c r="B17" t="s">
        <v>13</v>
      </c>
      <c r="C17" s="73">
        <v>45499</v>
      </c>
      <c r="D17" t="s">
        <v>24</v>
      </c>
      <c r="E17" t="s">
        <v>55</v>
      </c>
      <c r="F17" s="18">
        <v>18282</v>
      </c>
      <c r="G17" s="18">
        <v>224</v>
      </c>
      <c r="H17" s="18">
        <v>962</v>
      </c>
      <c r="I17" s="18">
        <v>890</v>
      </c>
      <c r="J17" s="18">
        <v>35105</v>
      </c>
      <c r="K17" s="18">
        <v>64089</v>
      </c>
      <c r="L17" s="33">
        <v>0.30376507669022768</v>
      </c>
      <c r="M17" t="s">
        <v>25</v>
      </c>
    </row>
    <row r="18" spans="1:13" x14ac:dyDescent="0.3">
      <c r="A18" t="s">
        <v>166</v>
      </c>
      <c r="B18" t="s">
        <v>20</v>
      </c>
      <c r="C18" s="73">
        <v>45488</v>
      </c>
      <c r="D18" t="s">
        <v>21</v>
      </c>
      <c r="E18" t="s">
        <v>347</v>
      </c>
      <c r="F18" s="18">
        <v>14891</v>
      </c>
      <c r="G18" s="18">
        <v>674</v>
      </c>
      <c r="H18" s="18">
        <v>521</v>
      </c>
      <c r="I18" s="18">
        <v>1091</v>
      </c>
      <c r="J18" s="18">
        <v>18101</v>
      </c>
      <c r="K18" s="18">
        <v>53669</v>
      </c>
      <c r="L18" s="33">
        <v>0.29972609886526674</v>
      </c>
      <c r="M18" t="s">
        <v>15</v>
      </c>
    </row>
    <row r="19" spans="1:13" x14ac:dyDescent="0.3">
      <c r="A19" t="s">
        <v>109</v>
      </c>
      <c r="B19" t="s">
        <v>20</v>
      </c>
      <c r="C19" s="73">
        <v>45580</v>
      </c>
      <c r="D19" t="s">
        <v>30</v>
      </c>
      <c r="E19" t="s">
        <v>28</v>
      </c>
      <c r="F19" s="18">
        <v>17781</v>
      </c>
      <c r="G19" s="18">
        <v>993</v>
      </c>
      <c r="H19" s="18">
        <v>627</v>
      </c>
      <c r="I19" s="18">
        <v>2187</v>
      </c>
      <c r="J19" s="18">
        <v>9609</v>
      </c>
      <c r="K19" s="18">
        <v>66155</v>
      </c>
      <c r="L19" s="33">
        <v>0.29326581513113142</v>
      </c>
      <c r="M19" t="s">
        <v>25</v>
      </c>
    </row>
    <row r="20" spans="1:13" x14ac:dyDescent="0.3">
      <c r="A20" t="s">
        <v>222</v>
      </c>
      <c r="B20" t="s">
        <v>34</v>
      </c>
      <c r="C20" s="73">
        <v>45918</v>
      </c>
      <c r="D20" t="s">
        <v>21</v>
      </c>
      <c r="E20" t="s">
        <v>55</v>
      </c>
      <c r="F20" s="18">
        <v>10152</v>
      </c>
      <c r="G20" s="18">
        <v>1445</v>
      </c>
      <c r="H20" s="18">
        <v>526</v>
      </c>
      <c r="I20" s="18">
        <v>513</v>
      </c>
      <c r="J20" s="18">
        <v>18959</v>
      </c>
      <c r="K20" s="18">
        <v>43712</v>
      </c>
      <c r="L20" s="33">
        <v>0.27733803074670571</v>
      </c>
      <c r="M20" t="s">
        <v>18</v>
      </c>
    </row>
    <row r="21" spans="1:13" x14ac:dyDescent="0.3">
      <c r="A21" t="s">
        <v>162</v>
      </c>
      <c r="B21" t="s">
        <v>20</v>
      </c>
      <c r="C21" s="73">
        <v>45932</v>
      </c>
      <c r="D21" t="s">
        <v>30</v>
      </c>
      <c r="E21" t="s">
        <v>345</v>
      </c>
      <c r="F21" s="18">
        <v>12161</v>
      </c>
      <c r="G21" s="18">
        <v>736</v>
      </c>
      <c r="H21" s="18">
        <v>876</v>
      </c>
      <c r="I21" s="18">
        <v>1233</v>
      </c>
      <c r="J21" s="18">
        <v>21337</v>
      </c>
      <c r="K21" s="18">
        <v>50225</v>
      </c>
      <c r="L21" s="33">
        <v>0.27422598307615731</v>
      </c>
      <c r="M21" t="s">
        <v>18</v>
      </c>
    </row>
    <row r="22" spans="1:13" x14ac:dyDescent="0.3">
      <c r="A22" t="s">
        <v>26</v>
      </c>
      <c r="B22" t="s">
        <v>13</v>
      </c>
      <c r="C22" s="73">
        <v>45904</v>
      </c>
      <c r="D22" t="s">
        <v>24</v>
      </c>
      <c r="E22" t="s">
        <v>343</v>
      </c>
      <c r="F22" s="18">
        <v>21708</v>
      </c>
      <c r="G22" s="18">
        <v>435</v>
      </c>
      <c r="H22" s="18">
        <v>317</v>
      </c>
      <c r="I22" s="18">
        <v>1213</v>
      </c>
      <c r="J22" s="18">
        <v>70701</v>
      </c>
      <c r="K22" s="18">
        <v>83585</v>
      </c>
      <c r="L22" s="33">
        <v>0.26870850032900639</v>
      </c>
      <c r="M22" t="s">
        <v>18</v>
      </c>
    </row>
    <row r="23" spans="1:13" x14ac:dyDescent="0.3">
      <c r="A23" t="s">
        <v>106</v>
      </c>
      <c r="B23" t="s">
        <v>17</v>
      </c>
      <c r="C23" s="73">
        <v>45456</v>
      </c>
      <c r="D23" t="s">
        <v>14</v>
      </c>
      <c r="E23" t="s">
        <v>343</v>
      </c>
      <c r="F23" s="18">
        <v>14173</v>
      </c>
      <c r="G23" s="18">
        <v>294</v>
      </c>
      <c r="H23" s="18">
        <v>257</v>
      </c>
      <c r="I23" s="18">
        <v>1288</v>
      </c>
      <c r="J23" s="18">
        <v>39466</v>
      </c>
      <c r="K23" s="18">
        <v>55563</v>
      </c>
      <c r="L23" s="33">
        <v>0.26499649047027696</v>
      </c>
      <c r="M23" t="s">
        <v>38</v>
      </c>
    </row>
    <row r="24" spans="1:13" x14ac:dyDescent="0.3">
      <c r="A24" t="s">
        <v>176</v>
      </c>
      <c r="B24" t="s">
        <v>17</v>
      </c>
      <c r="C24" s="73">
        <v>45526</v>
      </c>
      <c r="D24" t="s">
        <v>24</v>
      </c>
      <c r="E24" t="s">
        <v>351</v>
      </c>
      <c r="F24" s="18">
        <v>16124</v>
      </c>
      <c r="G24" s="18">
        <v>863</v>
      </c>
      <c r="H24" s="18">
        <v>337</v>
      </c>
      <c r="I24" s="18">
        <v>819</v>
      </c>
      <c r="J24" s="18">
        <v>85788</v>
      </c>
      <c r="K24" s="18">
        <v>68625</v>
      </c>
      <c r="L24" s="33">
        <v>0.25244444444444447</v>
      </c>
      <c r="M24" t="s">
        <v>25</v>
      </c>
    </row>
    <row r="25" spans="1:13" x14ac:dyDescent="0.3">
      <c r="A25" t="s">
        <v>246</v>
      </c>
      <c r="B25" t="s">
        <v>13</v>
      </c>
      <c r="C25" s="73">
        <v>45445</v>
      </c>
      <c r="D25" t="s">
        <v>24</v>
      </c>
      <c r="E25" t="s">
        <v>344</v>
      </c>
      <c r="F25" s="18">
        <v>14199</v>
      </c>
      <c r="G25" s="18">
        <v>1206</v>
      </c>
      <c r="H25" s="18">
        <v>954</v>
      </c>
      <c r="I25" s="18">
        <v>2009</v>
      </c>
      <c r="J25" s="18">
        <v>8</v>
      </c>
      <c r="K25" s="18">
        <v>65537</v>
      </c>
      <c r="L25" s="33">
        <v>0.24961472145505592</v>
      </c>
      <c r="M25" t="s">
        <v>22</v>
      </c>
    </row>
    <row r="26" spans="1:13" x14ac:dyDescent="0.3">
      <c r="A26" t="s">
        <v>46</v>
      </c>
      <c r="B26" t="s">
        <v>34</v>
      </c>
      <c r="C26" s="73">
        <v>45908</v>
      </c>
      <c r="D26" t="s">
        <v>30</v>
      </c>
      <c r="E26" t="s">
        <v>351</v>
      </c>
      <c r="F26" s="18">
        <v>22309</v>
      </c>
      <c r="G26" s="18">
        <v>773</v>
      </c>
      <c r="H26" s="18">
        <v>854</v>
      </c>
      <c r="I26" s="18">
        <v>2387</v>
      </c>
      <c r="J26" s="18">
        <v>72396</v>
      </c>
      <c r="K26" s="18">
        <v>97056</v>
      </c>
      <c r="L26" s="33">
        <v>0.24662050774810418</v>
      </c>
      <c r="M26" t="s">
        <v>18</v>
      </c>
    </row>
    <row r="27" spans="1:13" x14ac:dyDescent="0.3">
      <c r="A27" t="s">
        <v>270</v>
      </c>
      <c r="B27" t="s">
        <v>20</v>
      </c>
      <c r="C27" s="73">
        <v>45913</v>
      </c>
      <c r="D27" t="s">
        <v>24</v>
      </c>
      <c r="E27" t="s">
        <v>351</v>
      </c>
      <c r="F27" s="18">
        <v>15046</v>
      </c>
      <c r="G27" s="18">
        <v>281</v>
      </c>
      <c r="H27" s="18">
        <v>515</v>
      </c>
      <c r="I27" s="18">
        <v>550</v>
      </c>
      <c r="J27" s="18">
        <v>22583</v>
      </c>
      <c r="K27" s="18">
        <v>64596</v>
      </c>
      <c r="L27" s="33">
        <v>0.24524738373893121</v>
      </c>
      <c r="M27" t="s">
        <v>18</v>
      </c>
    </row>
    <row r="28" spans="1:13" x14ac:dyDescent="0.3">
      <c r="A28" t="s">
        <v>102</v>
      </c>
      <c r="B28" t="s">
        <v>34</v>
      </c>
      <c r="C28" s="73">
        <v>45603</v>
      </c>
      <c r="D28" t="s">
        <v>30</v>
      </c>
      <c r="E28" t="s">
        <v>28</v>
      </c>
      <c r="F28" s="18">
        <v>17254</v>
      </c>
      <c r="G28" s="18">
        <v>246</v>
      </c>
      <c r="H28" s="18">
        <v>952</v>
      </c>
      <c r="I28" s="18">
        <v>871</v>
      </c>
      <c r="J28" s="18">
        <v>14957</v>
      </c>
      <c r="K28" s="18">
        <v>75946</v>
      </c>
      <c r="L28" s="33">
        <v>0.24296210465330631</v>
      </c>
      <c r="M28" t="s">
        <v>38</v>
      </c>
    </row>
    <row r="29" spans="1:13" x14ac:dyDescent="0.3">
      <c r="A29" t="s">
        <v>242</v>
      </c>
      <c r="B29" t="s">
        <v>20</v>
      </c>
      <c r="C29" s="73">
        <v>45502</v>
      </c>
      <c r="D29" t="s">
        <v>21</v>
      </c>
      <c r="E29" t="s">
        <v>343</v>
      </c>
      <c r="F29" s="18">
        <v>22590</v>
      </c>
      <c r="G29" s="18">
        <v>1462</v>
      </c>
      <c r="H29" s="18">
        <v>966</v>
      </c>
      <c r="I29" s="18">
        <v>2463</v>
      </c>
      <c r="J29" s="18">
        <v>29689</v>
      </c>
      <c r="K29" s="18">
        <v>103449</v>
      </c>
      <c r="L29" s="33">
        <v>0.24183897379385011</v>
      </c>
      <c r="M29" t="s">
        <v>22</v>
      </c>
    </row>
    <row r="30" spans="1:13" x14ac:dyDescent="0.3">
      <c r="A30" t="s">
        <v>77</v>
      </c>
      <c r="B30" t="s">
        <v>13</v>
      </c>
      <c r="C30" s="73">
        <v>45456</v>
      </c>
      <c r="D30" t="s">
        <v>30</v>
      </c>
      <c r="E30" t="s">
        <v>348</v>
      </c>
      <c r="F30" s="18">
        <v>23164</v>
      </c>
      <c r="G30" s="18">
        <v>1122</v>
      </c>
      <c r="H30" s="18">
        <v>900</v>
      </c>
      <c r="I30" s="18">
        <v>888</v>
      </c>
      <c r="J30" s="18">
        <v>36938</v>
      </c>
      <c r="K30" s="18">
        <v>104674</v>
      </c>
      <c r="L30" s="33">
        <v>0.24061371496264594</v>
      </c>
      <c r="M30" t="s">
        <v>15</v>
      </c>
    </row>
    <row r="31" spans="1:13" x14ac:dyDescent="0.3">
      <c r="A31" t="s">
        <v>27</v>
      </c>
      <c r="B31" t="s">
        <v>17</v>
      </c>
      <c r="C31" s="73">
        <v>45905</v>
      </c>
      <c r="D31" t="s">
        <v>14</v>
      </c>
      <c r="E31" t="s">
        <v>28</v>
      </c>
      <c r="F31" s="18">
        <v>14677</v>
      </c>
      <c r="G31" s="18">
        <v>533</v>
      </c>
      <c r="H31" s="18">
        <v>759</v>
      </c>
      <c r="I31" s="18">
        <v>753</v>
      </c>
      <c r="J31" s="18">
        <v>23275</v>
      </c>
      <c r="K31" s="18">
        <v>66958</v>
      </c>
      <c r="L31" s="33">
        <v>0.23849278652289496</v>
      </c>
      <c r="M31" t="s">
        <v>18</v>
      </c>
    </row>
    <row r="32" spans="1:13" x14ac:dyDescent="0.3">
      <c r="A32" t="s">
        <v>315</v>
      </c>
      <c r="B32" t="s">
        <v>20</v>
      </c>
      <c r="C32" s="73">
        <v>45624</v>
      </c>
      <c r="D32" t="s">
        <v>30</v>
      </c>
      <c r="E32" t="s">
        <v>347</v>
      </c>
      <c r="F32" s="18">
        <v>18644</v>
      </c>
      <c r="G32" s="18">
        <v>1369</v>
      </c>
      <c r="H32" s="18">
        <v>887</v>
      </c>
      <c r="I32" s="18">
        <v>1256</v>
      </c>
      <c r="J32" s="18">
        <v>43415</v>
      </c>
      <c r="K32" s="18">
        <v>88368</v>
      </c>
      <c r="L32" s="33">
        <v>0.23651095419156257</v>
      </c>
      <c r="M32" t="s">
        <v>22</v>
      </c>
    </row>
    <row r="33" spans="1:13" x14ac:dyDescent="0.3">
      <c r="A33" t="s">
        <v>212</v>
      </c>
      <c r="B33" t="s">
        <v>20</v>
      </c>
      <c r="C33" s="73">
        <v>45528</v>
      </c>
      <c r="D33" t="s">
        <v>24</v>
      </c>
      <c r="E33" t="s">
        <v>345</v>
      </c>
      <c r="F33" s="18">
        <v>24890</v>
      </c>
      <c r="G33" s="18">
        <v>217</v>
      </c>
      <c r="H33" s="18">
        <v>178</v>
      </c>
      <c r="I33" s="18">
        <v>906</v>
      </c>
      <c r="J33" s="18">
        <v>54826</v>
      </c>
      <c r="K33" s="18">
        <v>107203</v>
      </c>
      <c r="L33" s="33">
        <v>0.23586093672751696</v>
      </c>
      <c r="M33" t="s">
        <v>22</v>
      </c>
    </row>
    <row r="34" spans="1:13" x14ac:dyDescent="0.3">
      <c r="A34" t="s">
        <v>87</v>
      </c>
      <c r="B34" t="s">
        <v>13</v>
      </c>
      <c r="C34" s="73">
        <v>45540</v>
      </c>
      <c r="D34" t="s">
        <v>30</v>
      </c>
      <c r="E34" t="s">
        <v>55</v>
      </c>
      <c r="F34" s="18">
        <v>16489</v>
      </c>
      <c r="G34" s="18">
        <v>395</v>
      </c>
      <c r="H34" s="18">
        <v>350</v>
      </c>
      <c r="I34" s="18">
        <v>2364</v>
      </c>
      <c r="J34" s="18">
        <v>43239</v>
      </c>
      <c r="K34" s="18">
        <v>73397</v>
      </c>
      <c r="L34" s="33">
        <v>0.23480523727127811</v>
      </c>
      <c r="M34" t="s">
        <v>38</v>
      </c>
    </row>
    <row r="35" spans="1:13" x14ac:dyDescent="0.3">
      <c r="A35" t="s">
        <v>312</v>
      </c>
      <c r="B35" t="s">
        <v>13</v>
      </c>
      <c r="C35" s="73">
        <v>45919</v>
      </c>
      <c r="D35" t="s">
        <v>21</v>
      </c>
      <c r="E35" t="s">
        <v>348</v>
      </c>
      <c r="F35" s="18">
        <v>22128</v>
      </c>
      <c r="G35" s="18">
        <v>1004</v>
      </c>
      <c r="H35" s="18">
        <v>690</v>
      </c>
      <c r="I35" s="18">
        <v>2048</v>
      </c>
      <c r="J35" s="18">
        <v>19443</v>
      </c>
      <c r="K35" s="18">
        <v>103646</v>
      </c>
      <c r="L35" s="33">
        <v>0.22984003241803833</v>
      </c>
      <c r="M35" t="s">
        <v>18</v>
      </c>
    </row>
    <row r="36" spans="1:13" x14ac:dyDescent="0.3">
      <c r="A36" t="s">
        <v>131</v>
      </c>
      <c r="B36" t="s">
        <v>34</v>
      </c>
      <c r="C36" s="73">
        <v>45457</v>
      </c>
      <c r="D36" t="s">
        <v>30</v>
      </c>
      <c r="E36" t="s">
        <v>349</v>
      </c>
      <c r="F36" s="18">
        <v>21856</v>
      </c>
      <c r="G36" s="18">
        <v>1203</v>
      </c>
      <c r="H36" s="18">
        <v>634</v>
      </c>
      <c r="I36" s="18">
        <v>2807</v>
      </c>
      <c r="J36" s="18">
        <v>3647</v>
      </c>
      <c r="K36" s="18">
        <v>104178</v>
      </c>
      <c r="L36" s="33">
        <v>0.22742805582752595</v>
      </c>
      <c r="M36" t="s">
        <v>25</v>
      </c>
    </row>
    <row r="37" spans="1:13" x14ac:dyDescent="0.3">
      <c r="A37" t="s">
        <v>145</v>
      </c>
      <c r="B37" t="s">
        <v>17</v>
      </c>
      <c r="C37" s="73">
        <v>45695</v>
      </c>
      <c r="D37" t="s">
        <v>30</v>
      </c>
      <c r="E37" t="s">
        <v>352</v>
      </c>
      <c r="F37" s="18">
        <v>20290</v>
      </c>
      <c r="G37" s="18">
        <v>619</v>
      </c>
      <c r="H37" s="18">
        <v>927</v>
      </c>
      <c r="I37" s="18">
        <v>1186</v>
      </c>
      <c r="J37" s="18">
        <v>8924</v>
      </c>
      <c r="K37" s="18">
        <v>96503</v>
      </c>
      <c r="L37" s="33">
        <v>0.22627275835984373</v>
      </c>
      <c r="M37" t="s">
        <v>38</v>
      </c>
    </row>
    <row r="38" spans="1:13" x14ac:dyDescent="0.3">
      <c r="A38" t="s">
        <v>196</v>
      </c>
      <c r="B38" t="s">
        <v>34</v>
      </c>
      <c r="C38" s="73">
        <v>45775</v>
      </c>
      <c r="D38" t="s">
        <v>30</v>
      </c>
      <c r="E38" t="s">
        <v>351</v>
      </c>
      <c r="F38" s="18">
        <v>15013</v>
      </c>
      <c r="G38" s="18">
        <v>1286</v>
      </c>
      <c r="H38" s="18">
        <v>599</v>
      </c>
      <c r="I38" s="18">
        <v>2001</v>
      </c>
      <c r="J38" s="18">
        <v>67839</v>
      </c>
      <c r="K38" s="18">
        <v>76059</v>
      </c>
      <c r="L38" s="33">
        <v>0.22216963147030594</v>
      </c>
      <c r="M38" t="s">
        <v>15</v>
      </c>
    </row>
    <row r="39" spans="1:13" x14ac:dyDescent="0.3">
      <c r="A39" t="s">
        <v>72</v>
      </c>
      <c r="B39" t="s">
        <v>17</v>
      </c>
      <c r="C39" s="73">
        <v>45779</v>
      </c>
      <c r="D39" t="s">
        <v>21</v>
      </c>
      <c r="E39" t="s">
        <v>350</v>
      </c>
      <c r="F39" s="18">
        <v>17444</v>
      </c>
      <c r="G39" s="18">
        <v>1402</v>
      </c>
      <c r="H39" s="18">
        <v>218</v>
      </c>
      <c r="I39" s="18">
        <v>725</v>
      </c>
      <c r="J39" s="18">
        <v>8710</v>
      </c>
      <c r="K39" s="18">
        <v>85893</v>
      </c>
      <c r="L39" s="33">
        <v>0.22195056640238436</v>
      </c>
      <c r="M39" t="s">
        <v>38</v>
      </c>
    </row>
    <row r="40" spans="1:13" x14ac:dyDescent="0.3">
      <c r="A40" t="s">
        <v>213</v>
      </c>
      <c r="B40" t="s">
        <v>34</v>
      </c>
      <c r="C40" s="73">
        <v>45648</v>
      </c>
      <c r="D40" t="s">
        <v>21</v>
      </c>
      <c r="E40" t="s">
        <v>352</v>
      </c>
      <c r="F40" s="18">
        <v>7870</v>
      </c>
      <c r="G40" s="18">
        <v>968</v>
      </c>
      <c r="H40" s="18">
        <v>626</v>
      </c>
      <c r="I40" s="18">
        <v>465</v>
      </c>
      <c r="J40" s="18">
        <v>27184</v>
      </c>
      <c r="K40" s="18">
        <v>44114</v>
      </c>
      <c r="L40" s="33">
        <v>0.2145350682323072</v>
      </c>
      <c r="M40" t="s">
        <v>38</v>
      </c>
    </row>
    <row r="41" spans="1:13" x14ac:dyDescent="0.3">
      <c r="A41" t="s">
        <v>216</v>
      </c>
      <c r="B41" t="s">
        <v>34</v>
      </c>
      <c r="C41" s="73">
        <v>45569</v>
      </c>
      <c r="D41" t="s">
        <v>14</v>
      </c>
      <c r="E41" t="s">
        <v>347</v>
      </c>
      <c r="F41" s="18">
        <v>21729</v>
      </c>
      <c r="G41" s="18">
        <v>1209</v>
      </c>
      <c r="H41" s="18">
        <v>897</v>
      </c>
      <c r="I41" s="18">
        <v>1624</v>
      </c>
      <c r="J41" s="18">
        <v>38771</v>
      </c>
      <c r="K41" s="18">
        <v>113297</v>
      </c>
      <c r="L41" s="33">
        <v>0.21037626768581694</v>
      </c>
      <c r="M41" t="s">
        <v>25</v>
      </c>
    </row>
    <row r="42" spans="1:13" x14ac:dyDescent="0.3">
      <c r="A42" t="s">
        <v>277</v>
      </c>
      <c r="B42" t="s">
        <v>34</v>
      </c>
      <c r="C42" s="73">
        <v>45915</v>
      </c>
      <c r="D42" t="s">
        <v>14</v>
      </c>
      <c r="E42" t="s">
        <v>347</v>
      </c>
      <c r="F42" s="18">
        <v>18389</v>
      </c>
      <c r="G42" s="18">
        <v>670</v>
      </c>
      <c r="H42" s="18">
        <v>655</v>
      </c>
      <c r="I42" s="18">
        <v>321</v>
      </c>
      <c r="J42" s="18">
        <v>21869</v>
      </c>
      <c r="K42" s="18">
        <v>96088</v>
      </c>
      <c r="L42" s="33">
        <v>0.2051660977437349</v>
      </c>
      <c r="M42" t="s">
        <v>18</v>
      </c>
    </row>
    <row r="43" spans="1:13" x14ac:dyDescent="0.3">
      <c r="A43" t="s">
        <v>100</v>
      </c>
      <c r="B43" t="s">
        <v>34</v>
      </c>
      <c r="C43" s="73">
        <v>45593</v>
      </c>
      <c r="D43" t="s">
        <v>30</v>
      </c>
      <c r="E43" t="s">
        <v>346</v>
      </c>
      <c r="F43" s="18">
        <v>21198</v>
      </c>
      <c r="G43" s="18">
        <v>1484</v>
      </c>
      <c r="H43" s="18">
        <v>174</v>
      </c>
      <c r="I43" s="18">
        <v>1293</v>
      </c>
      <c r="J43" s="18">
        <v>16330</v>
      </c>
      <c r="K43" s="18">
        <v>111635</v>
      </c>
      <c r="L43" s="33">
        <v>0.20473865723115511</v>
      </c>
      <c r="M43" t="s">
        <v>25</v>
      </c>
    </row>
    <row r="44" spans="1:13" x14ac:dyDescent="0.3">
      <c r="A44" t="s">
        <v>68</v>
      </c>
      <c r="B44" t="s">
        <v>13</v>
      </c>
      <c r="C44" s="73">
        <v>45721</v>
      </c>
      <c r="D44" t="s">
        <v>30</v>
      </c>
      <c r="E44" t="s">
        <v>350</v>
      </c>
      <c r="F44" s="18">
        <v>12916</v>
      </c>
      <c r="G44" s="18">
        <v>1262</v>
      </c>
      <c r="H44" s="18">
        <v>772</v>
      </c>
      <c r="I44" s="18">
        <v>856</v>
      </c>
      <c r="J44" s="18">
        <v>11496</v>
      </c>
      <c r="K44" s="18">
        <v>75046</v>
      </c>
      <c r="L44" s="33">
        <v>0.19921115049436347</v>
      </c>
      <c r="M44" t="s">
        <v>22</v>
      </c>
    </row>
    <row r="45" spans="1:13" x14ac:dyDescent="0.3">
      <c r="A45" t="s">
        <v>272</v>
      </c>
      <c r="B45" t="s">
        <v>34</v>
      </c>
      <c r="C45" s="73">
        <v>45576</v>
      </c>
      <c r="D45" t="s">
        <v>30</v>
      </c>
      <c r="E45" t="s">
        <v>349</v>
      </c>
      <c r="F45" s="18">
        <v>19447</v>
      </c>
      <c r="G45" s="18">
        <v>1014</v>
      </c>
      <c r="H45" s="18">
        <v>256</v>
      </c>
      <c r="I45" s="18">
        <v>2354</v>
      </c>
      <c r="J45" s="18">
        <v>5472</v>
      </c>
      <c r="K45" s="18">
        <v>104106</v>
      </c>
      <c r="L45" s="33">
        <v>0.19899909707413599</v>
      </c>
      <c r="M45" t="s">
        <v>15</v>
      </c>
    </row>
    <row r="46" spans="1:13" x14ac:dyDescent="0.3">
      <c r="A46" t="s">
        <v>286</v>
      </c>
      <c r="B46" t="s">
        <v>13</v>
      </c>
      <c r="C46" s="73">
        <v>45700</v>
      </c>
      <c r="D46" t="s">
        <v>24</v>
      </c>
      <c r="E46" t="s">
        <v>344</v>
      </c>
      <c r="F46" s="18">
        <v>15234</v>
      </c>
      <c r="G46" s="18">
        <v>1276</v>
      </c>
      <c r="H46" s="18">
        <v>670</v>
      </c>
      <c r="I46" s="18">
        <v>1860</v>
      </c>
      <c r="J46" s="18">
        <v>60397</v>
      </c>
      <c r="K46" s="18">
        <v>86413</v>
      </c>
      <c r="L46" s="33">
        <v>0.19881267864788862</v>
      </c>
      <c r="M46" t="s">
        <v>38</v>
      </c>
    </row>
    <row r="47" spans="1:13" x14ac:dyDescent="0.3">
      <c r="A47" t="s">
        <v>119</v>
      </c>
      <c r="B47" t="s">
        <v>34</v>
      </c>
      <c r="C47" s="73">
        <v>45637</v>
      </c>
      <c r="D47" t="s">
        <v>30</v>
      </c>
      <c r="E47" t="s">
        <v>349</v>
      </c>
      <c r="F47" s="18">
        <v>22645</v>
      </c>
      <c r="G47" s="18">
        <v>545</v>
      </c>
      <c r="H47" s="18">
        <v>972</v>
      </c>
      <c r="I47" s="18">
        <v>321</v>
      </c>
      <c r="J47" s="18">
        <v>8396</v>
      </c>
      <c r="K47" s="18">
        <v>121537</v>
      </c>
      <c r="L47" s="33">
        <v>0.19880365649966678</v>
      </c>
      <c r="M47" t="s">
        <v>38</v>
      </c>
    </row>
    <row r="48" spans="1:13" x14ac:dyDescent="0.3">
      <c r="A48" t="s">
        <v>189</v>
      </c>
      <c r="B48" t="s">
        <v>17</v>
      </c>
      <c r="C48" s="73">
        <v>45755</v>
      </c>
      <c r="D48" t="s">
        <v>24</v>
      </c>
      <c r="E48" t="s">
        <v>343</v>
      </c>
      <c r="F48" s="18">
        <v>15568</v>
      </c>
      <c r="G48" s="18">
        <v>1166</v>
      </c>
      <c r="H48" s="18">
        <v>546</v>
      </c>
      <c r="I48" s="18">
        <v>826</v>
      </c>
      <c r="J48" s="18">
        <v>21836</v>
      </c>
      <c r="K48" s="18">
        <v>87055</v>
      </c>
      <c r="L48" s="33">
        <v>0.19849520418126471</v>
      </c>
      <c r="M48" t="s">
        <v>15</v>
      </c>
    </row>
    <row r="49" spans="1:13" x14ac:dyDescent="0.3">
      <c r="A49" t="s">
        <v>326</v>
      </c>
      <c r="B49" t="s">
        <v>17</v>
      </c>
      <c r="C49" s="73">
        <v>45926</v>
      </c>
      <c r="D49" t="s">
        <v>24</v>
      </c>
      <c r="E49" t="s">
        <v>349</v>
      </c>
      <c r="F49" s="18">
        <v>21216</v>
      </c>
      <c r="G49" s="18">
        <v>226</v>
      </c>
      <c r="H49" s="18">
        <v>187</v>
      </c>
      <c r="I49" s="18">
        <v>1573</v>
      </c>
      <c r="J49" s="18">
        <v>62688</v>
      </c>
      <c r="K49" s="18">
        <v>111031</v>
      </c>
      <c r="L49" s="33">
        <v>0.19480145184678152</v>
      </c>
      <c r="M49" t="s">
        <v>18</v>
      </c>
    </row>
    <row r="50" spans="1:13" x14ac:dyDescent="0.3">
      <c r="A50" t="s">
        <v>94</v>
      </c>
      <c r="B50" t="s">
        <v>20</v>
      </c>
      <c r="C50" s="73">
        <v>45634</v>
      </c>
      <c r="D50" t="s">
        <v>24</v>
      </c>
      <c r="E50" t="s">
        <v>344</v>
      </c>
      <c r="F50" s="18">
        <v>10427</v>
      </c>
      <c r="G50" s="18">
        <v>1014</v>
      </c>
      <c r="H50" s="18">
        <v>166</v>
      </c>
      <c r="I50" s="18">
        <v>1649</v>
      </c>
      <c r="J50" s="18">
        <v>15145</v>
      </c>
      <c r="K50" s="18">
        <v>59816</v>
      </c>
      <c r="L50" s="33">
        <v>0.19404507155276179</v>
      </c>
      <c r="M50" t="s">
        <v>22</v>
      </c>
    </row>
    <row r="51" spans="1:13" x14ac:dyDescent="0.3">
      <c r="A51" t="s">
        <v>152</v>
      </c>
      <c r="B51" t="s">
        <v>17</v>
      </c>
      <c r="C51" s="73">
        <v>45744</v>
      </c>
      <c r="D51" t="s">
        <v>14</v>
      </c>
      <c r="E51" t="s">
        <v>348</v>
      </c>
      <c r="F51" s="18">
        <v>13637</v>
      </c>
      <c r="G51" s="18">
        <v>1135</v>
      </c>
      <c r="H51" s="18">
        <v>540</v>
      </c>
      <c r="I51" s="18">
        <v>1288</v>
      </c>
      <c r="J51" s="18">
        <v>45183</v>
      </c>
      <c r="K51" s="18">
        <v>79062</v>
      </c>
      <c r="L51" s="33">
        <v>0.19367079001290127</v>
      </c>
      <c r="M51" t="s">
        <v>38</v>
      </c>
    </row>
    <row r="52" spans="1:13" x14ac:dyDescent="0.3">
      <c r="A52" t="s">
        <v>155</v>
      </c>
      <c r="B52" t="s">
        <v>17</v>
      </c>
      <c r="C52" s="73">
        <v>45494</v>
      </c>
      <c r="D52" t="s">
        <v>14</v>
      </c>
      <c r="E52" t="s">
        <v>346</v>
      </c>
      <c r="F52" s="18">
        <v>11911</v>
      </c>
      <c r="G52" s="18">
        <v>1360</v>
      </c>
      <c r="H52" s="18">
        <v>778</v>
      </c>
      <c r="I52" s="18">
        <v>1168</v>
      </c>
      <c r="J52" s="18">
        <v>16483</v>
      </c>
      <c r="K52" s="18">
        <v>72556</v>
      </c>
      <c r="L52" s="33">
        <v>0.19362974805667346</v>
      </c>
      <c r="M52" t="s">
        <v>22</v>
      </c>
    </row>
    <row r="53" spans="1:13" x14ac:dyDescent="0.3">
      <c r="A53" t="s">
        <v>123</v>
      </c>
      <c r="B53" t="s">
        <v>34</v>
      </c>
      <c r="C53" s="73">
        <v>45517</v>
      </c>
      <c r="D53" t="s">
        <v>30</v>
      </c>
      <c r="E53" t="s">
        <v>352</v>
      </c>
      <c r="F53" s="18">
        <v>6854</v>
      </c>
      <c r="G53" s="18">
        <v>417</v>
      </c>
      <c r="H53" s="18">
        <v>467</v>
      </c>
      <c r="I53" s="18">
        <v>1003</v>
      </c>
      <c r="J53" s="18">
        <v>61333</v>
      </c>
      <c r="K53" s="18">
        <v>40281</v>
      </c>
      <c r="L53" s="33">
        <v>0.19210049402944315</v>
      </c>
      <c r="M53" t="s">
        <v>15</v>
      </c>
    </row>
    <row r="54" spans="1:13" x14ac:dyDescent="0.3">
      <c r="A54" t="s">
        <v>73</v>
      </c>
      <c r="B54" t="s">
        <v>17</v>
      </c>
      <c r="C54" s="73">
        <v>45712</v>
      </c>
      <c r="D54" t="s">
        <v>21</v>
      </c>
      <c r="E54" t="s">
        <v>349</v>
      </c>
      <c r="F54" s="18">
        <v>24984</v>
      </c>
      <c r="G54" s="18">
        <v>753</v>
      </c>
      <c r="H54" s="18">
        <v>461</v>
      </c>
      <c r="I54" s="18">
        <v>2710</v>
      </c>
      <c r="J54" s="18">
        <v>20792</v>
      </c>
      <c r="K54" s="18">
        <v>141520</v>
      </c>
      <c r="L54" s="33">
        <v>0.18511871113623515</v>
      </c>
      <c r="M54" t="s">
        <v>22</v>
      </c>
    </row>
    <row r="55" spans="1:13" x14ac:dyDescent="0.3">
      <c r="A55" t="s">
        <v>178</v>
      </c>
      <c r="B55" t="s">
        <v>13</v>
      </c>
      <c r="C55" s="73">
        <v>45934</v>
      </c>
      <c r="D55" t="s">
        <v>24</v>
      </c>
      <c r="E55" t="s">
        <v>352</v>
      </c>
      <c r="F55" s="18">
        <v>12488</v>
      </c>
      <c r="G55" s="18">
        <v>1403</v>
      </c>
      <c r="H55" s="18">
        <v>247</v>
      </c>
      <c r="I55" s="18">
        <v>1350</v>
      </c>
      <c r="J55" s="18">
        <v>28370</v>
      </c>
      <c r="K55" s="18">
        <v>76487</v>
      </c>
      <c r="L55" s="33">
        <v>0.18484186855282597</v>
      </c>
      <c r="M55" t="s">
        <v>18</v>
      </c>
    </row>
    <row r="56" spans="1:13" x14ac:dyDescent="0.3">
      <c r="A56" t="s">
        <v>256</v>
      </c>
      <c r="B56" t="s">
        <v>20</v>
      </c>
      <c r="C56" s="73">
        <v>45488</v>
      </c>
      <c r="D56" t="s">
        <v>24</v>
      </c>
      <c r="E56" t="s">
        <v>28</v>
      </c>
      <c r="F56" s="18">
        <v>12554</v>
      </c>
      <c r="G56" s="18">
        <v>381</v>
      </c>
      <c r="H56" s="18">
        <v>211</v>
      </c>
      <c r="I56" s="18">
        <v>2286</v>
      </c>
      <c r="J56" s="18">
        <v>50567</v>
      </c>
      <c r="K56" s="18">
        <v>72779</v>
      </c>
      <c r="L56" s="33">
        <v>0.18062902760411656</v>
      </c>
      <c r="M56" t="s">
        <v>15</v>
      </c>
    </row>
    <row r="57" spans="1:13" x14ac:dyDescent="0.3">
      <c r="A57" t="s">
        <v>174</v>
      </c>
      <c r="B57" t="s">
        <v>13</v>
      </c>
      <c r="C57" s="73">
        <v>45762</v>
      </c>
      <c r="D57" t="s">
        <v>24</v>
      </c>
      <c r="E57" t="s">
        <v>349</v>
      </c>
      <c r="F57" s="18">
        <v>20977</v>
      </c>
      <c r="G57" s="18">
        <v>1402</v>
      </c>
      <c r="H57" s="18">
        <v>301</v>
      </c>
      <c r="I57" s="18">
        <v>1284</v>
      </c>
      <c r="J57" s="18">
        <v>24620</v>
      </c>
      <c r="K57" s="18">
        <v>128009</v>
      </c>
      <c r="L57" s="33">
        <v>0.17717504237983267</v>
      </c>
      <c r="M57" t="s">
        <v>15</v>
      </c>
    </row>
    <row r="58" spans="1:13" x14ac:dyDescent="0.3">
      <c r="A58" t="s">
        <v>165</v>
      </c>
      <c r="B58" t="s">
        <v>13</v>
      </c>
      <c r="C58" s="73">
        <v>45594</v>
      </c>
      <c r="D58" t="s">
        <v>21</v>
      </c>
      <c r="E58" t="s">
        <v>350</v>
      </c>
      <c r="F58" s="18">
        <v>23969</v>
      </c>
      <c r="G58" s="18">
        <v>1433</v>
      </c>
      <c r="H58" s="18">
        <v>372</v>
      </c>
      <c r="I58" s="18">
        <v>1092</v>
      </c>
      <c r="J58" s="18">
        <v>32147</v>
      </c>
      <c r="K58" s="18">
        <v>145823</v>
      </c>
      <c r="L58" s="33">
        <v>0.17674852389540743</v>
      </c>
      <c r="M58" t="s">
        <v>22</v>
      </c>
    </row>
    <row r="59" spans="1:13" x14ac:dyDescent="0.3">
      <c r="A59" t="s">
        <v>48</v>
      </c>
      <c r="B59" t="s">
        <v>34</v>
      </c>
      <c r="C59" s="73">
        <v>45602</v>
      </c>
      <c r="D59" t="s">
        <v>30</v>
      </c>
      <c r="E59" t="s">
        <v>350</v>
      </c>
      <c r="F59" s="18">
        <v>8938</v>
      </c>
      <c r="G59" s="18">
        <v>800</v>
      </c>
      <c r="H59" s="18">
        <v>842</v>
      </c>
      <c r="I59" s="18">
        <v>2072</v>
      </c>
      <c r="J59" s="18">
        <v>31736</v>
      </c>
      <c r="K59" s="18">
        <v>59975</v>
      </c>
      <c r="L59" s="33">
        <v>0.17640683618174238</v>
      </c>
      <c r="M59" t="s">
        <v>25</v>
      </c>
    </row>
    <row r="60" spans="1:13" x14ac:dyDescent="0.3">
      <c r="A60" t="s">
        <v>151</v>
      </c>
      <c r="B60" t="s">
        <v>20</v>
      </c>
      <c r="C60" s="73">
        <v>45543</v>
      </c>
      <c r="D60" t="s">
        <v>30</v>
      </c>
      <c r="E60" t="s">
        <v>343</v>
      </c>
      <c r="F60" s="18">
        <v>8090</v>
      </c>
      <c r="G60" s="18">
        <v>570</v>
      </c>
      <c r="H60" s="18">
        <v>399</v>
      </c>
      <c r="I60" s="18">
        <v>1862</v>
      </c>
      <c r="J60" s="18">
        <v>34088</v>
      </c>
      <c r="K60" s="18">
        <v>52115</v>
      </c>
      <c r="L60" s="33">
        <v>0.17382711311522595</v>
      </c>
      <c r="M60" t="s">
        <v>15</v>
      </c>
    </row>
    <row r="61" spans="1:13" x14ac:dyDescent="0.3">
      <c r="A61" t="s">
        <v>117</v>
      </c>
      <c r="B61" t="s">
        <v>17</v>
      </c>
      <c r="C61" s="73">
        <v>45924</v>
      </c>
      <c r="D61" t="s">
        <v>21</v>
      </c>
      <c r="E61" t="s">
        <v>347</v>
      </c>
      <c r="F61" s="18">
        <v>12209</v>
      </c>
      <c r="G61" s="18">
        <v>222</v>
      </c>
      <c r="H61" s="18">
        <v>479</v>
      </c>
      <c r="I61" s="18">
        <v>2748</v>
      </c>
      <c r="J61" s="18">
        <v>24615</v>
      </c>
      <c r="K61" s="18">
        <v>74707</v>
      </c>
      <c r="L61" s="33">
        <v>0.17280843829895459</v>
      </c>
      <c r="M61" t="s">
        <v>18</v>
      </c>
    </row>
    <row r="62" spans="1:13" x14ac:dyDescent="0.3">
      <c r="A62" t="s">
        <v>70</v>
      </c>
      <c r="B62" t="s">
        <v>17</v>
      </c>
      <c r="C62" s="73">
        <v>45718</v>
      </c>
      <c r="D62" t="s">
        <v>24</v>
      </c>
      <c r="E62" t="s">
        <v>351</v>
      </c>
      <c r="F62" s="18">
        <v>22562</v>
      </c>
      <c r="G62" s="18">
        <v>778</v>
      </c>
      <c r="H62" s="18">
        <v>907</v>
      </c>
      <c r="I62" s="18">
        <v>1354</v>
      </c>
      <c r="J62" s="18">
        <v>34475</v>
      </c>
      <c r="K62" s="18">
        <v>141459</v>
      </c>
      <c r="L62" s="33">
        <v>0.17140655596321194</v>
      </c>
      <c r="M62" t="s">
        <v>25</v>
      </c>
    </row>
    <row r="63" spans="1:13" x14ac:dyDescent="0.3">
      <c r="A63" t="s">
        <v>302</v>
      </c>
      <c r="B63" t="s">
        <v>17</v>
      </c>
      <c r="C63" s="73">
        <v>45450</v>
      </c>
      <c r="D63" t="s">
        <v>24</v>
      </c>
      <c r="E63" t="s">
        <v>346</v>
      </c>
      <c r="F63" s="18">
        <v>8233</v>
      </c>
      <c r="G63" s="18">
        <v>436</v>
      </c>
      <c r="H63" s="18">
        <v>269</v>
      </c>
      <c r="I63" s="18">
        <v>2037</v>
      </c>
      <c r="J63" s="18">
        <v>8875</v>
      </c>
      <c r="K63" s="18">
        <v>52289</v>
      </c>
      <c r="L63" s="33">
        <v>0.17093461339861157</v>
      </c>
      <c r="M63" t="s">
        <v>15</v>
      </c>
    </row>
    <row r="64" spans="1:13" x14ac:dyDescent="0.3">
      <c r="A64" t="s">
        <v>186</v>
      </c>
      <c r="B64" t="s">
        <v>17</v>
      </c>
      <c r="C64" s="73">
        <v>45528</v>
      </c>
      <c r="D64" t="s">
        <v>21</v>
      </c>
      <c r="E64" t="s">
        <v>351</v>
      </c>
      <c r="F64" s="18">
        <v>22527</v>
      </c>
      <c r="G64" s="18">
        <v>865</v>
      </c>
      <c r="H64" s="18">
        <v>646</v>
      </c>
      <c r="I64" s="18">
        <v>992</v>
      </c>
      <c r="J64" s="18">
        <v>18654</v>
      </c>
      <c r="K64" s="18">
        <v>141376</v>
      </c>
      <c r="L64" s="33">
        <v>0.17002885921231325</v>
      </c>
      <c r="M64" t="s">
        <v>38</v>
      </c>
    </row>
    <row r="65" spans="1:13" x14ac:dyDescent="0.3">
      <c r="A65" t="s">
        <v>184</v>
      </c>
      <c r="B65" t="s">
        <v>34</v>
      </c>
      <c r="C65" s="73">
        <v>45515</v>
      </c>
      <c r="D65" t="s">
        <v>30</v>
      </c>
      <c r="E65" t="s">
        <v>344</v>
      </c>
      <c r="F65" s="18">
        <v>14394</v>
      </c>
      <c r="G65" s="18">
        <v>1202</v>
      </c>
      <c r="H65" s="18">
        <v>188</v>
      </c>
      <c r="I65" s="18">
        <v>1259</v>
      </c>
      <c r="J65" s="18">
        <v>21925</v>
      </c>
      <c r="K65" s="18">
        <v>94061</v>
      </c>
      <c r="L65" s="33">
        <v>0.1678059982351878</v>
      </c>
      <c r="M65" t="s">
        <v>25</v>
      </c>
    </row>
    <row r="66" spans="1:13" x14ac:dyDescent="0.3">
      <c r="A66" t="s">
        <v>228</v>
      </c>
      <c r="B66" t="s">
        <v>17</v>
      </c>
      <c r="C66" s="73">
        <v>45921</v>
      </c>
      <c r="D66" t="s">
        <v>14</v>
      </c>
      <c r="E66" t="s">
        <v>352</v>
      </c>
      <c r="F66" s="18">
        <v>19680</v>
      </c>
      <c r="G66" s="18">
        <v>999</v>
      </c>
      <c r="H66" s="18">
        <v>838</v>
      </c>
      <c r="I66" s="18">
        <v>891</v>
      </c>
      <c r="J66" s="18">
        <v>29576</v>
      </c>
      <c r="K66" s="18">
        <v>129152</v>
      </c>
      <c r="L66" s="33">
        <v>0.16660214321110009</v>
      </c>
      <c r="M66" t="s">
        <v>18</v>
      </c>
    </row>
    <row r="67" spans="1:13" x14ac:dyDescent="0.3">
      <c r="A67" t="s">
        <v>99</v>
      </c>
      <c r="B67" t="s">
        <v>20</v>
      </c>
      <c r="C67" s="73">
        <v>45921</v>
      </c>
      <c r="D67" t="s">
        <v>24</v>
      </c>
      <c r="E67" t="s">
        <v>343</v>
      </c>
      <c r="F67" s="18">
        <v>23103</v>
      </c>
      <c r="G67" s="18">
        <v>1380</v>
      </c>
      <c r="H67" s="18">
        <v>191</v>
      </c>
      <c r="I67" s="18">
        <v>1547</v>
      </c>
      <c r="J67" s="18">
        <v>77798</v>
      </c>
      <c r="K67" s="18">
        <v>148856</v>
      </c>
      <c r="L67" s="33">
        <v>0.16575751061428495</v>
      </c>
      <c r="M67" t="s">
        <v>18</v>
      </c>
    </row>
    <row r="68" spans="1:13" x14ac:dyDescent="0.3">
      <c r="A68" t="s">
        <v>247</v>
      </c>
      <c r="B68" t="s">
        <v>13</v>
      </c>
      <c r="C68" s="73">
        <v>45739</v>
      </c>
      <c r="D68" t="s">
        <v>30</v>
      </c>
      <c r="E68" t="s">
        <v>347</v>
      </c>
      <c r="F68" s="18">
        <v>17728</v>
      </c>
      <c r="G68" s="18">
        <v>1487</v>
      </c>
      <c r="H68" s="18">
        <v>210</v>
      </c>
      <c r="I68" s="18">
        <v>2469</v>
      </c>
      <c r="J68" s="18">
        <v>30565</v>
      </c>
      <c r="K68" s="18">
        <v>117576</v>
      </c>
      <c r="L68" s="33">
        <v>0.16521228822208614</v>
      </c>
      <c r="M68" t="s">
        <v>15</v>
      </c>
    </row>
    <row r="69" spans="1:13" x14ac:dyDescent="0.3">
      <c r="A69" t="s">
        <v>311</v>
      </c>
      <c r="B69" t="s">
        <v>34</v>
      </c>
      <c r="C69" s="73">
        <v>45491</v>
      </c>
      <c r="D69" t="s">
        <v>24</v>
      </c>
      <c r="E69" t="s">
        <v>343</v>
      </c>
      <c r="F69" s="18">
        <v>16594</v>
      </c>
      <c r="G69" s="18">
        <v>809</v>
      </c>
      <c r="H69" s="18">
        <v>784</v>
      </c>
      <c r="I69" s="18">
        <v>1655</v>
      </c>
      <c r="J69" s="18">
        <v>35505</v>
      </c>
      <c r="K69" s="18">
        <v>112588</v>
      </c>
      <c r="L69" s="33">
        <v>0.16153586527871533</v>
      </c>
      <c r="M69" t="s">
        <v>22</v>
      </c>
    </row>
    <row r="70" spans="1:13" x14ac:dyDescent="0.3">
      <c r="A70" t="s">
        <v>88</v>
      </c>
      <c r="B70" t="s">
        <v>13</v>
      </c>
      <c r="C70" s="73">
        <v>45920</v>
      </c>
      <c r="D70" t="s">
        <v>14</v>
      </c>
      <c r="E70" t="s">
        <v>350</v>
      </c>
      <c r="F70" s="18">
        <v>18633</v>
      </c>
      <c r="G70" s="18">
        <v>797</v>
      </c>
      <c r="H70" s="18">
        <v>303</v>
      </c>
      <c r="I70" s="18">
        <v>659</v>
      </c>
      <c r="J70" s="18">
        <v>7</v>
      </c>
      <c r="K70" s="18">
        <v>122189</v>
      </c>
      <c r="L70" s="33">
        <v>0.16149571565361859</v>
      </c>
      <c r="M70" t="s">
        <v>18</v>
      </c>
    </row>
    <row r="71" spans="1:13" x14ac:dyDescent="0.3">
      <c r="A71" t="s">
        <v>101</v>
      </c>
      <c r="B71" t="s">
        <v>20</v>
      </c>
      <c r="C71" s="73">
        <v>45505</v>
      </c>
      <c r="D71" t="s">
        <v>14</v>
      </c>
      <c r="E71" t="s">
        <v>345</v>
      </c>
      <c r="F71" s="18">
        <v>21758</v>
      </c>
      <c r="G71" s="18">
        <v>1380</v>
      </c>
      <c r="H71" s="18">
        <v>188</v>
      </c>
      <c r="I71" s="18">
        <v>1735</v>
      </c>
      <c r="J71" s="18">
        <v>20998</v>
      </c>
      <c r="K71" s="18">
        <v>147803</v>
      </c>
      <c r="L71" s="33">
        <v>0.15781817689762725</v>
      </c>
      <c r="M71" t="s">
        <v>38</v>
      </c>
    </row>
    <row r="72" spans="1:13" x14ac:dyDescent="0.3">
      <c r="A72" t="s">
        <v>215</v>
      </c>
      <c r="B72" t="s">
        <v>13</v>
      </c>
      <c r="C72" s="73">
        <v>45740</v>
      </c>
      <c r="D72" t="s">
        <v>14</v>
      </c>
      <c r="E72" t="s">
        <v>28</v>
      </c>
      <c r="F72" s="18">
        <v>10172</v>
      </c>
      <c r="G72" s="18">
        <v>1398</v>
      </c>
      <c r="H72" s="18">
        <v>394</v>
      </c>
      <c r="I72" s="18">
        <v>2358</v>
      </c>
      <c r="J72" s="18">
        <v>59610</v>
      </c>
      <c r="K72" s="18">
        <v>76321</v>
      </c>
      <c r="L72" s="33">
        <v>0.15675895231980713</v>
      </c>
      <c r="M72" t="s">
        <v>25</v>
      </c>
    </row>
    <row r="73" spans="1:13" x14ac:dyDescent="0.3">
      <c r="A73" t="s">
        <v>76</v>
      </c>
      <c r="B73" t="s">
        <v>34</v>
      </c>
      <c r="C73" s="73">
        <v>45476</v>
      </c>
      <c r="D73" t="s">
        <v>21</v>
      </c>
      <c r="E73" t="s">
        <v>347</v>
      </c>
      <c r="F73" s="18">
        <v>14338</v>
      </c>
      <c r="G73" s="18">
        <v>1454</v>
      </c>
      <c r="H73" s="18">
        <v>697</v>
      </c>
      <c r="I73" s="18">
        <v>2703</v>
      </c>
      <c r="J73" s="18">
        <v>21288</v>
      </c>
      <c r="K73" s="18">
        <v>107649</v>
      </c>
      <c r="L73" s="33">
        <v>0.1531737405828201</v>
      </c>
      <c r="M73" t="s">
        <v>25</v>
      </c>
    </row>
    <row r="74" spans="1:13" x14ac:dyDescent="0.3">
      <c r="A74" t="s">
        <v>158</v>
      </c>
      <c r="B74" t="s">
        <v>20</v>
      </c>
      <c r="C74" s="73">
        <v>45720</v>
      </c>
      <c r="D74" t="s">
        <v>24</v>
      </c>
      <c r="E74" t="s">
        <v>344</v>
      </c>
      <c r="F74" s="18">
        <v>5266</v>
      </c>
      <c r="G74" s="18">
        <v>316</v>
      </c>
      <c r="H74" s="18">
        <v>837</v>
      </c>
      <c r="I74" s="18">
        <v>2276</v>
      </c>
      <c r="J74" s="18">
        <v>20967</v>
      </c>
      <c r="K74" s="18">
        <v>41969</v>
      </c>
      <c r="L74" s="33">
        <v>0.1529462222116324</v>
      </c>
      <c r="M74" t="s">
        <v>38</v>
      </c>
    </row>
    <row r="75" spans="1:13" x14ac:dyDescent="0.3">
      <c r="A75" t="s">
        <v>66</v>
      </c>
      <c r="B75" t="s">
        <v>13</v>
      </c>
      <c r="C75" s="73">
        <v>45914</v>
      </c>
      <c r="D75" t="s">
        <v>30</v>
      </c>
      <c r="E75" t="s">
        <v>348</v>
      </c>
      <c r="F75" s="18">
        <v>19844</v>
      </c>
      <c r="G75" s="18">
        <v>1020</v>
      </c>
      <c r="H75" s="18">
        <v>247</v>
      </c>
      <c r="I75" s="18">
        <v>2354</v>
      </c>
      <c r="J75" s="18">
        <v>37792</v>
      </c>
      <c r="K75" s="18">
        <v>138317</v>
      </c>
      <c r="L75" s="33">
        <v>0.15262765965138053</v>
      </c>
      <c r="M75" t="s">
        <v>18</v>
      </c>
    </row>
    <row r="76" spans="1:13" x14ac:dyDescent="0.3">
      <c r="A76" t="s">
        <v>103</v>
      </c>
      <c r="B76" t="s">
        <v>17</v>
      </c>
      <c r="C76" s="73">
        <v>45720</v>
      </c>
      <c r="D76" t="s">
        <v>30</v>
      </c>
      <c r="E76" t="s">
        <v>349</v>
      </c>
      <c r="F76" s="18">
        <v>13470</v>
      </c>
      <c r="G76" s="18">
        <v>523</v>
      </c>
      <c r="H76" s="18">
        <v>280</v>
      </c>
      <c r="I76" s="18">
        <v>2682</v>
      </c>
      <c r="J76" s="18">
        <v>8538</v>
      </c>
      <c r="K76" s="18">
        <v>95204</v>
      </c>
      <c r="L76" s="33">
        <v>0.14992017142136885</v>
      </c>
      <c r="M76" t="s">
        <v>15</v>
      </c>
    </row>
    <row r="77" spans="1:13" x14ac:dyDescent="0.3">
      <c r="A77" t="s">
        <v>290</v>
      </c>
      <c r="B77" t="s">
        <v>20</v>
      </c>
      <c r="C77" s="73">
        <v>45687</v>
      </c>
      <c r="D77" t="s">
        <v>21</v>
      </c>
      <c r="E77" t="s">
        <v>351</v>
      </c>
      <c r="F77" s="18">
        <v>12954</v>
      </c>
      <c r="G77" s="18">
        <v>913</v>
      </c>
      <c r="H77" s="18">
        <v>722</v>
      </c>
      <c r="I77" s="18">
        <v>1049</v>
      </c>
      <c r="J77" s="18">
        <v>475</v>
      </c>
      <c r="K77" s="18">
        <v>97716</v>
      </c>
      <c r="L77" s="33">
        <v>0.14930001228048631</v>
      </c>
      <c r="M77" t="s">
        <v>15</v>
      </c>
    </row>
    <row r="78" spans="1:13" x14ac:dyDescent="0.3">
      <c r="A78" t="s">
        <v>134</v>
      </c>
      <c r="B78" t="s">
        <v>17</v>
      </c>
      <c r="C78" s="73">
        <v>45928</v>
      </c>
      <c r="D78" t="s">
        <v>30</v>
      </c>
      <c r="E78" t="s">
        <v>348</v>
      </c>
      <c r="F78" s="18">
        <v>21963</v>
      </c>
      <c r="G78" s="18">
        <v>1356</v>
      </c>
      <c r="H78" s="18">
        <v>349</v>
      </c>
      <c r="I78" s="18">
        <v>1206</v>
      </c>
      <c r="J78" s="18">
        <v>51755</v>
      </c>
      <c r="K78" s="18">
        <v>159273</v>
      </c>
      <c r="L78" s="33">
        <v>0.14860020216860359</v>
      </c>
      <c r="M78" t="s">
        <v>18</v>
      </c>
    </row>
    <row r="79" spans="1:13" x14ac:dyDescent="0.3">
      <c r="A79" t="s">
        <v>274</v>
      </c>
      <c r="B79" t="s">
        <v>20</v>
      </c>
      <c r="C79" s="73">
        <v>45914</v>
      </c>
      <c r="D79" t="s">
        <v>30</v>
      </c>
      <c r="E79" t="s">
        <v>350</v>
      </c>
      <c r="F79" s="18">
        <v>12787</v>
      </c>
      <c r="G79" s="18">
        <v>945</v>
      </c>
      <c r="H79" s="18">
        <v>974</v>
      </c>
      <c r="I79" s="18">
        <v>1407</v>
      </c>
      <c r="J79" s="18">
        <v>4037</v>
      </c>
      <c r="K79" s="18">
        <v>99182</v>
      </c>
      <c r="L79" s="33">
        <v>0.14827287209372669</v>
      </c>
      <c r="M79" t="s">
        <v>18</v>
      </c>
    </row>
    <row r="80" spans="1:13" x14ac:dyDescent="0.3">
      <c r="A80" t="s">
        <v>130</v>
      </c>
      <c r="B80" t="s">
        <v>17</v>
      </c>
      <c r="C80" s="73">
        <v>45739</v>
      </c>
      <c r="D80" t="s">
        <v>14</v>
      </c>
      <c r="E80" t="s">
        <v>345</v>
      </c>
      <c r="F80" s="18">
        <v>24711</v>
      </c>
      <c r="G80" s="18">
        <v>882</v>
      </c>
      <c r="H80" s="18">
        <v>876</v>
      </c>
      <c r="I80" s="18">
        <v>2728</v>
      </c>
      <c r="J80" s="18">
        <v>32015</v>
      </c>
      <c r="K80" s="18">
        <v>180272</v>
      </c>
      <c r="L80" s="33">
        <v>0.1468281263867933</v>
      </c>
      <c r="M80" t="s">
        <v>25</v>
      </c>
    </row>
    <row r="81" spans="1:13" x14ac:dyDescent="0.3">
      <c r="A81" t="s">
        <v>268</v>
      </c>
      <c r="B81" t="s">
        <v>13</v>
      </c>
      <c r="C81" s="73">
        <v>45912</v>
      </c>
      <c r="D81" t="s">
        <v>24</v>
      </c>
      <c r="E81" t="s">
        <v>347</v>
      </c>
      <c r="F81" s="18">
        <v>15918</v>
      </c>
      <c r="G81" s="18">
        <v>1114</v>
      </c>
      <c r="H81" s="18">
        <v>392</v>
      </c>
      <c r="I81" s="18">
        <v>1641</v>
      </c>
      <c r="J81" s="18">
        <v>28044</v>
      </c>
      <c r="K81" s="18">
        <v>118714</v>
      </c>
      <c r="L81" s="33">
        <v>0.14677291642097814</v>
      </c>
      <c r="M81" t="s">
        <v>18</v>
      </c>
    </row>
    <row r="82" spans="1:13" x14ac:dyDescent="0.3">
      <c r="A82" t="s">
        <v>181</v>
      </c>
      <c r="B82" t="s">
        <v>20</v>
      </c>
      <c r="C82" s="73">
        <v>45647</v>
      </c>
      <c r="D82" t="s">
        <v>14</v>
      </c>
      <c r="E82" t="s">
        <v>343</v>
      </c>
      <c r="F82" s="18">
        <v>12453</v>
      </c>
      <c r="G82" s="18">
        <v>376</v>
      </c>
      <c r="H82" s="18">
        <v>320</v>
      </c>
      <c r="I82" s="18">
        <v>2546</v>
      </c>
      <c r="J82" s="18">
        <v>22617</v>
      </c>
      <c r="K82" s="18">
        <v>90138</v>
      </c>
      <c r="L82" s="33">
        <v>0.14587632297144379</v>
      </c>
      <c r="M82" t="s">
        <v>22</v>
      </c>
    </row>
    <row r="83" spans="1:13" x14ac:dyDescent="0.3">
      <c r="A83" t="s">
        <v>258</v>
      </c>
      <c r="B83" t="s">
        <v>17</v>
      </c>
      <c r="C83" s="73">
        <v>45776</v>
      </c>
      <c r="D83" t="s">
        <v>30</v>
      </c>
      <c r="E83" t="s">
        <v>348</v>
      </c>
      <c r="F83" s="18">
        <v>16277</v>
      </c>
      <c r="G83" s="18">
        <v>1109</v>
      </c>
      <c r="H83" s="18">
        <v>375</v>
      </c>
      <c r="I83" s="18">
        <v>2225</v>
      </c>
      <c r="J83" s="18">
        <v>1044</v>
      </c>
      <c r="K83" s="18">
        <v>121889</v>
      </c>
      <c r="L83" s="33">
        <v>0.14571454356012437</v>
      </c>
      <c r="M83" t="s">
        <v>25</v>
      </c>
    </row>
    <row r="84" spans="1:13" x14ac:dyDescent="0.3">
      <c r="A84" t="s">
        <v>250</v>
      </c>
      <c r="B84" t="s">
        <v>17</v>
      </c>
      <c r="C84" s="73">
        <v>45907</v>
      </c>
      <c r="D84" t="s">
        <v>21</v>
      </c>
      <c r="E84" t="s">
        <v>352</v>
      </c>
      <c r="F84" s="18">
        <v>4472</v>
      </c>
      <c r="G84" s="18">
        <v>1301</v>
      </c>
      <c r="H84" s="18">
        <v>956</v>
      </c>
      <c r="I84" s="18">
        <v>1186</v>
      </c>
      <c r="J84" s="18">
        <v>3363</v>
      </c>
      <c r="K84" s="18">
        <v>46471</v>
      </c>
      <c r="L84" s="33">
        <v>0.14479998278496267</v>
      </c>
      <c r="M84" t="s">
        <v>18</v>
      </c>
    </row>
    <row r="85" spans="1:13" x14ac:dyDescent="0.3">
      <c r="A85" t="s">
        <v>93</v>
      </c>
      <c r="B85" t="s">
        <v>17</v>
      </c>
      <c r="C85" s="73">
        <v>45745</v>
      </c>
      <c r="D85" t="s">
        <v>24</v>
      </c>
      <c r="E85" t="s">
        <v>348</v>
      </c>
      <c r="F85" s="18">
        <v>19461</v>
      </c>
      <c r="G85" s="18">
        <v>1382</v>
      </c>
      <c r="H85" s="18">
        <v>445</v>
      </c>
      <c r="I85" s="18">
        <v>1307</v>
      </c>
      <c r="J85" s="18">
        <v>84691</v>
      </c>
      <c r="K85" s="18">
        <v>151453</v>
      </c>
      <c r="L85" s="33">
        <v>0.14055845707909384</v>
      </c>
      <c r="M85" t="s">
        <v>25</v>
      </c>
    </row>
    <row r="86" spans="1:13" x14ac:dyDescent="0.3">
      <c r="A86" t="s">
        <v>229</v>
      </c>
      <c r="B86" t="s">
        <v>13</v>
      </c>
      <c r="C86" s="73">
        <v>45617</v>
      </c>
      <c r="D86" t="s">
        <v>14</v>
      </c>
      <c r="E86" t="s">
        <v>348</v>
      </c>
      <c r="F86" s="18">
        <v>8229</v>
      </c>
      <c r="G86" s="18">
        <v>977</v>
      </c>
      <c r="H86" s="18">
        <v>152</v>
      </c>
      <c r="I86" s="18">
        <v>1633</v>
      </c>
      <c r="J86" s="18">
        <v>71447</v>
      </c>
      <c r="K86" s="18">
        <v>67723</v>
      </c>
      <c r="L86" s="33">
        <v>0.13818052950991538</v>
      </c>
      <c r="M86" t="s">
        <v>38</v>
      </c>
    </row>
    <row r="87" spans="1:13" x14ac:dyDescent="0.3">
      <c r="A87" t="s">
        <v>210</v>
      </c>
      <c r="B87" t="s">
        <v>13</v>
      </c>
      <c r="C87" s="73">
        <v>45943</v>
      </c>
      <c r="D87" t="s">
        <v>24</v>
      </c>
      <c r="E87" t="s">
        <v>350</v>
      </c>
      <c r="F87" s="18">
        <v>19302</v>
      </c>
      <c r="G87" s="18">
        <v>1367</v>
      </c>
      <c r="H87" s="18">
        <v>188</v>
      </c>
      <c r="I87" s="18">
        <v>637</v>
      </c>
      <c r="J87" s="18">
        <v>31404</v>
      </c>
      <c r="K87" s="18">
        <v>154044</v>
      </c>
      <c r="L87" s="33">
        <v>0.13539638025499209</v>
      </c>
      <c r="M87" t="s">
        <v>18</v>
      </c>
    </row>
    <row r="88" spans="1:13" x14ac:dyDescent="0.3">
      <c r="A88" t="s">
        <v>114</v>
      </c>
      <c r="B88" t="s">
        <v>20</v>
      </c>
      <c r="C88" s="73">
        <v>45480</v>
      </c>
      <c r="D88" t="s">
        <v>21</v>
      </c>
      <c r="E88" t="s">
        <v>344</v>
      </c>
      <c r="F88" s="18">
        <v>24625</v>
      </c>
      <c r="G88" s="18">
        <v>749</v>
      </c>
      <c r="H88" s="18">
        <v>193</v>
      </c>
      <c r="I88" s="18">
        <v>1340</v>
      </c>
      <c r="J88" s="18">
        <v>4890</v>
      </c>
      <c r="K88" s="18">
        <v>189381</v>
      </c>
      <c r="L88" s="33">
        <v>0.13500298340382616</v>
      </c>
      <c r="M88" t="s">
        <v>15</v>
      </c>
    </row>
    <row r="89" spans="1:13" x14ac:dyDescent="0.3">
      <c r="A89" t="s">
        <v>65</v>
      </c>
      <c r="B89" t="s">
        <v>20</v>
      </c>
      <c r="C89" s="73">
        <v>45913</v>
      </c>
      <c r="D89" t="s">
        <v>30</v>
      </c>
      <c r="E89" t="s">
        <v>347</v>
      </c>
      <c r="F89" s="18">
        <v>17106</v>
      </c>
      <c r="G89" s="18">
        <v>702</v>
      </c>
      <c r="H89" s="18">
        <v>459</v>
      </c>
      <c r="I89" s="18">
        <v>999</v>
      </c>
      <c r="J89" s="18">
        <v>59627</v>
      </c>
      <c r="K89" s="18">
        <v>136059</v>
      </c>
      <c r="L89" s="33">
        <v>0.13425793222058077</v>
      </c>
      <c r="M89" t="s">
        <v>18</v>
      </c>
    </row>
    <row r="90" spans="1:13" x14ac:dyDescent="0.3">
      <c r="A90" t="s">
        <v>194</v>
      </c>
      <c r="B90" t="s">
        <v>13</v>
      </c>
      <c r="C90" s="73">
        <v>45608</v>
      </c>
      <c r="D90" t="s">
        <v>14</v>
      </c>
      <c r="E90" t="s">
        <v>344</v>
      </c>
      <c r="F90" s="18">
        <v>19022</v>
      </c>
      <c r="G90" s="18">
        <v>541</v>
      </c>
      <c r="H90" s="18">
        <v>575</v>
      </c>
      <c r="I90" s="18">
        <v>2063</v>
      </c>
      <c r="J90" s="18">
        <v>42743</v>
      </c>
      <c r="K90" s="18">
        <v>150169</v>
      </c>
      <c r="L90" s="33">
        <v>0.13410224480418728</v>
      </c>
      <c r="M90" t="s">
        <v>15</v>
      </c>
    </row>
    <row r="91" spans="1:13" x14ac:dyDescent="0.3">
      <c r="A91" t="s">
        <v>86</v>
      </c>
      <c r="B91" t="s">
        <v>20</v>
      </c>
      <c r="C91" s="73">
        <v>45685</v>
      </c>
      <c r="D91" t="s">
        <v>21</v>
      </c>
      <c r="E91" t="s">
        <v>348</v>
      </c>
      <c r="F91" s="18">
        <v>9239</v>
      </c>
      <c r="G91" s="18">
        <v>1477</v>
      </c>
      <c r="H91" s="18">
        <v>631</v>
      </c>
      <c r="I91" s="18">
        <v>1556</v>
      </c>
      <c r="J91" s="18">
        <v>11580</v>
      </c>
      <c r="K91" s="18">
        <v>84738</v>
      </c>
      <c r="L91" s="33">
        <v>0.13390686586891359</v>
      </c>
      <c r="M91" t="s">
        <v>22</v>
      </c>
    </row>
    <row r="92" spans="1:13" x14ac:dyDescent="0.3">
      <c r="A92" t="s">
        <v>173</v>
      </c>
      <c r="B92" t="s">
        <v>13</v>
      </c>
      <c r="C92" s="73">
        <v>45586</v>
      </c>
      <c r="D92" t="s">
        <v>21</v>
      </c>
      <c r="E92" t="s">
        <v>349</v>
      </c>
      <c r="F92" s="18">
        <v>20777</v>
      </c>
      <c r="G92" s="18">
        <v>962</v>
      </c>
      <c r="H92" s="18">
        <v>308</v>
      </c>
      <c r="I92" s="18">
        <v>2777</v>
      </c>
      <c r="J92" s="18">
        <v>25529</v>
      </c>
      <c r="K92" s="18">
        <v>165354</v>
      </c>
      <c r="L92" s="33">
        <v>0.13333212380710477</v>
      </c>
      <c r="M92" t="s">
        <v>15</v>
      </c>
    </row>
    <row r="93" spans="1:13" x14ac:dyDescent="0.3">
      <c r="A93" t="s">
        <v>98</v>
      </c>
      <c r="B93" t="s">
        <v>34</v>
      </c>
      <c r="C93" s="73">
        <v>45719</v>
      </c>
      <c r="D93" t="s">
        <v>30</v>
      </c>
      <c r="E93" t="s">
        <v>350</v>
      </c>
      <c r="F93" s="18">
        <v>24928</v>
      </c>
      <c r="G93" s="18">
        <v>214</v>
      </c>
      <c r="H93" s="18">
        <v>765</v>
      </c>
      <c r="I93" s="18">
        <v>1556</v>
      </c>
      <c r="J93" s="18">
        <v>5239</v>
      </c>
      <c r="K93" s="18">
        <v>194571</v>
      </c>
      <c r="L93" s="33">
        <v>0.13314933880177415</v>
      </c>
      <c r="M93" t="s">
        <v>38</v>
      </c>
    </row>
    <row r="94" spans="1:13" x14ac:dyDescent="0.3">
      <c r="A94" t="s">
        <v>291</v>
      </c>
      <c r="B94" t="s">
        <v>13</v>
      </c>
      <c r="C94" s="73">
        <v>45708</v>
      </c>
      <c r="D94" t="s">
        <v>30</v>
      </c>
      <c r="E94" t="s">
        <v>349</v>
      </c>
      <c r="F94" s="18">
        <v>15703</v>
      </c>
      <c r="G94" s="18">
        <v>1381</v>
      </c>
      <c r="H94" s="18">
        <v>639</v>
      </c>
      <c r="I94" s="18">
        <v>984</v>
      </c>
      <c r="J94" s="18">
        <v>10967</v>
      </c>
      <c r="K94" s="18">
        <v>133747</v>
      </c>
      <c r="L94" s="33">
        <v>0.13251138343289942</v>
      </c>
      <c r="M94" t="s">
        <v>38</v>
      </c>
    </row>
    <row r="95" spans="1:13" x14ac:dyDescent="0.3">
      <c r="A95" t="s">
        <v>29</v>
      </c>
      <c r="B95" t="s">
        <v>20</v>
      </c>
      <c r="C95" s="73">
        <v>45467</v>
      </c>
      <c r="D95" t="s">
        <v>30</v>
      </c>
      <c r="E95" t="s">
        <v>347</v>
      </c>
      <c r="F95" s="18">
        <v>7713</v>
      </c>
      <c r="G95" s="18">
        <v>575</v>
      </c>
      <c r="H95" s="18">
        <v>417</v>
      </c>
      <c r="I95" s="18">
        <v>336</v>
      </c>
      <c r="J95" s="18">
        <v>61660</v>
      </c>
      <c r="K95" s="18">
        <v>66017</v>
      </c>
      <c r="L95" s="33">
        <v>0.13185997546086614</v>
      </c>
      <c r="M95" t="s">
        <v>25</v>
      </c>
    </row>
    <row r="96" spans="1:13" x14ac:dyDescent="0.3">
      <c r="A96" t="s">
        <v>126</v>
      </c>
      <c r="B96" t="s">
        <v>20</v>
      </c>
      <c r="C96" s="73">
        <v>45925</v>
      </c>
      <c r="D96" t="s">
        <v>14</v>
      </c>
      <c r="E96" t="s">
        <v>28</v>
      </c>
      <c r="F96" s="18">
        <v>20564</v>
      </c>
      <c r="G96" s="18">
        <v>1433</v>
      </c>
      <c r="H96" s="18">
        <v>488</v>
      </c>
      <c r="I96" s="18">
        <v>1015</v>
      </c>
      <c r="J96" s="18">
        <v>24333</v>
      </c>
      <c r="K96" s="18">
        <v>172130</v>
      </c>
      <c r="L96" s="33">
        <v>0.13062801371056759</v>
      </c>
      <c r="M96" t="s">
        <v>18</v>
      </c>
    </row>
    <row r="97" spans="1:13" x14ac:dyDescent="0.3">
      <c r="A97" t="s">
        <v>320</v>
      </c>
      <c r="B97" t="s">
        <v>34</v>
      </c>
      <c r="C97" s="73">
        <v>45462</v>
      </c>
      <c r="D97" t="s">
        <v>30</v>
      </c>
      <c r="E97" t="s">
        <v>351</v>
      </c>
      <c r="F97" s="18">
        <v>20444</v>
      </c>
      <c r="G97" s="18">
        <v>233</v>
      </c>
      <c r="H97" s="18">
        <v>189</v>
      </c>
      <c r="I97" s="18">
        <v>2879</v>
      </c>
      <c r="J97" s="18">
        <v>28185</v>
      </c>
      <c r="K97" s="18">
        <v>159891</v>
      </c>
      <c r="L97" s="33">
        <v>0.13050140408153055</v>
      </c>
      <c r="M97" t="s">
        <v>25</v>
      </c>
    </row>
    <row r="98" spans="1:13" x14ac:dyDescent="0.3">
      <c r="A98" t="s">
        <v>12</v>
      </c>
      <c r="B98" t="s">
        <v>13</v>
      </c>
      <c r="C98" s="73">
        <v>45649</v>
      </c>
      <c r="D98" t="s">
        <v>14</v>
      </c>
      <c r="E98" t="s">
        <v>343</v>
      </c>
      <c r="F98" s="18">
        <v>24516</v>
      </c>
      <c r="G98" s="18">
        <v>976</v>
      </c>
      <c r="H98" s="18">
        <v>974</v>
      </c>
      <c r="I98" s="18">
        <v>2675</v>
      </c>
      <c r="J98" s="18">
        <v>23275</v>
      </c>
      <c r="K98" s="18">
        <v>202932</v>
      </c>
      <c r="L98" s="33">
        <v>0.13041807107799658</v>
      </c>
      <c r="M98" t="s">
        <v>15</v>
      </c>
    </row>
    <row r="99" spans="1:13" x14ac:dyDescent="0.3">
      <c r="A99" t="s">
        <v>110</v>
      </c>
      <c r="B99" t="s">
        <v>17</v>
      </c>
      <c r="C99" s="73">
        <v>45635</v>
      </c>
      <c r="D99" t="s">
        <v>14</v>
      </c>
      <c r="E99" t="s">
        <v>344</v>
      </c>
      <c r="F99" s="18">
        <v>15051</v>
      </c>
      <c r="G99" s="18">
        <v>268</v>
      </c>
      <c r="H99" s="18">
        <v>251</v>
      </c>
      <c r="I99" s="18">
        <v>783</v>
      </c>
      <c r="J99" s="18">
        <v>34154</v>
      </c>
      <c r="K99" s="18">
        <v>119671</v>
      </c>
      <c r="L99" s="33">
        <v>0.13010670922779954</v>
      </c>
      <c r="M99" t="s">
        <v>25</v>
      </c>
    </row>
    <row r="100" spans="1:13" x14ac:dyDescent="0.3">
      <c r="A100" t="s">
        <v>79</v>
      </c>
      <c r="B100" t="s">
        <v>13</v>
      </c>
      <c r="C100" s="73">
        <v>45712</v>
      </c>
      <c r="D100" t="s">
        <v>14</v>
      </c>
      <c r="E100" t="s">
        <v>350</v>
      </c>
      <c r="F100" s="18">
        <v>23949</v>
      </c>
      <c r="G100" s="18">
        <v>356</v>
      </c>
      <c r="H100" s="18">
        <v>616</v>
      </c>
      <c r="I100" s="18">
        <v>1847</v>
      </c>
      <c r="J100" s="18">
        <v>3144</v>
      </c>
      <c r="K100" s="18">
        <v>192999</v>
      </c>
      <c r="L100" s="33">
        <v>0.12912502137316773</v>
      </c>
      <c r="M100" t="s">
        <v>25</v>
      </c>
    </row>
    <row r="101" spans="1:13" x14ac:dyDescent="0.3">
      <c r="A101" t="s">
        <v>164</v>
      </c>
      <c r="B101" t="s">
        <v>20</v>
      </c>
      <c r="C101" s="73">
        <v>45745</v>
      </c>
      <c r="D101" t="s">
        <v>30</v>
      </c>
      <c r="E101" t="s">
        <v>345</v>
      </c>
      <c r="F101" s="18">
        <v>23508</v>
      </c>
      <c r="G101" s="18">
        <v>585</v>
      </c>
      <c r="H101" s="18">
        <v>743</v>
      </c>
      <c r="I101" s="18">
        <v>2155</v>
      </c>
      <c r="J101" s="18">
        <v>3704</v>
      </c>
      <c r="K101" s="18">
        <v>194268</v>
      </c>
      <c r="L101" s="33">
        <v>0.1278440093067309</v>
      </c>
      <c r="M101" t="s">
        <v>25</v>
      </c>
    </row>
    <row r="102" spans="1:13" x14ac:dyDescent="0.3">
      <c r="A102" t="s">
        <v>220</v>
      </c>
      <c r="B102" t="s">
        <v>13</v>
      </c>
      <c r="C102" s="73">
        <v>45567</v>
      </c>
      <c r="D102" t="s">
        <v>24</v>
      </c>
      <c r="E102" t="s">
        <v>347</v>
      </c>
      <c r="F102" s="18">
        <v>5086</v>
      </c>
      <c r="G102" s="18">
        <v>1336</v>
      </c>
      <c r="H102" s="18">
        <v>897</v>
      </c>
      <c r="I102" s="18">
        <v>1715</v>
      </c>
      <c r="J102" s="18">
        <v>60592</v>
      </c>
      <c r="K102" s="18">
        <v>57772</v>
      </c>
      <c r="L102" s="33">
        <v>0.12668766876687668</v>
      </c>
      <c r="M102" t="s">
        <v>22</v>
      </c>
    </row>
    <row r="103" spans="1:13" x14ac:dyDescent="0.3">
      <c r="A103" t="s">
        <v>161</v>
      </c>
      <c r="B103" t="s">
        <v>13</v>
      </c>
      <c r="C103" s="73">
        <v>45624</v>
      </c>
      <c r="D103" t="s">
        <v>30</v>
      </c>
      <c r="E103" t="s">
        <v>349</v>
      </c>
      <c r="F103" s="18">
        <v>19055</v>
      </c>
      <c r="G103" s="18">
        <v>443</v>
      </c>
      <c r="H103" s="18">
        <v>976</v>
      </c>
      <c r="I103" s="18">
        <v>869</v>
      </c>
      <c r="J103" s="18">
        <v>75437</v>
      </c>
      <c r="K103" s="18">
        <v>161863</v>
      </c>
      <c r="L103" s="33">
        <v>0.12648968572187591</v>
      </c>
      <c r="M103" t="s">
        <v>22</v>
      </c>
    </row>
    <row r="104" spans="1:13" x14ac:dyDescent="0.3">
      <c r="A104" t="s">
        <v>231</v>
      </c>
      <c r="B104" t="s">
        <v>17</v>
      </c>
      <c r="C104" s="73">
        <v>45923</v>
      </c>
      <c r="D104" t="s">
        <v>21</v>
      </c>
      <c r="E104" t="s">
        <v>350</v>
      </c>
      <c r="F104" s="18">
        <v>17147</v>
      </c>
      <c r="G104" s="18">
        <v>286</v>
      </c>
      <c r="H104" s="18">
        <v>291</v>
      </c>
      <c r="I104" s="18">
        <v>2439</v>
      </c>
      <c r="J104" s="18">
        <v>45631</v>
      </c>
      <c r="K104" s="18">
        <v>140494</v>
      </c>
      <c r="L104" s="33">
        <v>0.12615485358805359</v>
      </c>
      <c r="M104" t="s">
        <v>18</v>
      </c>
    </row>
    <row r="105" spans="1:13" x14ac:dyDescent="0.3">
      <c r="A105" t="s">
        <v>49</v>
      </c>
      <c r="B105" t="s">
        <v>17</v>
      </c>
      <c r="C105" s="73">
        <v>45680</v>
      </c>
      <c r="D105" t="s">
        <v>24</v>
      </c>
      <c r="E105" t="s">
        <v>349</v>
      </c>
      <c r="F105" s="18">
        <v>23168</v>
      </c>
      <c r="G105" s="18">
        <v>1265</v>
      </c>
      <c r="H105" s="18">
        <v>441</v>
      </c>
      <c r="I105" s="18">
        <v>1612</v>
      </c>
      <c r="J105" s="18">
        <v>66615</v>
      </c>
      <c r="K105" s="18">
        <v>197795</v>
      </c>
      <c r="L105" s="33">
        <v>0.12575646502692181</v>
      </c>
      <c r="M105" t="s">
        <v>25</v>
      </c>
    </row>
    <row r="106" spans="1:13" x14ac:dyDescent="0.3">
      <c r="A106" t="s">
        <v>297</v>
      </c>
      <c r="B106" t="s">
        <v>34</v>
      </c>
      <c r="C106" s="73">
        <v>45582</v>
      </c>
      <c r="D106" t="s">
        <v>24</v>
      </c>
      <c r="E106" t="s">
        <v>345</v>
      </c>
      <c r="F106" s="18">
        <v>18608</v>
      </c>
      <c r="G106" s="18">
        <v>1338</v>
      </c>
      <c r="H106" s="18">
        <v>365</v>
      </c>
      <c r="I106" s="18">
        <v>2289</v>
      </c>
      <c r="J106" s="18">
        <v>20785</v>
      </c>
      <c r="K106" s="18">
        <v>161999</v>
      </c>
      <c r="L106" s="33">
        <v>0.12537731714393299</v>
      </c>
      <c r="M106" t="s">
        <v>15</v>
      </c>
    </row>
    <row r="107" spans="1:13" x14ac:dyDescent="0.3">
      <c r="A107" t="s">
        <v>157</v>
      </c>
      <c r="B107" t="s">
        <v>17</v>
      </c>
      <c r="C107" s="73">
        <v>45586</v>
      </c>
      <c r="D107" t="s">
        <v>14</v>
      </c>
      <c r="E107" t="s">
        <v>349</v>
      </c>
      <c r="F107" s="18">
        <v>20271</v>
      </c>
      <c r="G107" s="18">
        <v>512</v>
      </c>
      <c r="H107" s="18">
        <v>286</v>
      </c>
      <c r="I107" s="18">
        <v>1982</v>
      </c>
      <c r="J107" s="18">
        <v>43225</v>
      </c>
      <c r="K107" s="18">
        <v>168335</v>
      </c>
      <c r="L107" s="33">
        <v>0.12516113701844536</v>
      </c>
      <c r="M107" t="s">
        <v>25</v>
      </c>
    </row>
    <row r="108" spans="1:13" x14ac:dyDescent="0.3">
      <c r="A108" t="s">
        <v>62</v>
      </c>
      <c r="B108" t="s">
        <v>20</v>
      </c>
      <c r="C108" s="73">
        <v>45766</v>
      </c>
      <c r="D108" t="s">
        <v>30</v>
      </c>
      <c r="E108" t="s">
        <v>55</v>
      </c>
      <c r="F108" s="18">
        <v>20384</v>
      </c>
      <c r="G108" s="18">
        <v>344</v>
      </c>
      <c r="H108" s="18">
        <v>956</v>
      </c>
      <c r="I108" s="18">
        <v>655</v>
      </c>
      <c r="J108" s="18">
        <v>67621</v>
      </c>
      <c r="K108" s="18">
        <v>175720</v>
      </c>
      <c r="L108" s="33">
        <v>0.12340086501251991</v>
      </c>
      <c r="M108" t="s">
        <v>22</v>
      </c>
    </row>
    <row r="109" spans="1:13" x14ac:dyDescent="0.3">
      <c r="A109" t="s">
        <v>170</v>
      </c>
      <c r="B109" t="s">
        <v>17</v>
      </c>
      <c r="C109" s="73">
        <v>45593</v>
      </c>
      <c r="D109" t="s">
        <v>30</v>
      </c>
      <c r="E109" t="s">
        <v>351</v>
      </c>
      <c r="F109" s="18">
        <v>8981</v>
      </c>
      <c r="G109" s="18">
        <v>1138</v>
      </c>
      <c r="H109" s="18">
        <v>764</v>
      </c>
      <c r="I109" s="18">
        <v>2555</v>
      </c>
      <c r="J109" s="18">
        <v>92810</v>
      </c>
      <c r="K109" s="18">
        <v>88320</v>
      </c>
      <c r="L109" s="33">
        <v>0.1232223731884058</v>
      </c>
      <c r="M109" t="s">
        <v>38</v>
      </c>
    </row>
    <row r="110" spans="1:13" x14ac:dyDescent="0.3">
      <c r="A110" t="s">
        <v>183</v>
      </c>
      <c r="B110" t="s">
        <v>13</v>
      </c>
      <c r="C110" s="73">
        <v>45496</v>
      </c>
      <c r="D110" t="s">
        <v>24</v>
      </c>
      <c r="E110" t="s">
        <v>351</v>
      </c>
      <c r="F110" s="18">
        <v>24877</v>
      </c>
      <c r="G110" s="18">
        <v>262</v>
      </c>
      <c r="H110" s="18">
        <v>513</v>
      </c>
      <c r="I110" s="18">
        <v>648</v>
      </c>
      <c r="J110" s="18">
        <v>47544</v>
      </c>
      <c r="K110" s="18">
        <v>208280</v>
      </c>
      <c r="L110" s="33">
        <v>0.12316112924908777</v>
      </c>
      <c r="M110" t="s">
        <v>22</v>
      </c>
    </row>
    <row r="111" spans="1:13" x14ac:dyDescent="0.3">
      <c r="A111" t="s">
        <v>135</v>
      </c>
      <c r="B111" t="s">
        <v>34</v>
      </c>
      <c r="C111" s="73">
        <v>45512</v>
      </c>
      <c r="D111" t="s">
        <v>30</v>
      </c>
      <c r="E111" t="s">
        <v>348</v>
      </c>
      <c r="F111" s="18">
        <v>24355</v>
      </c>
      <c r="G111" s="18">
        <v>1087</v>
      </c>
      <c r="H111" s="18">
        <v>686</v>
      </c>
      <c r="I111" s="18">
        <v>2426</v>
      </c>
      <c r="J111" s="18">
        <v>24963</v>
      </c>
      <c r="K111" s="18">
        <v>212307</v>
      </c>
      <c r="L111" s="33">
        <v>0.1230670679723231</v>
      </c>
      <c r="M111" t="s">
        <v>15</v>
      </c>
    </row>
    <row r="112" spans="1:13" x14ac:dyDescent="0.3">
      <c r="A112" t="s">
        <v>243</v>
      </c>
      <c r="B112" t="s">
        <v>17</v>
      </c>
      <c r="C112" s="73">
        <v>45926</v>
      </c>
      <c r="D112" t="s">
        <v>30</v>
      </c>
      <c r="E112" t="s">
        <v>343</v>
      </c>
      <c r="F112" s="18">
        <v>16369</v>
      </c>
      <c r="G112" s="18">
        <v>1452</v>
      </c>
      <c r="H112" s="18">
        <v>493</v>
      </c>
      <c r="I112" s="18">
        <v>1217</v>
      </c>
      <c r="J112" s="18">
        <v>91440</v>
      </c>
      <c r="K112" s="18">
        <v>149834</v>
      </c>
      <c r="L112" s="33">
        <v>0.12222859965027964</v>
      </c>
      <c r="M112" t="s">
        <v>18</v>
      </c>
    </row>
    <row r="113" spans="1:13" x14ac:dyDescent="0.3">
      <c r="A113" t="s">
        <v>92</v>
      </c>
      <c r="B113" t="s">
        <v>34</v>
      </c>
      <c r="C113" s="73">
        <v>45499</v>
      </c>
      <c r="D113" t="s">
        <v>21</v>
      </c>
      <c r="E113" t="s">
        <v>348</v>
      </c>
      <c r="F113" s="18">
        <v>12176</v>
      </c>
      <c r="G113" s="18">
        <v>1005</v>
      </c>
      <c r="H113" s="18">
        <v>862</v>
      </c>
      <c r="I113" s="18">
        <v>974</v>
      </c>
      <c r="J113" s="18">
        <v>2285</v>
      </c>
      <c r="K113" s="18">
        <v>116619</v>
      </c>
      <c r="L113" s="33">
        <v>0.12041777068916729</v>
      </c>
      <c r="M113" t="s">
        <v>25</v>
      </c>
    </row>
    <row r="114" spans="1:13" x14ac:dyDescent="0.3">
      <c r="A114" t="s">
        <v>254</v>
      </c>
      <c r="B114" t="s">
        <v>34</v>
      </c>
      <c r="C114" s="73">
        <v>45474</v>
      </c>
      <c r="D114" t="s">
        <v>24</v>
      </c>
      <c r="E114" t="s">
        <v>345</v>
      </c>
      <c r="F114" s="18">
        <v>3761</v>
      </c>
      <c r="G114" s="18">
        <v>651</v>
      </c>
      <c r="H114" s="18">
        <v>493</v>
      </c>
      <c r="I114" s="18">
        <v>2294</v>
      </c>
      <c r="J114" s="18">
        <v>71696</v>
      </c>
      <c r="K114" s="18">
        <v>41177</v>
      </c>
      <c r="L114" s="33">
        <v>0.11911989702989532</v>
      </c>
      <c r="M114" t="s">
        <v>15</v>
      </c>
    </row>
    <row r="115" spans="1:13" x14ac:dyDescent="0.3">
      <c r="A115" t="s">
        <v>260</v>
      </c>
      <c r="B115" t="s">
        <v>17</v>
      </c>
      <c r="C115" s="73">
        <v>45444</v>
      </c>
      <c r="D115" t="s">
        <v>14</v>
      </c>
      <c r="E115" t="s">
        <v>347</v>
      </c>
      <c r="F115" s="18">
        <v>19844</v>
      </c>
      <c r="G115" s="18">
        <v>1022</v>
      </c>
      <c r="H115" s="18">
        <v>860</v>
      </c>
      <c r="I115" s="18">
        <v>2570</v>
      </c>
      <c r="J115" s="18">
        <v>23719</v>
      </c>
      <c r="K115" s="18">
        <v>182628</v>
      </c>
      <c r="L115" s="33">
        <v>0.11896313818253498</v>
      </c>
      <c r="M115" t="s">
        <v>22</v>
      </c>
    </row>
    <row r="116" spans="1:13" x14ac:dyDescent="0.3">
      <c r="A116" t="s">
        <v>133</v>
      </c>
      <c r="B116" t="s">
        <v>34</v>
      </c>
      <c r="C116" s="73">
        <v>45464</v>
      </c>
      <c r="D116" t="s">
        <v>24</v>
      </c>
      <c r="E116" t="s">
        <v>346</v>
      </c>
      <c r="F116" s="18">
        <v>21216</v>
      </c>
      <c r="G116" s="18">
        <v>1207</v>
      </c>
      <c r="H116" s="18">
        <v>859</v>
      </c>
      <c r="I116" s="18">
        <v>328</v>
      </c>
      <c r="J116" s="18">
        <v>91296</v>
      </c>
      <c r="K116" s="18">
        <v>196683</v>
      </c>
      <c r="L116" s="33">
        <v>0.1183732198512327</v>
      </c>
      <c r="M116" t="s">
        <v>22</v>
      </c>
    </row>
    <row r="117" spans="1:13" x14ac:dyDescent="0.3">
      <c r="A117" t="s">
        <v>89</v>
      </c>
      <c r="B117" t="s">
        <v>20</v>
      </c>
      <c r="C117" s="73">
        <v>45504</v>
      </c>
      <c r="D117" t="s">
        <v>14</v>
      </c>
      <c r="E117" t="s">
        <v>343</v>
      </c>
      <c r="F117" s="18">
        <v>12357</v>
      </c>
      <c r="G117" s="18">
        <v>716</v>
      </c>
      <c r="H117" s="18">
        <v>599</v>
      </c>
      <c r="I117" s="18">
        <v>999</v>
      </c>
      <c r="J117" s="18">
        <v>89591</v>
      </c>
      <c r="K117" s="18">
        <v>116367</v>
      </c>
      <c r="L117" s="33">
        <v>0.11749035379446063</v>
      </c>
      <c r="M117" t="s">
        <v>15</v>
      </c>
    </row>
    <row r="118" spans="1:13" x14ac:dyDescent="0.3">
      <c r="A118" t="s">
        <v>230</v>
      </c>
      <c r="B118" t="s">
        <v>20</v>
      </c>
      <c r="C118" s="73">
        <v>45922</v>
      </c>
      <c r="D118" t="s">
        <v>30</v>
      </c>
      <c r="E118" t="s">
        <v>28</v>
      </c>
      <c r="F118" s="18">
        <v>18509</v>
      </c>
      <c r="G118" s="18">
        <v>361</v>
      </c>
      <c r="H118" s="18">
        <v>578</v>
      </c>
      <c r="I118" s="18">
        <v>1409</v>
      </c>
      <c r="J118" s="18">
        <v>10569</v>
      </c>
      <c r="K118" s="18">
        <v>166969</v>
      </c>
      <c r="L118" s="33">
        <v>0.11647671124580011</v>
      </c>
      <c r="M118" t="s">
        <v>18</v>
      </c>
    </row>
    <row r="119" spans="1:13" x14ac:dyDescent="0.3">
      <c r="A119" t="s">
        <v>276</v>
      </c>
      <c r="B119" t="s">
        <v>13</v>
      </c>
      <c r="C119" s="73">
        <v>45465</v>
      </c>
      <c r="D119" t="s">
        <v>21</v>
      </c>
      <c r="E119" t="s">
        <v>348</v>
      </c>
      <c r="F119" s="18">
        <v>7342</v>
      </c>
      <c r="G119" s="18">
        <v>906</v>
      </c>
      <c r="H119" s="18">
        <v>902</v>
      </c>
      <c r="I119" s="18">
        <v>1199</v>
      </c>
      <c r="J119" s="18">
        <v>68488</v>
      </c>
      <c r="K119" s="18">
        <v>79310</v>
      </c>
      <c r="L119" s="33">
        <v>0.1153700668263775</v>
      </c>
      <c r="M119" t="s">
        <v>15</v>
      </c>
    </row>
    <row r="120" spans="1:13" x14ac:dyDescent="0.3">
      <c r="A120" t="s">
        <v>121</v>
      </c>
      <c r="B120" t="s">
        <v>34</v>
      </c>
      <c r="C120" s="73">
        <v>45604</v>
      </c>
      <c r="D120" t="s">
        <v>21</v>
      </c>
      <c r="E120" t="s">
        <v>346</v>
      </c>
      <c r="F120" s="18">
        <v>23499</v>
      </c>
      <c r="G120" s="18">
        <v>562</v>
      </c>
      <c r="H120" s="18">
        <v>964</v>
      </c>
      <c r="I120" s="18">
        <v>2557</v>
      </c>
      <c r="J120" s="18">
        <v>56890</v>
      </c>
      <c r="K120" s="18">
        <v>218686</v>
      </c>
      <c r="L120" s="33">
        <v>0.11443347996671026</v>
      </c>
      <c r="M120" t="s">
        <v>25</v>
      </c>
    </row>
    <row r="121" spans="1:13" x14ac:dyDescent="0.3">
      <c r="A121" t="s">
        <v>169</v>
      </c>
      <c r="B121" t="s">
        <v>17</v>
      </c>
      <c r="C121" s="73">
        <v>45567</v>
      </c>
      <c r="D121" t="s">
        <v>14</v>
      </c>
      <c r="E121" t="s">
        <v>345</v>
      </c>
      <c r="F121" s="18">
        <v>15716</v>
      </c>
      <c r="G121" s="18">
        <v>839</v>
      </c>
      <c r="H121" s="18">
        <v>639</v>
      </c>
      <c r="I121" s="18">
        <v>2839</v>
      </c>
      <c r="J121" s="18">
        <v>349</v>
      </c>
      <c r="K121" s="18">
        <v>150677</v>
      </c>
      <c r="L121" s="33">
        <v>0.11411164278556117</v>
      </c>
      <c r="M121" t="s">
        <v>22</v>
      </c>
    </row>
    <row r="122" spans="1:13" x14ac:dyDescent="0.3">
      <c r="A122" t="s">
        <v>124</v>
      </c>
      <c r="B122" t="s">
        <v>17</v>
      </c>
      <c r="C122" s="73">
        <v>45453</v>
      </c>
      <c r="D122" t="s">
        <v>24</v>
      </c>
      <c r="E122" t="s">
        <v>347</v>
      </c>
      <c r="F122" s="18">
        <v>21561</v>
      </c>
      <c r="G122" s="18">
        <v>340</v>
      </c>
      <c r="H122" s="18">
        <v>741</v>
      </c>
      <c r="I122" s="18">
        <v>986</v>
      </c>
      <c r="J122" s="18">
        <v>24826</v>
      </c>
      <c r="K122" s="18">
        <v>198492</v>
      </c>
      <c r="L122" s="33">
        <v>0.11407008846704149</v>
      </c>
      <c r="M122" t="s">
        <v>15</v>
      </c>
    </row>
    <row r="123" spans="1:13" x14ac:dyDescent="0.3">
      <c r="A123" t="s">
        <v>187</v>
      </c>
      <c r="B123" t="s">
        <v>13</v>
      </c>
      <c r="C123" s="73">
        <v>45936</v>
      </c>
      <c r="D123" t="s">
        <v>24</v>
      </c>
      <c r="E123" t="s">
        <v>345</v>
      </c>
      <c r="F123" s="18">
        <v>22028</v>
      </c>
      <c r="G123" s="18">
        <v>355</v>
      </c>
      <c r="H123" s="18">
        <v>665</v>
      </c>
      <c r="I123" s="18">
        <v>1859</v>
      </c>
      <c r="J123" s="18">
        <v>50565</v>
      </c>
      <c r="K123" s="18">
        <v>202962</v>
      </c>
      <c r="L123" s="33">
        <v>0.11355820301337197</v>
      </c>
      <c r="M123" t="s">
        <v>18</v>
      </c>
    </row>
    <row r="124" spans="1:13" x14ac:dyDescent="0.3">
      <c r="A124" t="s">
        <v>52</v>
      </c>
      <c r="B124" t="s">
        <v>34</v>
      </c>
      <c r="C124" s="73">
        <v>45552</v>
      </c>
      <c r="D124" t="s">
        <v>21</v>
      </c>
      <c r="E124" t="s">
        <v>349</v>
      </c>
      <c r="F124" s="18">
        <v>20017</v>
      </c>
      <c r="G124" s="18">
        <v>495</v>
      </c>
      <c r="H124" s="18">
        <v>178</v>
      </c>
      <c r="I124" s="18">
        <v>2683</v>
      </c>
      <c r="J124" s="18">
        <v>32244</v>
      </c>
      <c r="K124" s="18">
        <v>182633</v>
      </c>
      <c r="L124" s="33">
        <v>0.11328730295182141</v>
      </c>
      <c r="M124" t="s">
        <v>15</v>
      </c>
    </row>
    <row r="125" spans="1:13" x14ac:dyDescent="0.3">
      <c r="A125" t="s">
        <v>154</v>
      </c>
      <c r="B125" t="s">
        <v>20</v>
      </c>
      <c r="C125" s="73">
        <v>45667</v>
      </c>
      <c r="D125" t="s">
        <v>30</v>
      </c>
      <c r="E125" t="s">
        <v>351</v>
      </c>
      <c r="F125" s="18">
        <v>14647</v>
      </c>
      <c r="G125" s="18">
        <v>1168</v>
      </c>
      <c r="H125" s="18">
        <v>484</v>
      </c>
      <c r="I125" s="18">
        <v>2650</v>
      </c>
      <c r="J125" s="18">
        <v>27217</v>
      </c>
      <c r="K125" s="18">
        <v>144061</v>
      </c>
      <c r="L125" s="33">
        <v>0.11313957281984714</v>
      </c>
      <c r="M125" t="s">
        <v>25</v>
      </c>
    </row>
    <row r="126" spans="1:13" x14ac:dyDescent="0.3">
      <c r="A126" t="s">
        <v>185</v>
      </c>
      <c r="B126" t="s">
        <v>20</v>
      </c>
      <c r="C126" s="73">
        <v>45935</v>
      </c>
      <c r="D126" t="s">
        <v>21</v>
      </c>
      <c r="E126" t="s">
        <v>347</v>
      </c>
      <c r="F126" s="18">
        <v>21262</v>
      </c>
      <c r="G126" s="18">
        <v>861</v>
      </c>
      <c r="H126" s="18">
        <v>676</v>
      </c>
      <c r="I126" s="18">
        <v>2263</v>
      </c>
      <c r="J126" s="18">
        <v>12085</v>
      </c>
      <c r="K126" s="18">
        <v>201731</v>
      </c>
      <c r="L126" s="33">
        <v>0.11301683925623726</v>
      </c>
      <c r="M126" t="s">
        <v>18</v>
      </c>
    </row>
    <row r="127" spans="1:13" x14ac:dyDescent="0.3">
      <c r="A127" t="s">
        <v>221</v>
      </c>
      <c r="B127" t="s">
        <v>13</v>
      </c>
      <c r="C127" s="73">
        <v>45519</v>
      </c>
      <c r="D127" t="s">
        <v>14</v>
      </c>
      <c r="E127" t="s">
        <v>349</v>
      </c>
      <c r="F127" s="18">
        <v>15503</v>
      </c>
      <c r="G127" s="18">
        <v>313</v>
      </c>
      <c r="H127" s="18">
        <v>388</v>
      </c>
      <c r="I127" s="18">
        <v>1078</v>
      </c>
      <c r="J127" s="18">
        <v>11500</v>
      </c>
      <c r="K127" s="18">
        <v>143754</v>
      </c>
      <c r="L127" s="33">
        <v>0.1127203416948398</v>
      </c>
      <c r="M127" t="s">
        <v>25</v>
      </c>
    </row>
    <row r="128" spans="1:13" x14ac:dyDescent="0.3">
      <c r="A128" t="s">
        <v>97</v>
      </c>
      <c r="B128" t="s">
        <v>34</v>
      </c>
      <c r="C128" s="73">
        <v>45537</v>
      </c>
      <c r="D128" t="s">
        <v>30</v>
      </c>
      <c r="E128" t="s">
        <v>346</v>
      </c>
      <c r="F128" s="18">
        <v>12040</v>
      </c>
      <c r="G128" s="18">
        <v>1147</v>
      </c>
      <c r="H128" s="18">
        <v>210</v>
      </c>
      <c r="I128" s="18">
        <v>885</v>
      </c>
      <c r="J128" s="18">
        <v>30360</v>
      </c>
      <c r="K128" s="18">
        <v>119530</v>
      </c>
      <c r="L128" s="33">
        <v>0.1120806492094035</v>
      </c>
      <c r="M128" t="s">
        <v>25</v>
      </c>
    </row>
    <row r="129" spans="1:13" x14ac:dyDescent="0.3">
      <c r="A129" t="s">
        <v>118</v>
      </c>
      <c r="B129" t="s">
        <v>17</v>
      </c>
      <c r="C129" s="73">
        <v>45586</v>
      </c>
      <c r="D129" t="s">
        <v>21</v>
      </c>
      <c r="E129" t="s">
        <v>344</v>
      </c>
      <c r="F129" s="18">
        <v>19715</v>
      </c>
      <c r="G129" s="18">
        <v>1014</v>
      </c>
      <c r="H129" s="18">
        <v>718</v>
      </c>
      <c r="I129" s="18">
        <v>1185</v>
      </c>
      <c r="J129" s="18">
        <v>37625</v>
      </c>
      <c r="K129" s="18">
        <v>191409</v>
      </c>
      <c r="L129" s="33">
        <v>0.11204802282024356</v>
      </c>
      <c r="M129" t="s">
        <v>15</v>
      </c>
    </row>
    <row r="130" spans="1:13" x14ac:dyDescent="0.3">
      <c r="A130" t="s">
        <v>251</v>
      </c>
      <c r="B130" t="s">
        <v>34</v>
      </c>
      <c r="C130" s="73">
        <v>45463</v>
      </c>
      <c r="D130" t="s">
        <v>24</v>
      </c>
      <c r="E130" t="s">
        <v>348</v>
      </c>
      <c r="F130" s="18">
        <v>21123</v>
      </c>
      <c r="G130" s="18">
        <v>1343</v>
      </c>
      <c r="H130" s="18">
        <v>589</v>
      </c>
      <c r="I130" s="18">
        <v>727</v>
      </c>
      <c r="J130" s="18">
        <v>87833</v>
      </c>
      <c r="K130" s="18">
        <v>206703</v>
      </c>
      <c r="L130" s="33">
        <v>0.11153684271636116</v>
      </c>
      <c r="M130" t="s">
        <v>15</v>
      </c>
    </row>
    <row r="131" spans="1:13" x14ac:dyDescent="0.3">
      <c r="A131" t="s">
        <v>44</v>
      </c>
      <c r="B131" t="s">
        <v>17</v>
      </c>
      <c r="C131" s="73">
        <v>45466</v>
      </c>
      <c r="D131" t="s">
        <v>21</v>
      </c>
      <c r="E131" t="s">
        <v>350</v>
      </c>
      <c r="F131" s="18">
        <v>16512</v>
      </c>
      <c r="G131" s="18">
        <v>1050</v>
      </c>
      <c r="H131" s="18">
        <v>971</v>
      </c>
      <c r="I131" s="18">
        <v>1891</v>
      </c>
      <c r="J131" s="18">
        <v>15865</v>
      </c>
      <c r="K131" s="18">
        <v>166503</v>
      </c>
      <c r="L131" s="33">
        <v>0.1113073037723044</v>
      </c>
      <c r="M131" t="s">
        <v>25</v>
      </c>
    </row>
    <row r="132" spans="1:13" x14ac:dyDescent="0.3">
      <c r="A132" t="s">
        <v>19</v>
      </c>
      <c r="B132" t="s">
        <v>20</v>
      </c>
      <c r="C132" s="73">
        <v>45789</v>
      </c>
      <c r="D132" t="s">
        <v>21</v>
      </c>
      <c r="E132" t="s">
        <v>345</v>
      </c>
      <c r="F132" s="18">
        <v>19308</v>
      </c>
      <c r="G132" s="18">
        <v>1318</v>
      </c>
      <c r="H132" s="18">
        <v>795</v>
      </c>
      <c r="I132" s="18">
        <v>1499</v>
      </c>
      <c r="J132" s="18">
        <v>52307</v>
      </c>
      <c r="K132" s="18">
        <v>193087</v>
      </c>
      <c r="L132" s="33">
        <v>0.11093962825047776</v>
      </c>
      <c r="M132" t="s">
        <v>22</v>
      </c>
    </row>
    <row r="133" spans="1:13" x14ac:dyDescent="0.3">
      <c r="A133" t="s">
        <v>172</v>
      </c>
      <c r="B133" t="s">
        <v>13</v>
      </c>
      <c r="C133" s="73">
        <v>45448</v>
      </c>
      <c r="D133" t="s">
        <v>21</v>
      </c>
      <c r="E133" t="s">
        <v>351</v>
      </c>
      <c r="F133" s="18">
        <v>18907</v>
      </c>
      <c r="G133" s="18">
        <v>1075</v>
      </c>
      <c r="H133" s="18">
        <v>675</v>
      </c>
      <c r="I133" s="18">
        <v>1383</v>
      </c>
      <c r="J133" s="18">
        <v>17875</v>
      </c>
      <c r="K133" s="18">
        <v>186649</v>
      </c>
      <c r="L133" s="33">
        <v>0.11067297440650634</v>
      </c>
      <c r="M133" t="s">
        <v>15</v>
      </c>
    </row>
    <row r="134" spans="1:13" x14ac:dyDescent="0.3">
      <c r="A134" t="s">
        <v>310</v>
      </c>
      <c r="B134" t="s">
        <v>13</v>
      </c>
      <c r="C134" s="73">
        <v>45552</v>
      </c>
      <c r="D134" t="s">
        <v>24</v>
      </c>
      <c r="E134" t="s">
        <v>347</v>
      </c>
      <c r="F134" s="18">
        <v>20410</v>
      </c>
      <c r="G134" s="18">
        <v>1332</v>
      </c>
      <c r="H134" s="18">
        <v>472</v>
      </c>
      <c r="I134" s="18">
        <v>1202</v>
      </c>
      <c r="J134" s="18">
        <v>9418</v>
      </c>
      <c r="K134" s="18">
        <v>200806</v>
      </c>
      <c r="L134" s="33">
        <v>0.11062418453631864</v>
      </c>
      <c r="M134" t="s">
        <v>15</v>
      </c>
    </row>
    <row r="135" spans="1:13" x14ac:dyDescent="0.3">
      <c r="A135" t="s">
        <v>261</v>
      </c>
      <c r="B135" t="s">
        <v>17</v>
      </c>
      <c r="C135" s="73">
        <v>45648</v>
      </c>
      <c r="D135" t="s">
        <v>21</v>
      </c>
      <c r="E135" t="s">
        <v>346</v>
      </c>
      <c r="F135" s="18">
        <v>20117</v>
      </c>
      <c r="G135" s="18">
        <v>1143</v>
      </c>
      <c r="H135" s="18">
        <v>713</v>
      </c>
      <c r="I135" s="18">
        <v>1739</v>
      </c>
      <c r="J135" s="18">
        <v>34444</v>
      </c>
      <c r="K135" s="18">
        <v>198670</v>
      </c>
      <c r="L135" s="33">
        <v>0.11060049328031409</v>
      </c>
      <c r="M135" t="s">
        <v>38</v>
      </c>
    </row>
    <row r="136" spans="1:13" x14ac:dyDescent="0.3">
      <c r="A136" t="s">
        <v>308</v>
      </c>
      <c r="B136" t="s">
        <v>17</v>
      </c>
      <c r="C136" s="73">
        <v>45568</v>
      </c>
      <c r="D136" t="s">
        <v>14</v>
      </c>
      <c r="E136" t="s">
        <v>346</v>
      </c>
      <c r="F136" s="18">
        <v>22618</v>
      </c>
      <c r="G136" s="18">
        <v>641</v>
      </c>
      <c r="H136" s="18">
        <v>416</v>
      </c>
      <c r="I136" s="18">
        <v>1530</v>
      </c>
      <c r="J136" s="18">
        <v>18395</v>
      </c>
      <c r="K136" s="18">
        <v>215211</v>
      </c>
      <c r="L136" s="33">
        <v>0.1100083174187193</v>
      </c>
      <c r="M136" t="s">
        <v>38</v>
      </c>
    </row>
    <row r="137" spans="1:13" x14ac:dyDescent="0.3">
      <c r="A137" t="s">
        <v>284</v>
      </c>
      <c r="B137" t="s">
        <v>34</v>
      </c>
      <c r="C137" s="73">
        <v>45509</v>
      </c>
      <c r="D137" t="s">
        <v>24</v>
      </c>
      <c r="E137" t="s">
        <v>343</v>
      </c>
      <c r="F137" s="18">
        <v>20935</v>
      </c>
      <c r="G137" s="18">
        <v>1104</v>
      </c>
      <c r="H137" s="18">
        <v>876</v>
      </c>
      <c r="I137" s="18">
        <v>1270</v>
      </c>
      <c r="J137" s="18">
        <v>21454</v>
      </c>
      <c r="K137" s="18">
        <v>208722</v>
      </c>
      <c r="L137" s="33">
        <v>0.10978718103506099</v>
      </c>
      <c r="M137" t="s">
        <v>22</v>
      </c>
    </row>
    <row r="138" spans="1:13" x14ac:dyDescent="0.3">
      <c r="A138" t="s">
        <v>179</v>
      </c>
      <c r="B138" t="s">
        <v>20</v>
      </c>
      <c r="C138" s="73">
        <v>45658</v>
      </c>
      <c r="D138" t="s">
        <v>24</v>
      </c>
      <c r="E138" t="s">
        <v>344</v>
      </c>
      <c r="F138" s="18">
        <v>24574</v>
      </c>
      <c r="G138" s="18">
        <v>909</v>
      </c>
      <c r="H138" s="18">
        <v>280</v>
      </c>
      <c r="I138" s="18">
        <v>2009</v>
      </c>
      <c r="J138" s="18">
        <v>6221</v>
      </c>
      <c r="K138" s="18">
        <v>236910</v>
      </c>
      <c r="L138" s="33">
        <v>0.10874593727575872</v>
      </c>
      <c r="M138" t="s">
        <v>38</v>
      </c>
    </row>
    <row r="139" spans="1:13" x14ac:dyDescent="0.3">
      <c r="A139" t="s">
        <v>59</v>
      </c>
      <c r="B139" t="s">
        <v>17</v>
      </c>
      <c r="C139" s="73">
        <v>45911</v>
      </c>
      <c r="D139" t="s">
        <v>30</v>
      </c>
      <c r="E139" t="s">
        <v>349</v>
      </c>
      <c r="F139" s="18">
        <v>10175</v>
      </c>
      <c r="G139" s="18">
        <v>342</v>
      </c>
      <c r="H139" s="18">
        <v>825</v>
      </c>
      <c r="I139" s="18">
        <v>2904</v>
      </c>
      <c r="J139" s="18">
        <v>15954</v>
      </c>
      <c r="K139" s="18">
        <v>104324</v>
      </c>
      <c r="L139" s="33">
        <v>0.10871899083624094</v>
      </c>
      <c r="M139" t="s">
        <v>18</v>
      </c>
    </row>
    <row r="140" spans="1:13" x14ac:dyDescent="0.3">
      <c r="A140" t="s">
        <v>209</v>
      </c>
      <c r="B140" t="s">
        <v>34</v>
      </c>
      <c r="C140" s="73">
        <v>45643</v>
      </c>
      <c r="D140" t="s">
        <v>14</v>
      </c>
      <c r="E140" t="s">
        <v>348</v>
      </c>
      <c r="F140" s="18">
        <v>20030</v>
      </c>
      <c r="G140" s="18">
        <v>485</v>
      </c>
      <c r="H140" s="18">
        <v>888</v>
      </c>
      <c r="I140" s="18">
        <v>1643</v>
      </c>
      <c r="J140" s="18">
        <v>4322</v>
      </c>
      <c r="K140" s="18">
        <v>196995</v>
      </c>
      <c r="L140" s="33">
        <v>0.10864742759968526</v>
      </c>
      <c r="M140" t="s">
        <v>22</v>
      </c>
    </row>
    <row r="141" spans="1:13" x14ac:dyDescent="0.3">
      <c r="A141" t="s">
        <v>78</v>
      </c>
      <c r="B141" t="s">
        <v>34</v>
      </c>
      <c r="C141" s="73">
        <v>45919</v>
      </c>
      <c r="D141" t="s">
        <v>14</v>
      </c>
      <c r="E141" t="s">
        <v>348</v>
      </c>
      <c r="F141" s="18">
        <v>19100</v>
      </c>
      <c r="G141" s="18">
        <v>619</v>
      </c>
      <c r="H141" s="18">
        <v>297</v>
      </c>
      <c r="I141" s="18">
        <v>2312</v>
      </c>
      <c r="J141" s="18">
        <v>9730</v>
      </c>
      <c r="K141" s="18">
        <v>184832</v>
      </c>
      <c r="L141" s="33">
        <v>0.10829293628808864</v>
      </c>
      <c r="M141" t="s">
        <v>18</v>
      </c>
    </row>
    <row r="142" spans="1:13" x14ac:dyDescent="0.3">
      <c r="A142" t="s">
        <v>225</v>
      </c>
      <c r="B142" t="s">
        <v>20</v>
      </c>
      <c r="C142" s="73">
        <v>45920</v>
      </c>
      <c r="D142" t="s">
        <v>14</v>
      </c>
      <c r="E142" t="s">
        <v>348</v>
      </c>
      <c r="F142" s="18">
        <v>12267</v>
      </c>
      <c r="G142" s="18">
        <v>1487</v>
      </c>
      <c r="H142" s="18">
        <v>489</v>
      </c>
      <c r="I142" s="18">
        <v>2748</v>
      </c>
      <c r="J142" s="18">
        <v>34685</v>
      </c>
      <c r="K142" s="18">
        <v>131736</v>
      </c>
      <c r="L142" s="33">
        <v>0.1081177506528208</v>
      </c>
      <c r="M142" t="s">
        <v>18</v>
      </c>
    </row>
    <row r="143" spans="1:13" x14ac:dyDescent="0.3">
      <c r="A143" t="s">
        <v>288</v>
      </c>
      <c r="B143" t="s">
        <v>34</v>
      </c>
      <c r="C143" s="73">
        <v>45675</v>
      </c>
      <c r="D143" t="s">
        <v>21</v>
      </c>
      <c r="E143" t="s">
        <v>351</v>
      </c>
      <c r="F143" s="18">
        <v>22673</v>
      </c>
      <c r="G143" s="18">
        <v>1053</v>
      </c>
      <c r="H143" s="18">
        <v>169</v>
      </c>
      <c r="I143" s="18">
        <v>1566</v>
      </c>
      <c r="J143" s="18">
        <v>9417</v>
      </c>
      <c r="K143" s="18">
        <v>221187</v>
      </c>
      <c r="L143" s="33">
        <v>0.10803076130152314</v>
      </c>
      <c r="M143" t="s">
        <v>25</v>
      </c>
    </row>
    <row r="144" spans="1:13" x14ac:dyDescent="0.3">
      <c r="A144" t="s">
        <v>294</v>
      </c>
      <c r="B144" t="s">
        <v>17</v>
      </c>
      <c r="C144" s="73">
        <v>45760</v>
      </c>
      <c r="D144" t="s">
        <v>30</v>
      </c>
      <c r="E144" t="s">
        <v>55</v>
      </c>
      <c r="F144" s="18">
        <v>24700</v>
      </c>
      <c r="G144" s="18">
        <v>327</v>
      </c>
      <c r="H144" s="18">
        <v>999</v>
      </c>
      <c r="I144" s="18">
        <v>994</v>
      </c>
      <c r="J144" s="18">
        <v>59400</v>
      </c>
      <c r="K144" s="18">
        <v>243502</v>
      </c>
      <c r="L144" s="33">
        <v>0.10688207899729776</v>
      </c>
      <c r="M144" t="s">
        <v>22</v>
      </c>
    </row>
    <row r="145" spans="1:13" x14ac:dyDescent="0.3">
      <c r="A145" t="s">
        <v>206</v>
      </c>
      <c r="B145" t="s">
        <v>13</v>
      </c>
      <c r="C145" s="73">
        <v>45941</v>
      </c>
      <c r="D145" t="s">
        <v>30</v>
      </c>
      <c r="E145" t="s">
        <v>348</v>
      </c>
      <c r="F145" s="18">
        <v>15623</v>
      </c>
      <c r="G145" s="18">
        <v>869</v>
      </c>
      <c r="H145" s="18">
        <v>423</v>
      </c>
      <c r="I145" s="18">
        <v>371</v>
      </c>
      <c r="J145" s="18">
        <v>47579</v>
      </c>
      <c r="K145" s="18">
        <v>158516</v>
      </c>
      <c r="L145" s="33">
        <v>0.10670847106916652</v>
      </c>
      <c r="M145" t="s">
        <v>18</v>
      </c>
    </row>
    <row r="146" spans="1:13" x14ac:dyDescent="0.3">
      <c r="A146" t="s">
        <v>240</v>
      </c>
      <c r="B146" t="s">
        <v>13</v>
      </c>
      <c r="C146" s="73">
        <v>45649</v>
      </c>
      <c r="D146" t="s">
        <v>24</v>
      </c>
      <c r="E146" t="s">
        <v>345</v>
      </c>
      <c r="F146" s="18">
        <v>18616</v>
      </c>
      <c r="G146" s="18">
        <v>1277</v>
      </c>
      <c r="H146" s="18">
        <v>734</v>
      </c>
      <c r="I146" s="18">
        <v>2249</v>
      </c>
      <c r="J146" s="18">
        <v>3399</v>
      </c>
      <c r="K146" s="18">
        <v>193515</v>
      </c>
      <c r="L146" s="33">
        <v>0.10659122031883833</v>
      </c>
      <c r="M146" t="s">
        <v>25</v>
      </c>
    </row>
    <row r="147" spans="1:13" x14ac:dyDescent="0.3">
      <c r="A147" t="s">
        <v>298</v>
      </c>
      <c r="B147" t="s">
        <v>17</v>
      </c>
      <c r="C147" s="73">
        <v>45743</v>
      </c>
      <c r="D147" t="s">
        <v>21</v>
      </c>
      <c r="E147" t="s">
        <v>351</v>
      </c>
      <c r="F147" s="18">
        <v>14819</v>
      </c>
      <c r="G147" s="18">
        <v>1432</v>
      </c>
      <c r="H147" s="18">
        <v>152</v>
      </c>
      <c r="I147" s="18">
        <v>961</v>
      </c>
      <c r="J147" s="18">
        <v>39154</v>
      </c>
      <c r="K147" s="18">
        <v>154793</v>
      </c>
      <c r="L147" s="33">
        <v>0.10596732410380315</v>
      </c>
      <c r="M147" t="s">
        <v>25</v>
      </c>
    </row>
    <row r="148" spans="1:13" x14ac:dyDescent="0.3">
      <c r="A148" t="s">
        <v>224</v>
      </c>
      <c r="B148" t="s">
        <v>17</v>
      </c>
      <c r="C148" s="73">
        <v>45919</v>
      </c>
      <c r="D148" t="s">
        <v>30</v>
      </c>
      <c r="E148" t="s">
        <v>346</v>
      </c>
      <c r="F148" s="18">
        <v>14772</v>
      </c>
      <c r="G148" s="18">
        <v>1030</v>
      </c>
      <c r="H148" s="18">
        <v>508</v>
      </c>
      <c r="I148" s="18">
        <v>1876</v>
      </c>
      <c r="J148" s="18">
        <v>8882</v>
      </c>
      <c r="K148" s="18">
        <v>155142</v>
      </c>
      <c r="L148" s="33">
        <v>0.10512949426976577</v>
      </c>
      <c r="M148" t="s">
        <v>18</v>
      </c>
    </row>
    <row r="149" spans="1:13" x14ac:dyDescent="0.3">
      <c r="A149" t="s">
        <v>322</v>
      </c>
      <c r="B149" t="s">
        <v>17</v>
      </c>
      <c r="C149" s="73">
        <v>45699</v>
      </c>
      <c r="D149" t="s">
        <v>30</v>
      </c>
      <c r="E149" t="s">
        <v>352</v>
      </c>
      <c r="F149" s="18">
        <v>3619</v>
      </c>
      <c r="G149" s="18">
        <v>1376</v>
      </c>
      <c r="H149" s="18">
        <v>410</v>
      </c>
      <c r="I149" s="18">
        <v>2499</v>
      </c>
      <c r="J149" s="18">
        <v>58146</v>
      </c>
      <c r="K149" s="18">
        <v>52149</v>
      </c>
      <c r="L149" s="33">
        <v>0.10364532397553165</v>
      </c>
      <c r="M149" t="s">
        <v>15</v>
      </c>
    </row>
    <row r="150" spans="1:13" x14ac:dyDescent="0.3">
      <c r="A150" t="s">
        <v>266</v>
      </c>
      <c r="B150" t="s">
        <v>17</v>
      </c>
      <c r="C150" s="73">
        <v>45911</v>
      </c>
      <c r="D150" t="s">
        <v>24</v>
      </c>
      <c r="E150" t="s">
        <v>347</v>
      </c>
      <c r="F150" s="18">
        <v>21901</v>
      </c>
      <c r="G150" s="18">
        <v>1308</v>
      </c>
      <c r="H150" s="18">
        <v>724</v>
      </c>
      <c r="I150" s="18">
        <v>2183</v>
      </c>
      <c r="J150" s="18">
        <v>15996</v>
      </c>
      <c r="K150" s="18">
        <v>230961</v>
      </c>
      <c r="L150" s="33">
        <v>0.10362355549205277</v>
      </c>
      <c r="M150" t="s">
        <v>18</v>
      </c>
    </row>
    <row r="151" spans="1:13" x14ac:dyDescent="0.3">
      <c r="A151" t="s">
        <v>269</v>
      </c>
      <c r="B151" t="s">
        <v>17</v>
      </c>
      <c r="C151" s="73">
        <v>45722</v>
      </c>
      <c r="D151" t="s">
        <v>21</v>
      </c>
      <c r="E151" t="s">
        <v>349</v>
      </c>
      <c r="F151" s="18">
        <v>22119</v>
      </c>
      <c r="G151" s="18">
        <v>899</v>
      </c>
      <c r="H151" s="18">
        <v>642</v>
      </c>
      <c r="I151" s="18">
        <v>410</v>
      </c>
      <c r="J151" s="18">
        <v>49490</v>
      </c>
      <c r="K151" s="18">
        <v>229420</v>
      </c>
      <c r="L151" s="33">
        <v>0.10312963124400662</v>
      </c>
      <c r="M151" t="s">
        <v>25</v>
      </c>
    </row>
    <row r="152" spans="1:13" x14ac:dyDescent="0.3">
      <c r="A152" t="s">
        <v>316</v>
      </c>
      <c r="B152" t="s">
        <v>17</v>
      </c>
      <c r="C152" s="73">
        <v>45920</v>
      </c>
      <c r="D152" t="s">
        <v>14</v>
      </c>
      <c r="E152" t="s">
        <v>28</v>
      </c>
      <c r="F152" s="18">
        <v>24422</v>
      </c>
      <c r="G152" s="18">
        <v>327</v>
      </c>
      <c r="H152" s="18">
        <v>481</v>
      </c>
      <c r="I152" s="18">
        <v>2371</v>
      </c>
      <c r="J152" s="18">
        <v>35340</v>
      </c>
      <c r="K152" s="18">
        <v>245244</v>
      </c>
      <c r="L152" s="33">
        <v>0.10287713460879777</v>
      </c>
      <c r="M152" t="s">
        <v>18</v>
      </c>
    </row>
    <row r="153" spans="1:13" x14ac:dyDescent="0.3">
      <c r="A153" t="s">
        <v>263</v>
      </c>
      <c r="B153" t="s">
        <v>34</v>
      </c>
      <c r="C153" s="73">
        <v>45587</v>
      </c>
      <c r="D153" t="s">
        <v>30</v>
      </c>
      <c r="E153" t="s">
        <v>345</v>
      </c>
      <c r="F153" s="18">
        <v>7622</v>
      </c>
      <c r="G153" s="18">
        <v>529</v>
      </c>
      <c r="H153" s="18">
        <v>720</v>
      </c>
      <c r="I153" s="18">
        <v>1015</v>
      </c>
      <c r="J153" s="18">
        <v>71322</v>
      </c>
      <c r="K153" s="18">
        <v>86819</v>
      </c>
      <c r="L153" s="33">
        <v>0.10217809465669957</v>
      </c>
      <c r="M153" t="s">
        <v>38</v>
      </c>
    </row>
    <row r="154" spans="1:13" x14ac:dyDescent="0.3">
      <c r="A154" t="s">
        <v>192</v>
      </c>
      <c r="B154" t="s">
        <v>20</v>
      </c>
      <c r="C154" s="73">
        <v>45704</v>
      </c>
      <c r="D154" t="s">
        <v>21</v>
      </c>
      <c r="E154" t="s">
        <v>350</v>
      </c>
      <c r="F154" s="18">
        <v>24195</v>
      </c>
      <c r="G154" s="18">
        <v>888</v>
      </c>
      <c r="H154" s="18">
        <v>165</v>
      </c>
      <c r="I154" s="18">
        <v>1559</v>
      </c>
      <c r="J154" s="18">
        <v>11596</v>
      </c>
      <c r="K154" s="18">
        <v>249988</v>
      </c>
      <c r="L154" s="33">
        <v>0.10099684784869674</v>
      </c>
      <c r="M154" t="s">
        <v>22</v>
      </c>
    </row>
    <row r="155" spans="1:13" x14ac:dyDescent="0.3">
      <c r="A155" t="s">
        <v>148</v>
      </c>
      <c r="B155" t="s">
        <v>20</v>
      </c>
      <c r="C155" s="73">
        <v>45567</v>
      </c>
      <c r="D155" t="s">
        <v>24</v>
      </c>
      <c r="E155" t="s">
        <v>351</v>
      </c>
      <c r="F155" s="18">
        <v>9350</v>
      </c>
      <c r="G155" s="18">
        <v>1024</v>
      </c>
      <c r="H155" s="18">
        <v>550</v>
      </c>
      <c r="I155" s="18">
        <v>2123</v>
      </c>
      <c r="J155" s="18">
        <v>53916</v>
      </c>
      <c r="K155" s="18">
        <v>108785</v>
      </c>
      <c r="L155" s="33">
        <v>0.10041825619340902</v>
      </c>
      <c r="M155" t="s">
        <v>22</v>
      </c>
    </row>
    <row r="156" spans="1:13" x14ac:dyDescent="0.3">
      <c r="A156" t="s">
        <v>275</v>
      </c>
      <c r="B156" t="s">
        <v>20</v>
      </c>
      <c r="C156" s="73">
        <v>45491</v>
      </c>
      <c r="D156" t="s">
        <v>24</v>
      </c>
      <c r="E156" t="s">
        <v>55</v>
      </c>
      <c r="F156" s="18">
        <v>11111</v>
      </c>
      <c r="G156" s="18">
        <v>1222</v>
      </c>
      <c r="H156" s="18">
        <v>367</v>
      </c>
      <c r="I156" s="18">
        <v>507</v>
      </c>
      <c r="J156" s="18">
        <v>14129</v>
      </c>
      <c r="K156" s="18">
        <v>127163</v>
      </c>
      <c r="L156" s="33">
        <v>9.9871818060284834E-2</v>
      </c>
      <c r="M156" t="s">
        <v>38</v>
      </c>
    </row>
    <row r="157" spans="1:13" x14ac:dyDescent="0.3">
      <c r="A157" t="s">
        <v>191</v>
      </c>
      <c r="B157" t="s">
        <v>34</v>
      </c>
      <c r="C157" s="73">
        <v>45937</v>
      </c>
      <c r="D157" t="s">
        <v>30</v>
      </c>
      <c r="E157" t="s">
        <v>348</v>
      </c>
      <c r="F157" s="18">
        <v>19660</v>
      </c>
      <c r="G157" s="18">
        <v>1307</v>
      </c>
      <c r="H157" s="18">
        <v>310</v>
      </c>
      <c r="I157" s="18">
        <v>2802</v>
      </c>
      <c r="J157" s="18">
        <v>22171</v>
      </c>
      <c r="K157" s="18">
        <v>213359</v>
      </c>
      <c r="L157" s="33">
        <v>9.9723939463533293E-2</v>
      </c>
      <c r="M157" t="s">
        <v>18</v>
      </c>
    </row>
    <row r="158" spans="1:13" x14ac:dyDescent="0.3">
      <c r="A158" t="s">
        <v>33</v>
      </c>
      <c r="B158" t="s">
        <v>34</v>
      </c>
      <c r="C158" s="73">
        <v>45727</v>
      </c>
      <c r="D158" t="s">
        <v>24</v>
      </c>
      <c r="E158" t="s">
        <v>349</v>
      </c>
      <c r="F158" s="18">
        <v>20222</v>
      </c>
      <c r="G158" s="18">
        <v>712</v>
      </c>
      <c r="H158" s="18">
        <v>604</v>
      </c>
      <c r="I158" s="18">
        <v>1272</v>
      </c>
      <c r="J158" s="18">
        <v>71598</v>
      </c>
      <c r="K158" s="18">
        <v>216422</v>
      </c>
      <c r="L158" s="33">
        <v>9.9518533235992648E-2</v>
      </c>
      <c r="M158" t="s">
        <v>22</v>
      </c>
    </row>
    <row r="159" spans="1:13" x14ac:dyDescent="0.3">
      <c r="A159" t="s">
        <v>129</v>
      </c>
      <c r="B159" t="s">
        <v>34</v>
      </c>
      <c r="C159" s="73">
        <v>45927</v>
      </c>
      <c r="D159" t="s">
        <v>21</v>
      </c>
      <c r="E159" t="s">
        <v>344</v>
      </c>
      <c r="F159" s="18">
        <v>18521</v>
      </c>
      <c r="G159" s="18">
        <v>1027</v>
      </c>
      <c r="H159" s="18">
        <v>230</v>
      </c>
      <c r="I159" s="18">
        <v>1247</v>
      </c>
      <c r="J159" s="18">
        <v>39588</v>
      </c>
      <c r="K159" s="18">
        <v>200928</v>
      </c>
      <c r="L159" s="33">
        <v>9.8433269628921807E-2</v>
      </c>
      <c r="M159" t="s">
        <v>18</v>
      </c>
    </row>
    <row r="160" spans="1:13" x14ac:dyDescent="0.3">
      <c r="A160" t="s">
        <v>144</v>
      </c>
      <c r="B160" t="s">
        <v>34</v>
      </c>
      <c r="C160" s="73">
        <v>45600</v>
      </c>
      <c r="D160" t="s">
        <v>24</v>
      </c>
      <c r="E160" t="s">
        <v>28</v>
      </c>
      <c r="F160" s="18">
        <v>14234</v>
      </c>
      <c r="G160" s="18">
        <v>1013</v>
      </c>
      <c r="H160" s="18">
        <v>437</v>
      </c>
      <c r="I160" s="18">
        <v>338</v>
      </c>
      <c r="J160" s="18">
        <v>67754</v>
      </c>
      <c r="K160" s="18">
        <v>160030</v>
      </c>
      <c r="L160" s="33">
        <v>9.8006623758045364E-2</v>
      </c>
      <c r="M160" t="s">
        <v>22</v>
      </c>
    </row>
    <row r="161" spans="1:13" x14ac:dyDescent="0.3">
      <c r="A161" t="s">
        <v>279</v>
      </c>
      <c r="B161" t="s">
        <v>17</v>
      </c>
      <c r="C161" s="73">
        <v>45916</v>
      </c>
      <c r="D161" t="s">
        <v>14</v>
      </c>
      <c r="E161" t="s">
        <v>55</v>
      </c>
      <c r="F161" s="18">
        <v>16043</v>
      </c>
      <c r="G161" s="18">
        <v>595</v>
      </c>
      <c r="H161" s="18">
        <v>923</v>
      </c>
      <c r="I161" s="18">
        <v>1194</v>
      </c>
      <c r="J161" s="18">
        <v>52613</v>
      </c>
      <c r="K161" s="18">
        <v>179978</v>
      </c>
      <c r="L161" s="33">
        <v>9.757303670448611E-2</v>
      </c>
      <c r="M161" t="s">
        <v>18</v>
      </c>
    </row>
    <row r="162" spans="1:13" x14ac:dyDescent="0.3">
      <c r="A162" t="s">
        <v>140</v>
      </c>
      <c r="B162" t="s">
        <v>34</v>
      </c>
      <c r="C162" s="73">
        <v>45610</v>
      </c>
      <c r="D162" t="s">
        <v>14</v>
      </c>
      <c r="E162" t="s">
        <v>345</v>
      </c>
      <c r="F162" s="18">
        <v>6300</v>
      </c>
      <c r="G162" s="18">
        <v>1213</v>
      </c>
      <c r="H162" s="18">
        <v>720</v>
      </c>
      <c r="I162" s="18">
        <v>1037</v>
      </c>
      <c r="J162" s="18">
        <v>39569</v>
      </c>
      <c r="K162" s="18">
        <v>85272</v>
      </c>
      <c r="L162" s="33">
        <v>9.6549863964724647E-2</v>
      </c>
      <c r="M162" t="s">
        <v>25</v>
      </c>
    </row>
    <row r="163" spans="1:13" x14ac:dyDescent="0.3">
      <c r="A163" t="s">
        <v>234</v>
      </c>
      <c r="B163" t="s">
        <v>17</v>
      </c>
      <c r="C163" s="73">
        <v>45467</v>
      </c>
      <c r="D163" t="s">
        <v>21</v>
      </c>
      <c r="E163" t="s">
        <v>344</v>
      </c>
      <c r="F163" s="18">
        <v>5596</v>
      </c>
      <c r="G163" s="18">
        <v>1231</v>
      </c>
      <c r="H163" s="18">
        <v>473</v>
      </c>
      <c r="I163" s="18">
        <v>2251</v>
      </c>
      <c r="J163" s="18">
        <v>43705</v>
      </c>
      <c r="K163" s="18">
        <v>75643</v>
      </c>
      <c r="L163" s="33">
        <v>9.6505955607260427E-2</v>
      </c>
      <c r="M163" t="s">
        <v>15</v>
      </c>
    </row>
    <row r="164" spans="1:13" x14ac:dyDescent="0.3">
      <c r="A164" t="s">
        <v>289</v>
      </c>
      <c r="B164" t="s">
        <v>20</v>
      </c>
      <c r="C164" s="73">
        <v>45524</v>
      </c>
      <c r="D164" t="s">
        <v>21</v>
      </c>
      <c r="E164" t="s">
        <v>28</v>
      </c>
      <c r="F164" s="18">
        <v>2846</v>
      </c>
      <c r="G164" s="18">
        <v>792</v>
      </c>
      <c r="H164" s="18">
        <v>902</v>
      </c>
      <c r="I164" s="18">
        <v>2469</v>
      </c>
      <c r="J164" s="18">
        <v>12130</v>
      </c>
      <c r="K164" s="18">
        <v>47151</v>
      </c>
      <c r="L164" s="33">
        <v>9.6286399015927546E-2</v>
      </c>
      <c r="M164" t="s">
        <v>15</v>
      </c>
    </row>
    <row r="165" spans="1:13" x14ac:dyDescent="0.3">
      <c r="A165" t="s">
        <v>61</v>
      </c>
      <c r="B165" t="s">
        <v>34</v>
      </c>
      <c r="C165" s="73">
        <v>45626</v>
      </c>
      <c r="D165" t="s">
        <v>24</v>
      </c>
      <c r="E165" t="s">
        <v>350</v>
      </c>
      <c r="F165" s="18">
        <v>14763</v>
      </c>
      <c r="G165" s="18">
        <v>864</v>
      </c>
      <c r="H165" s="18">
        <v>336</v>
      </c>
      <c r="I165" s="18">
        <v>1493</v>
      </c>
      <c r="J165" s="18">
        <v>33310</v>
      </c>
      <c r="K165" s="18">
        <v>165932</v>
      </c>
      <c r="L165" s="33">
        <v>9.6202058674637797E-2</v>
      </c>
      <c r="M165" t="s">
        <v>25</v>
      </c>
    </row>
    <row r="166" spans="1:13" x14ac:dyDescent="0.3">
      <c r="A166" t="s">
        <v>51</v>
      </c>
      <c r="B166" t="s">
        <v>34</v>
      </c>
      <c r="C166" s="73">
        <v>45752</v>
      </c>
      <c r="D166" t="s">
        <v>24</v>
      </c>
      <c r="E166" t="s">
        <v>348</v>
      </c>
      <c r="F166" s="18">
        <v>22384</v>
      </c>
      <c r="G166" s="18">
        <v>601</v>
      </c>
      <c r="H166" s="18">
        <v>943</v>
      </c>
      <c r="I166" s="18">
        <v>515</v>
      </c>
      <c r="J166" s="18">
        <v>41309</v>
      </c>
      <c r="K166" s="18">
        <v>249373</v>
      </c>
      <c r="L166" s="33">
        <v>9.5952649244304716E-2</v>
      </c>
      <c r="M166" t="s">
        <v>15</v>
      </c>
    </row>
    <row r="167" spans="1:13" x14ac:dyDescent="0.3">
      <c r="A167" t="s">
        <v>264</v>
      </c>
      <c r="B167" t="s">
        <v>34</v>
      </c>
      <c r="C167" s="73">
        <v>45489</v>
      </c>
      <c r="D167" t="s">
        <v>21</v>
      </c>
      <c r="E167" t="s">
        <v>349</v>
      </c>
      <c r="F167" s="18">
        <v>8767</v>
      </c>
      <c r="G167" s="18">
        <v>974</v>
      </c>
      <c r="H167" s="18">
        <v>733</v>
      </c>
      <c r="I167" s="18">
        <v>1587</v>
      </c>
      <c r="J167" s="18">
        <v>74927</v>
      </c>
      <c r="K167" s="18">
        <v>113770</v>
      </c>
      <c r="L167" s="33">
        <v>9.2062933989628198E-2</v>
      </c>
      <c r="M167" t="s">
        <v>15</v>
      </c>
    </row>
    <row r="168" spans="1:13" x14ac:dyDescent="0.3">
      <c r="A168" t="s">
        <v>82</v>
      </c>
      <c r="B168" t="s">
        <v>17</v>
      </c>
      <c r="C168" s="73">
        <v>45644</v>
      </c>
      <c r="D168" t="s">
        <v>21</v>
      </c>
      <c r="E168" t="s">
        <v>349</v>
      </c>
      <c r="F168" s="18">
        <v>14775</v>
      </c>
      <c r="G168" s="18">
        <v>1220</v>
      </c>
      <c r="H168" s="18">
        <v>640</v>
      </c>
      <c r="I168" s="18">
        <v>1547</v>
      </c>
      <c r="J168" s="18">
        <v>28527</v>
      </c>
      <c r="K168" s="18">
        <v>183660</v>
      </c>
      <c r="L168" s="33">
        <v>9.0574975498203203E-2</v>
      </c>
      <c r="M168" t="s">
        <v>38</v>
      </c>
    </row>
    <row r="169" spans="1:13" x14ac:dyDescent="0.3">
      <c r="A169" t="s">
        <v>292</v>
      </c>
      <c r="B169" t="s">
        <v>34</v>
      </c>
      <c r="C169" s="73">
        <v>45621</v>
      </c>
      <c r="D169" t="s">
        <v>24</v>
      </c>
      <c r="E169" t="s">
        <v>349</v>
      </c>
      <c r="F169" s="18">
        <v>17385</v>
      </c>
      <c r="G169" s="18">
        <v>831</v>
      </c>
      <c r="H169" s="18">
        <v>568</v>
      </c>
      <c r="I169" s="18">
        <v>2227</v>
      </c>
      <c r="J169" s="18">
        <v>49351</v>
      </c>
      <c r="K169" s="18">
        <v>207450</v>
      </c>
      <c r="L169" s="33">
        <v>9.0547119787900698E-2</v>
      </c>
      <c r="M169" t="s">
        <v>22</v>
      </c>
    </row>
    <row r="170" spans="1:13" x14ac:dyDescent="0.3">
      <c r="A170" t="s">
        <v>205</v>
      </c>
      <c r="B170" t="s">
        <v>20</v>
      </c>
      <c r="C170" s="73">
        <v>45488</v>
      </c>
      <c r="D170" t="s">
        <v>14</v>
      </c>
      <c r="E170" t="s">
        <v>350</v>
      </c>
      <c r="F170" s="18">
        <v>17034</v>
      </c>
      <c r="G170" s="18">
        <v>231</v>
      </c>
      <c r="H170" s="18">
        <v>290</v>
      </c>
      <c r="I170" s="18">
        <v>1387</v>
      </c>
      <c r="J170" s="18">
        <v>63550</v>
      </c>
      <c r="K170" s="18">
        <v>198280</v>
      </c>
      <c r="L170" s="33">
        <v>8.8536413153116805E-2</v>
      </c>
      <c r="M170" t="s">
        <v>38</v>
      </c>
    </row>
    <row r="171" spans="1:13" x14ac:dyDescent="0.3">
      <c r="A171" t="s">
        <v>16</v>
      </c>
      <c r="B171" t="s">
        <v>17</v>
      </c>
      <c r="C171" s="73">
        <v>45903</v>
      </c>
      <c r="D171" t="s">
        <v>14</v>
      </c>
      <c r="E171" t="s">
        <v>344</v>
      </c>
      <c r="F171" s="18">
        <v>4779</v>
      </c>
      <c r="G171" s="18">
        <v>1110</v>
      </c>
      <c r="H171" s="18">
        <v>436</v>
      </c>
      <c r="I171" s="18">
        <v>1574</v>
      </c>
      <c r="J171" s="18">
        <v>77167</v>
      </c>
      <c r="K171" s="18">
        <v>71585</v>
      </c>
      <c r="L171" s="33">
        <v>8.8356499266606131E-2</v>
      </c>
      <c r="M171" t="s">
        <v>18</v>
      </c>
    </row>
    <row r="172" spans="1:13" x14ac:dyDescent="0.3">
      <c r="A172" t="s">
        <v>112</v>
      </c>
      <c r="B172" t="s">
        <v>13</v>
      </c>
      <c r="C172" s="73">
        <v>45684</v>
      </c>
      <c r="D172" t="s">
        <v>30</v>
      </c>
      <c r="E172" t="s">
        <v>349</v>
      </c>
      <c r="F172" s="18">
        <v>8949</v>
      </c>
      <c r="G172" s="18">
        <v>1477</v>
      </c>
      <c r="H172" s="18">
        <v>424</v>
      </c>
      <c r="I172" s="18">
        <v>1030</v>
      </c>
      <c r="J172" s="18">
        <v>58052</v>
      </c>
      <c r="K172" s="18">
        <v>123310</v>
      </c>
      <c r="L172" s="33">
        <v>8.7989619657773091E-2</v>
      </c>
      <c r="M172" t="s">
        <v>15</v>
      </c>
    </row>
    <row r="173" spans="1:13" x14ac:dyDescent="0.3">
      <c r="A173" t="s">
        <v>83</v>
      </c>
      <c r="B173" t="s">
        <v>17</v>
      </c>
      <c r="C173" s="73">
        <v>45586</v>
      </c>
      <c r="D173" t="s">
        <v>24</v>
      </c>
      <c r="E173" t="s">
        <v>350</v>
      </c>
      <c r="F173" s="18">
        <v>12015</v>
      </c>
      <c r="G173" s="18">
        <v>1196</v>
      </c>
      <c r="H173" s="18">
        <v>998</v>
      </c>
      <c r="I173" s="18">
        <v>1848</v>
      </c>
      <c r="J173" s="18">
        <v>44739</v>
      </c>
      <c r="K173" s="18">
        <v>161750</v>
      </c>
      <c r="L173" s="33">
        <v>8.7845440494590421E-2</v>
      </c>
      <c r="M173" t="s">
        <v>38</v>
      </c>
    </row>
    <row r="174" spans="1:13" x14ac:dyDescent="0.3">
      <c r="A174" t="s">
        <v>323</v>
      </c>
      <c r="B174" t="s">
        <v>34</v>
      </c>
      <c r="C174" s="73">
        <v>45650</v>
      </c>
      <c r="D174" t="s">
        <v>14</v>
      </c>
      <c r="E174" t="s">
        <v>55</v>
      </c>
      <c r="F174" s="18">
        <v>10512</v>
      </c>
      <c r="G174" s="18">
        <v>1197</v>
      </c>
      <c r="H174" s="18">
        <v>544</v>
      </c>
      <c r="I174" s="18">
        <v>2012</v>
      </c>
      <c r="J174" s="18">
        <v>10245</v>
      </c>
      <c r="K174" s="18">
        <v>140102</v>
      </c>
      <c r="L174" s="33">
        <v>8.745770938316369E-2</v>
      </c>
      <c r="M174" t="s">
        <v>15</v>
      </c>
    </row>
    <row r="175" spans="1:13" x14ac:dyDescent="0.3">
      <c r="A175" t="s">
        <v>163</v>
      </c>
      <c r="B175" t="s">
        <v>20</v>
      </c>
      <c r="C175" s="73">
        <v>45504</v>
      </c>
      <c r="D175" t="s">
        <v>30</v>
      </c>
      <c r="E175" t="s">
        <v>346</v>
      </c>
      <c r="F175" s="18">
        <v>13314</v>
      </c>
      <c r="G175" s="18">
        <v>274</v>
      </c>
      <c r="H175" s="18">
        <v>626</v>
      </c>
      <c r="I175" s="18">
        <v>2280</v>
      </c>
      <c r="J175" s="18">
        <v>14639</v>
      </c>
      <c r="K175" s="18">
        <v>163008</v>
      </c>
      <c r="L175" s="33">
        <v>8.7198174322732622E-2</v>
      </c>
      <c r="M175" t="s">
        <v>25</v>
      </c>
    </row>
    <row r="176" spans="1:13" x14ac:dyDescent="0.3">
      <c r="A176" t="s">
        <v>54</v>
      </c>
      <c r="B176" t="s">
        <v>17</v>
      </c>
      <c r="C176" s="73">
        <v>45910</v>
      </c>
      <c r="D176" t="s">
        <v>30</v>
      </c>
      <c r="E176" t="s">
        <v>55</v>
      </c>
      <c r="F176" s="18">
        <v>9266</v>
      </c>
      <c r="G176" s="18">
        <v>999</v>
      </c>
      <c r="H176" s="18">
        <v>928</v>
      </c>
      <c r="I176" s="18">
        <v>2700</v>
      </c>
      <c r="J176" s="18">
        <v>12264</v>
      </c>
      <c r="K176" s="18">
        <v>128397</v>
      </c>
      <c r="L176" s="33">
        <v>8.7174933993784898E-2</v>
      </c>
      <c r="M176" t="s">
        <v>18</v>
      </c>
    </row>
    <row r="177" spans="1:13" x14ac:dyDescent="0.3">
      <c r="A177" t="s">
        <v>60</v>
      </c>
      <c r="B177" t="s">
        <v>34</v>
      </c>
      <c r="C177" s="73">
        <v>45912</v>
      </c>
      <c r="D177" t="s">
        <v>21</v>
      </c>
      <c r="E177" t="s">
        <v>345</v>
      </c>
      <c r="F177" s="18">
        <v>17158</v>
      </c>
      <c r="G177" s="18">
        <v>1192</v>
      </c>
      <c r="H177" s="18">
        <v>262</v>
      </c>
      <c r="I177" s="18">
        <v>2016</v>
      </c>
      <c r="J177" s="18">
        <v>28771</v>
      </c>
      <c r="K177" s="18">
        <v>216037</v>
      </c>
      <c r="L177" s="33">
        <v>8.6151909163708074E-2</v>
      </c>
      <c r="M177" t="s">
        <v>18</v>
      </c>
    </row>
    <row r="178" spans="1:13" x14ac:dyDescent="0.3">
      <c r="A178" t="s">
        <v>90</v>
      </c>
      <c r="B178" t="s">
        <v>20</v>
      </c>
      <c r="C178" s="73">
        <v>45521</v>
      </c>
      <c r="D178" t="s">
        <v>24</v>
      </c>
      <c r="E178" t="s">
        <v>28</v>
      </c>
      <c r="F178" s="18">
        <v>19154</v>
      </c>
      <c r="G178" s="18">
        <v>1064</v>
      </c>
      <c r="H178" s="18">
        <v>650</v>
      </c>
      <c r="I178" s="18">
        <v>747</v>
      </c>
      <c r="J178" s="18">
        <v>42667</v>
      </c>
      <c r="K178" s="18">
        <v>242332</v>
      </c>
      <c r="L178" s="33">
        <v>8.6113266097750191E-2</v>
      </c>
      <c r="M178" t="s">
        <v>22</v>
      </c>
    </row>
    <row r="179" spans="1:13" x14ac:dyDescent="0.3">
      <c r="A179" t="s">
        <v>81</v>
      </c>
      <c r="B179" t="s">
        <v>13</v>
      </c>
      <c r="C179" s="73">
        <v>45460</v>
      </c>
      <c r="D179" t="s">
        <v>30</v>
      </c>
      <c r="E179" t="s">
        <v>343</v>
      </c>
      <c r="F179" s="18">
        <v>6976</v>
      </c>
      <c r="G179" s="18">
        <v>1320</v>
      </c>
      <c r="H179" s="18">
        <v>393</v>
      </c>
      <c r="I179" s="18">
        <v>2285</v>
      </c>
      <c r="J179" s="18">
        <v>14049</v>
      </c>
      <c r="K179" s="18">
        <v>101367</v>
      </c>
      <c r="L179" s="33">
        <v>8.5718231771681114E-2</v>
      </c>
      <c r="M179" t="s">
        <v>38</v>
      </c>
    </row>
    <row r="180" spans="1:13" x14ac:dyDescent="0.3">
      <c r="A180" t="s">
        <v>285</v>
      </c>
      <c r="B180" t="s">
        <v>17</v>
      </c>
      <c r="C180" s="73">
        <v>45698</v>
      </c>
      <c r="D180" t="s">
        <v>30</v>
      </c>
      <c r="E180" t="s">
        <v>344</v>
      </c>
      <c r="F180" s="18">
        <v>16309</v>
      </c>
      <c r="G180" s="18">
        <v>1449</v>
      </c>
      <c r="H180" s="18">
        <v>838</v>
      </c>
      <c r="I180" s="18">
        <v>2434</v>
      </c>
      <c r="J180" s="18">
        <v>2940</v>
      </c>
      <c r="K180" s="18">
        <v>217953</v>
      </c>
      <c r="L180" s="33">
        <v>8.5321147219813445E-2</v>
      </c>
      <c r="M180" t="s">
        <v>25</v>
      </c>
    </row>
    <row r="181" spans="1:13" x14ac:dyDescent="0.3">
      <c r="A181" t="s">
        <v>50</v>
      </c>
      <c r="B181" t="s">
        <v>17</v>
      </c>
      <c r="C181" s="73">
        <v>45909</v>
      </c>
      <c r="D181" t="s">
        <v>24</v>
      </c>
      <c r="E181" t="s">
        <v>348</v>
      </c>
      <c r="F181" s="18">
        <v>15772</v>
      </c>
      <c r="G181" s="18">
        <v>288</v>
      </c>
      <c r="H181" s="18">
        <v>520</v>
      </c>
      <c r="I181" s="18">
        <v>1585</v>
      </c>
      <c r="J181" s="18">
        <v>59182</v>
      </c>
      <c r="K181" s="18">
        <v>194351</v>
      </c>
      <c r="L181" s="33">
        <v>8.5309568769905988E-2</v>
      </c>
      <c r="M181" t="s">
        <v>18</v>
      </c>
    </row>
    <row r="182" spans="1:13" x14ac:dyDescent="0.3">
      <c r="A182" t="s">
        <v>239</v>
      </c>
      <c r="B182" t="s">
        <v>20</v>
      </c>
      <c r="C182" s="73">
        <v>45778</v>
      </c>
      <c r="D182" t="s">
        <v>21</v>
      </c>
      <c r="E182" t="s">
        <v>349</v>
      </c>
      <c r="F182" s="18">
        <v>10258</v>
      </c>
      <c r="G182" s="18">
        <v>527</v>
      </c>
      <c r="H182" s="18">
        <v>854</v>
      </c>
      <c r="I182" s="18">
        <v>2068</v>
      </c>
      <c r="J182" s="18">
        <v>45632</v>
      </c>
      <c r="K182" s="18">
        <v>136546</v>
      </c>
      <c r="L182" s="33">
        <v>8.5238674146441498E-2</v>
      </c>
      <c r="M182" t="s">
        <v>38</v>
      </c>
    </row>
    <row r="183" spans="1:13" x14ac:dyDescent="0.3">
      <c r="A183" t="s">
        <v>281</v>
      </c>
      <c r="B183" t="s">
        <v>20</v>
      </c>
      <c r="C183" s="73">
        <v>45750</v>
      </c>
      <c r="D183" t="s">
        <v>14</v>
      </c>
      <c r="E183" t="s">
        <v>352</v>
      </c>
      <c r="F183" s="18">
        <v>10837</v>
      </c>
      <c r="G183" s="18">
        <v>1004</v>
      </c>
      <c r="H183" s="18">
        <v>922</v>
      </c>
      <c r="I183" s="18">
        <v>1108</v>
      </c>
      <c r="J183" s="18">
        <v>36807</v>
      </c>
      <c r="K183" s="18">
        <v>150350</v>
      </c>
      <c r="L183" s="33">
        <v>8.4888593282341204E-2</v>
      </c>
      <c r="M183" t="s">
        <v>22</v>
      </c>
    </row>
    <row r="184" spans="1:13" x14ac:dyDescent="0.3">
      <c r="A184" t="s">
        <v>31</v>
      </c>
      <c r="B184" t="s">
        <v>20</v>
      </c>
      <c r="C184" s="73">
        <v>45486</v>
      </c>
      <c r="D184" t="s">
        <v>24</v>
      </c>
      <c r="E184" t="s">
        <v>348</v>
      </c>
      <c r="F184" s="18">
        <v>18639</v>
      </c>
      <c r="G184" s="18">
        <v>1360</v>
      </c>
      <c r="H184" s="18">
        <v>898</v>
      </c>
      <c r="I184" s="18">
        <v>2011</v>
      </c>
      <c r="J184" s="18">
        <v>42841</v>
      </c>
      <c r="K184" s="18">
        <v>247779</v>
      </c>
      <c r="L184" s="33">
        <v>8.4337252148083575E-2</v>
      </c>
      <c r="M184" t="s">
        <v>25</v>
      </c>
    </row>
    <row r="185" spans="1:13" x14ac:dyDescent="0.3">
      <c r="A185" t="s">
        <v>241</v>
      </c>
      <c r="B185" t="s">
        <v>13</v>
      </c>
      <c r="C185" s="73">
        <v>45925</v>
      </c>
      <c r="D185" t="s">
        <v>24</v>
      </c>
      <c r="E185" t="s">
        <v>351</v>
      </c>
      <c r="F185" s="18">
        <v>8371</v>
      </c>
      <c r="G185" s="18">
        <v>960</v>
      </c>
      <c r="H185" s="18">
        <v>548</v>
      </c>
      <c r="I185" s="18">
        <v>2936</v>
      </c>
      <c r="J185" s="18">
        <v>82543</v>
      </c>
      <c r="K185" s="18">
        <v>119973</v>
      </c>
      <c r="L185" s="33">
        <v>8.2343527293641069E-2</v>
      </c>
      <c r="M185" t="s">
        <v>18</v>
      </c>
    </row>
    <row r="186" spans="1:13" x14ac:dyDescent="0.3">
      <c r="A186" t="s">
        <v>143</v>
      </c>
      <c r="B186" t="s">
        <v>20</v>
      </c>
      <c r="C186" s="73">
        <v>45600</v>
      </c>
      <c r="D186" t="s">
        <v>14</v>
      </c>
      <c r="E186" t="s">
        <v>350</v>
      </c>
      <c r="F186" s="18">
        <v>14015</v>
      </c>
      <c r="G186" s="18">
        <v>978</v>
      </c>
      <c r="H186" s="18">
        <v>196</v>
      </c>
      <c r="I186" s="18">
        <v>2744</v>
      </c>
      <c r="J186" s="18">
        <v>20190</v>
      </c>
      <c r="K186" s="18">
        <v>186470</v>
      </c>
      <c r="L186" s="33">
        <v>8.1455462004611998E-2</v>
      </c>
      <c r="M186" t="s">
        <v>22</v>
      </c>
    </row>
    <row r="187" spans="1:13" x14ac:dyDescent="0.3">
      <c r="A187" t="s">
        <v>202</v>
      </c>
      <c r="B187" t="s">
        <v>34</v>
      </c>
      <c r="C187" s="73">
        <v>45939</v>
      </c>
      <c r="D187" t="s">
        <v>30</v>
      </c>
      <c r="E187" t="s">
        <v>345</v>
      </c>
      <c r="F187" s="18">
        <v>18748</v>
      </c>
      <c r="G187" s="18">
        <v>634</v>
      </c>
      <c r="H187" s="18">
        <v>400</v>
      </c>
      <c r="I187" s="18">
        <v>1667</v>
      </c>
      <c r="J187" s="18">
        <v>75813</v>
      </c>
      <c r="K187" s="18">
        <v>244456</v>
      </c>
      <c r="L187" s="33">
        <v>8.0922538207284747E-2</v>
      </c>
      <c r="M187" t="s">
        <v>18</v>
      </c>
    </row>
    <row r="188" spans="1:13" x14ac:dyDescent="0.3">
      <c r="A188" t="s">
        <v>201</v>
      </c>
      <c r="B188" t="s">
        <v>17</v>
      </c>
      <c r="C188" s="73">
        <v>45938</v>
      </c>
      <c r="D188" t="s">
        <v>21</v>
      </c>
      <c r="E188" t="s">
        <v>350</v>
      </c>
      <c r="F188" s="18">
        <v>17745</v>
      </c>
      <c r="G188" s="18">
        <v>414</v>
      </c>
      <c r="H188" s="18">
        <v>563</v>
      </c>
      <c r="I188" s="18">
        <v>2733</v>
      </c>
      <c r="J188" s="18">
        <v>995</v>
      </c>
      <c r="K188" s="18">
        <v>231648</v>
      </c>
      <c r="L188" s="33">
        <v>8.0820900676889074E-2</v>
      </c>
      <c r="M188" t="s">
        <v>18</v>
      </c>
    </row>
    <row r="189" spans="1:13" x14ac:dyDescent="0.3">
      <c r="A189" t="s">
        <v>238</v>
      </c>
      <c r="B189" t="s">
        <v>13</v>
      </c>
      <c r="C189" s="73">
        <v>45719</v>
      </c>
      <c r="D189" t="s">
        <v>24</v>
      </c>
      <c r="E189" t="s">
        <v>343</v>
      </c>
      <c r="F189" s="18">
        <v>9561</v>
      </c>
      <c r="G189" s="18">
        <v>642</v>
      </c>
      <c r="H189" s="18">
        <v>581</v>
      </c>
      <c r="I189" s="18">
        <v>2572</v>
      </c>
      <c r="J189" s="18">
        <v>38552</v>
      </c>
      <c r="K189" s="18">
        <v>133680</v>
      </c>
      <c r="L189" s="33">
        <v>8.0670257330939563E-2</v>
      </c>
      <c r="M189" t="s">
        <v>15</v>
      </c>
    </row>
    <row r="190" spans="1:13" x14ac:dyDescent="0.3">
      <c r="A190" t="s">
        <v>198</v>
      </c>
      <c r="B190" t="s">
        <v>20</v>
      </c>
      <c r="C190" s="73">
        <v>45518</v>
      </c>
      <c r="D190" t="s">
        <v>30</v>
      </c>
      <c r="E190" t="s">
        <v>352</v>
      </c>
      <c r="F190" s="18">
        <v>10150</v>
      </c>
      <c r="G190" s="18">
        <v>526</v>
      </c>
      <c r="H190" s="18">
        <v>888</v>
      </c>
      <c r="I190" s="18">
        <v>1313</v>
      </c>
      <c r="J190" s="18">
        <v>51605</v>
      </c>
      <c r="K190" s="18">
        <v>143409</v>
      </c>
      <c r="L190" s="33">
        <v>8.0636501195880311E-2</v>
      </c>
      <c r="M190" t="s">
        <v>15</v>
      </c>
    </row>
    <row r="191" spans="1:13" x14ac:dyDescent="0.3">
      <c r="A191" t="s">
        <v>217</v>
      </c>
      <c r="B191" t="s">
        <v>13</v>
      </c>
      <c r="C191" s="73">
        <v>45944</v>
      </c>
      <c r="D191" t="s">
        <v>30</v>
      </c>
      <c r="E191" t="s">
        <v>351</v>
      </c>
      <c r="F191" s="18">
        <v>9673</v>
      </c>
      <c r="G191" s="18">
        <v>393</v>
      </c>
      <c r="H191" s="18">
        <v>846</v>
      </c>
      <c r="I191" s="18">
        <v>1028</v>
      </c>
      <c r="J191" s="18">
        <v>55556</v>
      </c>
      <c r="K191" s="18">
        <v>136652</v>
      </c>
      <c r="L191" s="33">
        <v>7.9852471972601938E-2</v>
      </c>
      <c r="M191" t="s">
        <v>18</v>
      </c>
    </row>
    <row r="192" spans="1:13" x14ac:dyDescent="0.3">
      <c r="A192" t="s">
        <v>253</v>
      </c>
      <c r="B192" t="s">
        <v>20</v>
      </c>
      <c r="C192" s="73">
        <v>45455</v>
      </c>
      <c r="D192" t="s">
        <v>21</v>
      </c>
      <c r="E192" t="s">
        <v>344</v>
      </c>
      <c r="F192" s="18">
        <v>17679</v>
      </c>
      <c r="G192" s="18">
        <v>690</v>
      </c>
      <c r="H192" s="18">
        <v>451</v>
      </c>
      <c r="I192" s="18">
        <v>2195</v>
      </c>
      <c r="J192" s="18">
        <v>4390</v>
      </c>
      <c r="K192" s="18">
        <v>235804</v>
      </c>
      <c r="L192" s="33">
        <v>7.9812047293514959E-2</v>
      </c>
      <c r="M192" t="s">
        <v>38</v>
      </c>
    </row>
    <row r="193" spans="1:13" x14ac:dyDescent="0.3">
      <c r="A193" t="s">
        <v>293</v>
      </c>
      <c r="B193" t="s">
        <v>17</v>
      </c>
      <c r="C193" s="73">
        <v>45569</v>
      </c>
      <c r="D193" t="s">
        <v>24</v>
      </c>
      <c r="E193" t="s">
        <v>350</v>
      </c>
      <c r="F193" s="18">
        <v>15746</v>
      </c>
      <c r="G193" s="18">
        <v>258</v>
      </c>
      <c r="H193" s="18">
        <v>839</v>
      </c>
      <c r="I193" s="18">
        <v>2656</v>
      </c>
      <c r="J193" s="18">
        <v>66614</v>
      </c>
      <c r="K193" s="18">
        <v>213724</v>
      </c>
      <c r="L193" s="33">
        <v>7.8807246729426739E-2</v>
      </c>
      <c r="M193" t="s">
        <v>22</v>
      </c>
    </row>
    <row r="194" spans="1:13" x14ac:dyDescent="0.3">
      <c r="A194" t="s">
        <v>85</v>
      </c>
      <c r="B194" t="s">
        <v>13</v>
      </c>
      <c r="C194" s="73">
        <v>45465</v>
      </c>
      <c r="D194" t="s">
        <v>14</v>
      </c>
      <c r="E194" t="s">
        <v>348</v>
      </c>
      <c r="F194" s="18">
        <v>16430</v>
      </c>
      <c r="G194" s="18">
        <v>488</v>
      </c>
      <c r="H194" s="18">
        <v>514</v>
      </c>
      <c r="I194" s="18">
        <v>1436</v>
      </c>
      <c r="J194" s="18">
        <v>30059</v>
      </c>
      <c r="K194" s="18">
        <v>223305</v>
      </c>
      <c r="L194" s="33">
        <v>7.8063634938760881E-2</v>
      </c>
      <c r="M194" t="s">
        <v>25</v>
      </c>
    </row>
    <row r="195" spans="1:13" x14ac:dyDescent="0.3">
      <c r="A195" t="s">
        <v>150</v>
      </c>
      <c r="B195" t="s">
        <v>13</v>
      </c>
      <c r="C195" s="73">
        <v>45753</v>
      </c>
      <c r="D195" t="s">
        <v>21</v>
      </c>
      <c r="E195" t="s">
        <v>351</v>
      </c>
      <c r="F195" s="18">
        <v>8238</v>
      </c>
      <c r="G195" s="18">
        <v>766</v>
      </c>
      <c r="H195" s="18">
        <v>235</v>
      </c>
      <c r="I195" s="18">
        <v>1273</v>
      </c>
      <c r="J195" s="18">
        <v>4706</v>
      </c>
      <c r="K195" s="18">
        <v>119141</v>
      </c>
      <c r="L195" s="33">
        <v>7.7546772311798629E-2</v>
      </c>
      <c r="M195" t="s">
        <v>25</v>
      </c>
    </row>
    <row r="196" spans="1:13" x14ac:dyDescent="0.3">
      <c r="A196" t="s">
        <v>127</v>
      </c>
      <c r="B196" t="s">
        <v>13</v>
      </c>
      <c r="C196" s="73">
        <v>45583</v>
      </c>
      <c r="D196" t="s">
        <v>30</v>
      </c>
      <c r="E196" t="s">
        <v>344</v>
      </c>
      <c r="F196" s="18">
        <v>6892</v>
      </c>
      <c r="G196" s="18">
        <v>1184</v>
      </c>
      <c r="H196" s="18">
        <v>925</v>
      </c>
      <c r="I196" s="18">
        <v>1062</v>
      </c>
      <c r="J196" s="18">
        <v>75008</v>
      </c>
      <c r="K196" s="18">
        <v>116260</v>
      </c>
      <c r="L196" s="33">
        <v>7.7421297092723204E-2</v>
      </c>
      <c r="M196" t="s">
        <v>38</v>
      </c>
    </row>
    <row r="197" spans="1:13" x14ac:dyDescent="0.3">
      <c r="A197" t="s">
        <v>304</v>
      </c>
      <c r="B197" t="s">
        <v>34</v>
      </c>
      <c r="C197" s="73">
        <v>45622</v>
      </c>
      <c r="D197" t="s">
        <v>24</v>
      </c>
      <c r="E197" t="s">
        <v>347</v>
      </c>
      <c r="F197" s="18">
        <v>14607</v>
      </c>
      <c r="G197" s="18">
        <v>1458</v>
      </c>
      <c r="H197" s="18">
        <v>478</v>
      </c>
      <c r="I197" s="18">
        <v>334</v>
      </c>
      <c r="J197" s="18">
        <v>49257</v>
      </c>
      <c r="K197" s="18">
        <v>214668</v>
      </c>
      <c r="L197" s="33">
        <v>7.7063185942944451E-2</v>
      </c>
      <c r="M197" t="s">
        <v>25</v>
      </c>
    </row>
    <row r="198" spans="1:13" x14ac:dyDescent="0.3">
      <c r="A198" t="s">
        <v>35</v>
      </c>
      <c r="B198" t="s">
        <v>13</v>
      </c>
      <c r="C198" s="73">
        <v>45690</v>
      </c>
      <c r="D198" t="s">
        <v>30</v>
      </c>
      <c r="E198" t="s">
        <v>346</v>
      </c>
      <c r="F198" s="18">
        <v>12136</v>
      </c>
      <c r="G198" s="18">
        <v>1117</v>
      </c>
      <c r="H198" s="18">
        <v>834</v>
      </c>
      <c r="I198" s="18">
        <v>892</v>
      </c>
      <c r="J198" s="18">
        <v>24675</v>
      </c>
      <c r="K198" s="18">
        <v>183273</v>
      </c>
      <c r="L198" s="33">
        <v>7.6863476889667326E-2</v>
      </c>
      <c r="M198" t="s">
        <v>22</v>
      </c>
    </row>
    <row r="199" spans="1:13" x14ac:dyDescent="0.3">
      <c r="A199" t="s">
        <v>303</v>
      </c>
      <c r="B199" t="s">
        <v>20</v>
      </c>
      <c r="C199" s="73">
        <v>45753</v>
      </c>
      <c r="D199" t="s">
        <v>14</v>
      </c>
      <c r="E199" t="s">
        <v>55</v>
      </c>
      <c r="F199" s="18">
        <v>14941</v>
      </c>
      <c r="G199" s="18">
        <v>1424</v>
      </c>
      <c r="H199" s="18">
        <v>238</v>
      </c>
      <c r="I199" s="18">
        <v>1054</v>
      </c>
      <c r="J199" s="18">
        <v>20516</v>
      </c>
      <c r="K199" s="18">
        <v>216048</v>
      </c>
      <c r="L199" s="33">
        <v>7.6848663260016298E-2</v>
      </c>
      <c r="M199" t="s">
        <v>38</v>
      </c>
    </row>
    <row r="200" spans="1:13" x14ac:dyDescent="0.3">
      <c r="A200" t="s">
        <v>142</v>
      </c>
      <c r="B200" t="s">
        <v>17</v>
      </c>
      <c r="C200" s="73">
        <v>45734</v>
      </c>
      <c r="D200" t="s">
        <v>14</v>
      </c>
      <c r="E200" t="s">
        <v>348</v>
      </c>
      <c r="F200" s="18">
        <v>5818</v>
      </c>
      <c r="G200" s="18">
        <v>1252</v>
      </c>
      <c r="H200" s="18">
        <v>687</v>
      </c>
      <c r="I200" s="18">
        <v>2300</v>
      </c>
      <c r="J200" s="18">
        <v>25081</v>
      </c>
      <c r="K200" s="18">
        <v>101212</v>
      </c>
      <c r="L200" s="33">
        <v>7.6641109749832043E-2</v>
      </c>
      <c r="M200" t="s">
        <v>38</v>
      </c>
    </row>
    <row r="201" spans="1:13" x14ac:dyDescent="0.3">
      <c r="A201" t="s">
        <v>138</v>
      </c>
      <c r="B201" t="s">
        <v>13</v>
      </c>
      <c r="C201" s="73">
        <v>45570</v>
      </c>
      <c r="D201" t="s">
        <v>30</v>
      </c>
      <c r="E201" t="s">
        <v>344</v>
      </c>
      <c r="F201" s="18">
        <v>16388</v>
      </c>
      <c r="G201" s="18">
        <v>1208</v>
      </c>
      <c r="H201" s="18">
        <v>417</v>
      </c>
      <c r="I201" s="18">
        <v>2306</v>
      </c>
      <c r="J201" s="18">
        <v>16865</v>
      </c>
      <c r="K201" s="18">
        <v>236733</v>
      </c>
      <c r="L201" s="33">
        <v>7.6089940988370866E-2</v>
      </c>
      <c r="M201" t="s">
        <v>15</v>
      </c>
    </row>
    <row r="202" spans="1:13" x14ac:dyDescent="0.3">
      <c r="A202" t="s">
        <v>237</v>
      </c>
      <c r="B202" t="s">
        <v>13</v>
      </c>
      <c r="C202" s="73">
        <v>45924</v>
      </c>
      <c r="D202" t="s">
        <v>14</v>
      </c>
      <c r="E202" t="s">
        <v>55</v>
      </c>
      <c r="F202" s="18">
        <v>11795</v>
      </c>
      <c r="G202" s="18">
        <v>958</v>
      </c>
      <c r="H202" s="18">
        <v>814</v>
      </c>
      <c r="I202" s="18">
        <v>301</v>
      </c>
      <c r="J202" s="18">
        <v>12564</v>
      </c>
      <c r="K202" s="18">
        <v>179999</v>
      </c>
      <c r="L202" s="33">
        <v>7.5372640959116444E-2</v>
      </c>
      <c r="M202" t="s">
        <v>18</v>
      </c>
    </row>
    <row r="203" spans="1:13" x14ac:dyDescent="0.3">
      <c r="A203" t="s">
        <v>259</v>
      </c>
      <c r="B203" t="s">
        <v>17</v>
      </c>
      <c r="C203" s="73">
        <v>45724</v>
      </c>
      <c r="D203" t="s">
        <v>14</v>
      </c>
      <c r="E203" t="s">
        <v>343</v>
      </c>
      <c r="F203" s="18">
        <v>5812</v>
      </c>
      <c r="G203" s="18">
        <v>934</v>
      </c>
      <c r="H203" s="18">
        <v>302</v>
      </c>
      <c r="I203" s="18">
        <v>2356</v>
      </c>
      <c r="J203" s="18">
        <v>37437</v>
      </c>
      <c r="K203" s="18">
        <v>93551</v>
      </c>
      <c r="L203" s="33">
        <v>7.5338585370546551E-2</v>
      </c>
      <c r="M203" t="s">
        <v>15</v>
      </c>
    </row>
    <row r="204" spans="1:13" x14ac:dyDescent="0.3">
      <c r="A204" t="s">
        <v>265</v>
      </c>
      <c r="B204" t="s">
        <v>13</v>
      </c>
      <c r="C204" s="73">
        <v>45910</v>
      </c>
      <c r="D204" t="s">
        <v>14</v>
      </c>
      <c r="E204" t="s">
        <v>344</v>
      </c>
      <c r="F204" s="18">
        <v>13613</v>
      </c>
      <c r="G204" s="18">
        <v>350</v>
      </c>
      <c r="H204" s="18">
        <v>809</v>
      </c>
      <c r="I204" s="18">
        <v>2013</v>
      </c>
      <c r="J204" s="18">
        <v>20471</v>
      </c>
      <c r="K204" s="18">
        <v>198038</v>
      </c>
      <c r="L204" s="33">
        <v>7.4591745018632791E-2</v>
      </c>
      <c r="M204" t="s">
        <v>18</v>
      </c>
    </row>
    <row r="205" spans="1:13" x14ac:dyDescent="0.3">
      <c r="A205" t="s">
        <v>42</v>
      </c>
      <c r="B205" t="s">
        <v>17</v>
      </c>
      <c r="C205" s="73">
        <v>45782</v>
      </c>
      <c r="D205" t="s">
        <v>21</v>
      </c>
      <c r="E205" t="s">
        <v>350</v>
      </c>
      <c r="F205" s="18">
        <v>10415</v>
      </c>
      <c r="G205" s="18">
        <v>1388</v>
      </c>
      <c r="H205" s="18">
        <v>725</v>
      </c>
      <c r="I205" s="18">
        <v>2462</v>
      </c>
      <c r="J205" s="18">
        <v>53082</v>
      </c>
      <c r="K205" s="18">
        <v>168267</v>
      </c>
      <c r="L205" s="33">
        <v>7.4453101321114656E-2</v>
      </c>
      <c r="M205" t="s">
        <v>38</v>
      </c>
    </row>
    <row r="206" spans="1:13" x14ac:dyDescent="0.3">
      <c r="A206" t="s">
        <v>278</v>
      </c>
      <c r="B206" t="s">
        <v>20</v>
      </c>
      <c r="C206" s="73">
        <v>45775</v>
      </c>
      <c r="D206" t="s">
        <v>30</v>
      </c>
      <c r="E206" t="s">
        <v>350</v>
      </c>
      <c r="F206" s="18">
        <v>10659</v>
      </c>
      <c r="G206" s="18">
        <v>1342</v>
      </c>
      <c r="H206" s="18">
        <v>408</v>
      </c>
      <c r="I206" s="18">
        <v>709</v>
      </c>
      <c r="J206" s="18">
        <v>16309</v>
      </c>
      <c r="K206" s="18">
        <v>168803</v>
      </c>
      <c r="L206" s="33">
        <v>7.3511726687321907E-2</v>
      </c>
      <c r="M206" t="s">
        <v>22</v>
      </c>
    </row>
    <row r="207" spans="1:13" x14ac:dyDescent="0.3">
      <c r="A207" t="s">
        <v>235</v>
      </c>
      <c r="B207" t="s">
        <v>34</v>
      </c>
      <c r="C207" s="73">
        <v>45735</v>
      </c>
      <c r="D207" t="s">
        <v>30</v>
      </c>
      <c r="E207" t="s">
        <v>346</v>
      </c>
      <c r="F207" s="18">
        <v>13475</v>
      </c>
      <c r="G207" s="18">
        <v>1032</v>
      </c>
      <c r="H207" s="18">
        <v>295</v>
      </c>
      <c r="I207" s="18">
        <v>541</v>
      </c>
      <c r="J207" s="18">
        <v>43666</v>
      </c>
      <c r="K207" s="18">
        <v>202396</v>
      </c>
      <c r="L207" s="33">
        <v>7.3133856400324118E-2</v>
      </c>
      <c r="M207" t="s">
        <v>38</v>
      </c>
    </row>
    <row r="208" spans="1:13" x14ac:dyDescent="0.3">
      <c r="A208" t="s">
        <v>43</v>
      </c>
      <c r="B208" t="s">
        <v>17</v>
      </c>
      <c r="C208" s="73">
        <v>45523</v>
      </c>
      <c r="D208" t="s">
        <v>14</v>
      </c>
      <c r="E208" t="s">
        <v>348</v>
      </c>
      <c r="F208" s="18">
        <v>15550</v>
      </c>
      <c r="G208" s="18">
        <v>204</v>
      </c>
      <c r="H208" s="18">
        <v>279</v>
      </c>
      <c r="I208" s="18">
        <v>1646</v>
      </c>
      <c r="J208" s="18">
        <v>35819</v>
      </c>
      <c r="K208" s="18">
        <v>219436</v>
      </c>
      <c r="L208" s="33">
        <v>7.306458375107093E-2</v>
      </c>
      <c r="M208" t="s">
        <v>15</v>
      </c>
    </row>
    <row r="209" spans="1:13" x14ac:dyDescent="0.3">
      <c r="A209" t="s">
        <v>255</v>
      </c>
      <c r="B209" t="s">
        <v>20</v>
      </c>
      <c r="C209" s="73">
        <v>45476</v>
      </c>
      <c r="D209" t="s">
        <v>24</v>
      </c>
      <c r="E209" t="s">
        <v>344</v>
      </c>
      <c r="F209" s="18">
        <v>12167</v>
      </c>
      <c r="G209" s="18">
        <v>364</v>
      </c>
      <c r="H209" s="18">
        <v>160</v>
      </c>
      <c r="I209" s="18">
        <v>616</v>
      </c>
      <c r="J209" s="18">
        <v>42228</v>
      </c>
      <c r="K209" s="18">
        <v>175832</v>
      </c>
      <c r="L209" s="33">
        <v>7.2176850630146963E-2</v>
      </c>
      <c r="M209" t="s">
        <v>22</v>
      </c>
    </row>
    <row r="210" spans="1:13" x14ac:dyDescent="0.3">
      <c r="A210" t="s">
        <v>115</v>
      </c>
      <c r="B210" t="s">
        <v>17</v>
      </c>
      <c r="C210" s="73">
        <v>45923</v>
      </c>
      <c r="D210" t="s">
        <v>14</v>
      </c>
      <c r="E210" t="s">
        <v>352</v>
      </c>
      <c r="F210" s="18">
        <v>10017</v>
      </c>
      <c r="G210" s="18">
        <v>1357</v>
      </c>
      <c r="H210" s="18">
        <v>966</v>
      </c>
      <c r="I210" s="18">
        <v>2871</v>
      </c>
      <c r="J210" s="18">
        <v>14800</v>
      </c>
      <c r="K210" s="18">
        <v>171691</v>
      </c>
      <c r="L210" s="33">
        <v>7.1873307278774071E-2</v>
      </c>
      <c r="M210" t="s">
        <v>18</v>
      </c>
    </row>
    <row r="211" spans="1:13" x14ac:dyDescent="0.3">
      <c r="A211" t="s">
        <v>203</v>
      </c>
      <c r="B211" t="s">
        <v>13</v>
      </c>
      <c r="C211" s="73">
        <v>45483</v>
      </c>
      <c r="D211" t="s">
        <v>14</v>
      </c>
      <c r="E211" t="s">
        <v>351</v>
      </c>
      <c r="F211" s="18">
        <v>8809</v>
      </c>
      <c r="G211" s="18">
        <v>1151</v>
      </c>
      <c r="H211" s="18">
        <v>908</v>
      </c>
      <c r="I211" s="18">
        <v>883</v>
      </c>
      <c r="J211" s="18">
        <v>42921</v>
      </c>
      <c r="K211" s="18">
        <v>151279</v>
      </c>
      <c r="L211" s="33">
        <v>7.1840771025720687E-2</v>
      </c>
      <c r="M211" t="s">
        <v>38</v>
      </c>
    </row>
    <row r="212" spans="1:13" x14ac:dyDescent="0.3">
      <c r="A212" t="s">
        <v>218</v>
      </c>
      <c r="B212" t="s">
        <v>13</v>
      </c>
      <c r="C212" s="73">
        <v>45945</v>
      </c>
      <c r="D212" t="s">
        <v>14</v>
      </c>
      <c r="E212" t="s">
        <v>348</v>
      </c>
      <c r="F212" s="18">
        <v>8882</v>
      </c>
      <c r="G212" s="18">
        <v>701</v>
      </c>
      <c r="H212" s="18">
        <v>421</v>
      </c>
      <c r="I212" s="18">
        <v>2343</v>
      </c>
      <c r="J212" s="18">
        <v>13588</v>
      </c>
      <c r="K212" s="18">
        <v>139304</v>
      </c>
      <c r="L212" s="33">
        <v>7.1814161833113191E-2</v>
      </c>
      <c r="M212" t="s">
        <v>18</v>
      </c>
    </row>
    <row r="213" spans="1:13" x14ac:dyDescent="0.3">
      <c r="A213" t="s">
        <v>141</v>
      </c>
      <c r="B213" t="s">
        <v>13</v>
      </c>
      <c r="C213" s="73">
        <v>45930</v>
      </c>
      <c r="D213" t="s">
        <v>21</v>
      </c>
      <c r="E213" t="s">
        <v>343</v>
      </c>
      <c r="F213" s="18">
        <v>8269</v>
      </c>
      <c r="G213" s="18">
        <v>250</v>
      </c>
      <c r="H213" s="18">
        <v>638</v>
      </c>
      <c r="I213" s="18">
        <v>815</v>
      </c>
      <c r="J213" s="18">
        <v>41991</v>
      </c>
      <c r="K213" s="18">
        <v>129393</v>
      </c>
      <c r="L213" s="33">
        <v>7.0768897853825175E-2</v>
      </c>
      <c r="M213" t="s">
        <v>18</v>
      </c>
    </row>
    <row r="214" spans="1:13" x14ac:dyDescent="0.3">
      <c r="A214" t="s">
        <v>283</v>
      </c>
      <c r="B214" t="s">
        <v>13</v>
      </c>
      <c r="C214" s="73">
        <v>45753</v>
      </c>
      <c r="D214" t="s">
        <v>30</v>
      </c>
      <c r="E214" t="s">
        <v>350</v>
      </c>
      <c r="F214" s="18">
        <v>15917</v>
      </c>
      <c r="G214" s="18">
        <v>1479</v>
      </c>
      <c r="H214" s="18">
        <v>196</v>
      </c>
      <c r="I214" s="18">
        <v>313</v>
      </c>
      <c r="J214" s="18">
        <v>48524</v>
      </c>
      <c r="K214" s="18">
        <v>249684</v>
      </c>
      <c r="L214" s="33">
        <v>7.0457057720959296E-2</v>
      </c>
      <c r="M214" t="s">
        <v>25</v>
      </c>
    </row>
    <row r="215" spans="1:13" x14ac:dyDescent="0.3">
      <c r="A215" t="s">
        <v>317</v>
      </c>
      <c r="B215" t="s">
        <v>20</v>
      </c>
      <c r="C215" s="73">
        <v>45602</v>
      </c>
      <c r="D215" t="s">
        <v>14</v>
      </c>
      <c r="E215" t="s">
        <v>347</v>
      </c>
      <c r="F215" s="18">
        <v>11865</v>
      </c>
      <c r="G215" s="18">
        <v>241</v>
      </c>
      <c r="H215" s="18">
        <v>319</v>
      </c>
      <c r="I215" s="18">
        <v>703</v>
      </c>
      <c r="J215" s="18">
        <v>69596</v>
      </c>
      <c r="K215" s="18">
        <v>177513</v>
      </c>
      <c r="L215" s="33">
        <v>6.999487361489018E-2</v>
      </c>
      <c r="M215" t="s">
        <v>25</v>
      </c>
    </row>
    <row r="216" spans="1:13" x14ac:dyDescent="0.3">
      <c r="A216" t="s">
        <v>325</v>
      </c>
      <c r="B216" t="s">
        <v>20</v>
      </c>
      <c r="C216" s="73">
        <v>45925</v>
      </c>
      <c r="D216" t="s">
        <v>30</v>
      </c>
      <c r="E216" t="s">
        <v>351</v>
      </c>
      <c r="F216" s="18">
        <v>12568</v>
      </c>
      <c r="G216" s="18">
        <v>541</v>
      </c>
      <c r="H216" s="18">
        <v>273</v>
      </c>
      <c r="I216" s="18">
        <v>2767</v>
      </c>
      <c r="J216" s="18">
        <v>22331</v>
      </c>
      <c r="K216" s="18">
        <v>192747</v>
      </c>
      <c r="L216" s="33">
        <v>6.9427799135654514E-2</v>
      </c>
      <c r="M216" t="s">
        <v>18</v>
      </c>
    </row>
    <row r="217" spans="1:13" x14ac:dyDescent="0.3">
      <c r="A217" t="s">
        <v>71</v>
      </c>
      <c r="B217" t="s">
        <v>17</v>
      </c>
      <c r="C217" s="73">
        <v>45917</v>
      </c>
      <c r="D217" t="s">
        <v>21</v>
      </c>
      <c r="E217" t="s">
        <v>347</v>
      </c>
      <c r="F217" s="18">
        <v>15456</v>
      </c>
      <c r="G217" s="18">
        <v>590</v>
      </c>
      <c r="H217" s="18">
        <v>555</v>
      </c>
      <c r="I217" s="18">
        <v>2882</v>
      </c>
      <c r="J217" s="18">
        <v>49816</v>
      </c>
      <c r="K217" s="18">
        <v>240422</v>
      </c>
      <c r="L217" s="33">
        <v>6.9049421433978589E-2</v>
      </c>
      <c r="M217" t="s">
        <v>18</v>
      </c>
    </row>
    <row r="218" spans="1:13" x14ac:dyDescent="0.3">
      <c r="A218" t="s">
        <v>63</v>
      </c>
      <c r="B218" t="s">
        <v>17</v>
      </c>
      <c r="C218" s="73">
        <v>45663</v>
      </c>
      <c r="D218" t="s">
        <v>14</v>
      </c>
      <c r="E218" t="s">
        <v>345</v>
      </c>
      <c r="F218" s="18">
        <v>11860</v>
      </c>
      <c r="G218" s="18">
        <v>1448</v>
      </c>
      <c r="H218" s="18">
        <v>893</v>
      </c>
      <c r="I218" s="18">
        <v>490</v>
      </c>
      <c r="J218" s="18">
        <v>23518</v>
      </c>
      <c r="K218" s="18">
        <v>206205</v>
      </c>
      <c r="L218" s="33">
        <v>6.8868359157149436E-2</v>
      </c>
      <c r="M218" t="s">
        <v>15</v>
      </c>
    </row>
    <row r="219" spans="1:13" x14ac:dyDescent="0.3">
      <c r="A219" t="s">
        <v>188</v>
      </c>
      <c r="B219" t="s">
        <v>20</v>
      </c>
      <c r="C219" s="73">
        <v>45748</v>
      </c>
      <c r="D219" t="s">
        <v>14</v>
      </c>
      <c r="E219" t="s">
        <v>347</v>
      </c>
      <c r="F219" s="18">
        <v>6432</v>
      </c>
      <c r="G219" s="18">
        <v>1272</v>
      </c>
      <c r="H219" s="18">
        <v>498</v>
      </c>
      <c r="I219" s="18">
        <v>677</v>
      </c>
      <c r="J219" s="18">
        <v>47305</v>
      </c>
      <c r="K219" s="18">
        <v>119134</v>
      </c>
      <c r="L219" s="33">
        <v>6.8846844729464299E-2</v>
      </c>
      <c r="M219" t="s">
        <v>15</v>
      </c>
    </row>
    <row r="220" spans="1:13" x14ac:dyDescent="0.3">
      <c r="A220" t="s">
        <v>305</v>
      </c>
      <c r="B220" t="s">
        <v>20</v>
      </c>
      <c r="C220" s="73">
        <v>45537</v>
      </c>
      <c r="D220" t="s">
        <v>24</v>
      </c>
      <c r="E220" t="s">
        <v>346</v>
      </c>
      <c r="F220" s="18">
        <v>11765</v>
      </c>
      <c r="G220" s="18">
        <v>693</v>
      </c>
      <c r="H220" s="18">
        <v>729</v>
      </c>
      <c r="I220" s="18">
        <v>744</v>
      </c>
      <c r="J220" s="18">
        <v>97772</v>
      </c>
      <c r="K220" s="18">
        <v>194243</v>
      </c>
      <c r="L220" s="33">
        <v>6.7889190344053579E-2</v>
      </c>
      <c r="M220" t="s">
        <v>15</v>
      </c>
    </row>
    <row r="221" spans="1:13" x14ac:dyDescent="0.3">
      <c r="A221" t="s">
        <v>267</v>
      </c>
      <c r="B221" t="s">
        <v>34</v>
      </c>
      <c r="C221" s="73">
        <v>45675</v>
      </c>
      <c r="D221" t="s">
        <v>21</v>
      </c>
      <c r="E221" t="s">
        <v>351</v>
      </c>
      <c r="F221" s="18">
        <v>12589</v>
      </c>
      <c r="G221" s="18">
        <v>346</v>
      </c>
      <c r="H221" s="18">
        <v>459</v>
      </c>
      <c r="I221" s="18">
        <v>1407</v>
      </c>
      <c r="J221" s="18">
        <v>29254</v>
      </c>
      <c r="K221" s="18">
        <v>198059</v>
      </c>
      <c r="L221" s="33">
        <v>6.7626313371268162E-2</v>
      </c>
      <c r="M221" t="s">
        <v>22</v>
      </c>
    </row>
    <row r="222" spans="1:13" x14ac:dyDescent="0.3">
      <c r="A222" t="s">
        <v>137</v>
      </c>
      <c r="B222" t="s">
        <v>17</v>
      </c>
      <c r="C222" s="73">
        <v>45619</v>
      </c>
      <c r="D222" t="s">
        <v>21</v>
      </c>
      <c r="E222" t="s">
        <v>28</v>
      </c>
      <c r="F222" s="18">
        <v>9941</v>
      </c>
      <c r="G222" s="18">
        <v>1329</v>
      </c>
      <c r="H222" s="18">
        <v>238</v>
      </c>
      <c r="I222" s="18">
        <v>869</v>
      </c>
      <c r="J222" s="18">
        <v>40281</v>
      </c>
      <c r="K222" s="18">
        <v>172311</v>
      </c>
      <c r="L222" s="33">
        <v>6.6786217943137702E-2</v>
      </c>
      <c r="M222" t="s">
        <v>22</v>
      </c>
    </row>
    <row r="223" spans="1:13" x14ac:dyDescent="0.3">
      <c r="A223" t="s">
        <v>125</v>
      </c>
      <c r="B223" t="s">
        <v>34</v>
      </c>
      <c r="C223" s="73">
        <v>45475</v>
      </c>
      <c r="D223" t="s">
        <v>30</v>
      </c>
      <c r="E223" t="s">
        <v>347</v>
      </c>
      <c r="F223" s="18">
        <v>12320</v>
      </c>
      <c r="G223" s="18">
        <v>1157</v>
      </c>
      <c r="H223" s="18">
        <v>365</v>
      </c>
      <c r="I223" s="18">
        <v>584</v>
      </c>
      <c r="J223" s="18">
        <v>66634</v>
      </c>
      <c r="K223" s="18">
        <v>210102</v>
      </c>
      <c r="L223" s="33">
        <v>6.5882285746922925E-2</v>
      </c>
      <c r="M223" t="s">
        <v>25</v>
      </c>
    </row>
    <row r="224" spans="1:13" x14ac:dyDescent="0.3">
      <c r="A224" t="s">
        <v>248</v>
      </c>
      <c r="B224" t="s">
        <v>13</v>
      </c>
      <c r="C224" s="73">
        <v>45573</v>
      </c>
      <c r="D224" t="s">
        <v>21</v>
      </c>
      <c r="E224" t="s">
        <v>55</v>
      </c>
      <c r="F224" s="18">
        <v>8738</v>
      </c>
      <c r="G224" s="18">
        <v>295</v>
      </c>
      <c r="H224" s="18">
        <v>529</v>
      </c>
      <c r="I224" s="18">
        <v>442</v>
      </c>
      <c r="J224" s="18">
        <v>25286</v>
      </c>
      <c r="K224" s="18">
        <v>147522</v>
      </c>
      <c r="L224" s="33">
        <v>6.4817450956467515E-2</v>
      </c>
      <c r="M224" t="s">
        <v>25</v>
      </c>
    </row>
    <row r="225" spans="1:13" x14ac:dyDescent="0.3">
      <c r="A225" t="s">
        <v>80</v>
      </c>
      <c r="B225" t="s">
        <v>17</v>
      </c>
      <c r="C225" s="73">
        <v>45729</v>
      </c>
      <c r="D225" t="s">
        <v>30</v>
      </c>
      <c r="E225" t="s">
        <v>345</v>
      </c>
      <c r="F225" s="18">
        <v>6544</v>
      </c>
      <c r="G225" s="18">
        <v>749</v>
      </c>
      <c r="H225" s="18">
        <v>888</v>
      </c>
      <c r="I225" s="18">
        <v>594</v>
      </c>
      <c r="J225" s="18">
        <v>18171</v>
      </c>
      <c r="K225" s="18">
        <v>126475</v>
      </c>
      <c r="L225" s="33">
        <v>6.4684720300454635E-2</v>
      </c>
      <c r="M225" t="s">
        <v>22</v>
      </c>
    </row>
    <row r="226" spans="1:13" x14ac:dyDescent="0.3">
      <c r="A226" t="s">
        <v>244</v>
      </c>
      <c r="B226" t="s">
        <v>20</v>
      </c>
      <c r="C226" s="73">
        <v>45454</v>
      </c>
      <c r="D226" t="s">
        <v>24</v>
      </c>
      <c r="E226" t="s">
        <v>55</v>
      </c>
      <c r="F226" s="18">
        <v>14910</v>
      </c>
      <c r="G226" s="18">
        <v>778</v>
      </c>
      <c r="H226" s="18">
        <v>289</v>
      </c>
      <c r="I226" s="18">
        <v>2541</v>
      </c>
      <c r="J226" s="18">
        <v>14309</v>
      </c>
      <c r="K226" s="18">
        <v>247815</v>
      </c>
      <c r="L226" s="33">
        <v>6.4471480741682297E-2</v>
      </c>
      <c r="M226" t="s">
        <v>22</v>
      </c>
    </row>
    <row r="227" spans="1:13" x14ac:dyDescent="0.3">
      <c r="A227" t="s">
        <v>180</v>
      </c>
      <c r="B227" t="s">
        <v>13</v>
      </c>
      <c r="C227" s="73">
        <v>45574</v>
      </c>
      <c r="D227" t="s">
        <v>24</v>
      </c>
      <c r="E227" t="s">
        <v>349</v>
      </c>
      <c r="F227" s="18">
        <v>7240</v>
      </c>
      <c r="G227" s="18">
        <v>1384</v>
      </c>
      <c r="H227" s="18">
        <v>954</v>
      </c>
      <c r="I227" s="18">
        <v>2335</v>
      </c>
      <c r="J227" s="18">
        <v>6757</v>
      </c>
      <c r="K227" s="18">
        <v>150448</v>
      </c>
      <c r="L227" s="33">
        <v>6.3663192598106988E-2</v>
      </c>
      <c r="M227" t="s">
        <v>22</v>
      </c>
    </row>
    <row r="228" spans="1:13" x14ac:dyDescent="0.3">
      <c r="A228" t="s">
        <v>236</v>
      </c>
      <c r="B228" t="s">
        <v>20</v>
      </c>
      <c r="C228" s="73">
        <v>45707</v>
      </c>
      <c r="D228" t="s">
        <v>24</v>
      </c>
      <c r="E228" t="s">
        <v>349</v>
      </c>
      <c r="F228" s="18">
        <v>8168</v>
      </c>
      <c r="G228" s="18">
        <v>512</v>
      </c>
      <c r="H228" s="18">
        <v>442</v>
      </c>
      <c r="I228" s="18">
        <v>2343</v>
      </c>
      <c r="J228" s="18">
        <v>2753</v>
      </c>
      <c r="K228" s="18">
        <v>143896</v>
      </c>
      <c r="L228" s="33">
        <v>6.3393006059932172E-2</v>
      </c>
      <c r="M228" t="s">
        <v>38</v>
      </c>
    </row>
    <row r="229" spans="1:13" x14ac:dyDescent="0.3">
      <c r="A229" t="s">
        <v>175</v>
      </c>
      <c r="B229" t="s">
        <v>20</v>
      </c>
      <c r="C229" s="73">
        <v>45459</v>
      </c>
      <c r="D229" t="s">
        <v>21</v>
      </c>
      <c r="E229" t="s">
        <v>343</v>
      </c>
      <c r="F229" s="18">
        <v>12160</v>
      </c>
      <c r="G229" s="18">
        <v>1405</v>
      </c>
      <c r="H229" s="18">
        <v>769</v>
      </c>
      <c r="I229" s="18">
        <v>1980</v>
      </c>
      <c r="J229" s="18">
        <v>33174</v>
      </c>
      <c r="K229" s="18">
        <v>226481</v>
      </c>
      <c r="L229" s="33">
        <v>6.329007731332871E-2</v>
      </c>
      <c r="M229" t="s">
        <v>15</v>
      </c>
    </row>
    <row r="230" spans="1:13" x14ac:dyDescent="0.3">
      <c r="A230" t="s">
        <v>321</v>
      </c>
      <c r="B230" t="s">
        <v>34</v>
      </c>
      <c r="C230" s="73">
        <v>45783</v>
      </c>
      <c r="D230" t="s">
        <v>30</v>
      </c>
      <c r="E230" t="s">
        <v>343</v>
      </c>
      <c r="F230" s="18">
        <v>7287</v>
      </c>
      <c r="G230" s="18">
        <v>1240</v>
      </c>
      <c r="H230" s="18">
        <v>686</v>
      </c>
      <c r="I230" s="18">
        <v>1255</v>
      </c>
      <c r="J230" s="18">
        <v>15403</v>
      </c>
      <c r="K230" s="18">
        <v>147971</v>
      </c>
      <c r="L230" s="33">
        <v>6.2262200025680704E-2</v>
      </c>
      <c r="M230" t="s">
        <v>15</v>
      </c>
    </row>
    <row r="231" spans="1:13" x14ac:dyDescent="0.3">
      <c r="A231" t="s">
        <v>111</v>
      </c>
      <c r="B231" t="s">
        <v>13</v>
      </c>
      <c r="C231" s="73">
        <v>45766</v>
      </c>
      <c r="D231" t="s">
        <v>14</v>
      </c>
      <c r="E231" t="s">
        <v>347</v>
      </c>
      <c r="F231" s="18">
        <v>8881</v>
      </c>
      <c r="G231" s="18">
        <v>210</v>
      </c>
      <c r="H231" s="18">
        <v>673</v>
      </c>
      <c r="I231" s="18">
        <v>1565</v>
      </c>
      <c r="J231" s="18">
        <v>24847</v>
      </c>
      <c r="K231" s="18">
        <v>156891</v>
      </c>
      <c r="L231" s="33">
        <v>6.223429004850501E-2</v>
      </c>
      <c r="M231" t="s">
        <v>22</v>
      </c>
    </row>
    <row r="232" spans="1:13" x14ac:dyDescent="0.3">
      <c r="A232" t="s">
        <v>182</v>
      </c>
      <c r="B232" t="s">
        <v>34</v>
      </c>
      <c r="C232" s="73">
        <v>45587</v>
      </c>
      <c r="D232" t="s">
        <v>21</v>
      </c>
      <c r="E232" t="s">
        <v>347</v>
      </c>
      <c r="F232" s="18">
        <v>12478</v>
      </c>
      <c r="G232" s="18">
        <v>484</v>
      </c>
      <c r="H232" s="18">
        <v>332</v>
      </c>
      <c r="I232" s="18">
        <v>2734</v>
      </c>
      <c r="J232" s="18">
        <v>43338</v>
      </c>
      <c r="K232" s="18">
        <v>213895</v>
      </c>
      <c r="L232" s="33">
        <v>6.2151990462610156E-2</v>
      </c>
      <c r="M232" t="s">
        <v>25</v>
      </c>
    </row>
    <row r="233" spans="1:13" x14ac:dyDescent="0.3">
      <c r="A233" t="s">
        <v>296</v>
      </c>
      <c r="B233" t="s">
        <v>13</v>
      </c>
      <c r="C233" s="73">
        <v>45672</v>
      </c>
      <c r="D233" t="s">
        <v>21</v>
      </c>
      <c r="E233" t="s">
        <v>344</v>
      </c>
      <c r="F233" s="18">
        <v>11333</v>
      </c>
      <c r="G233" s="18">
        <v>920</v>
      </c>
      <c r="H233" s="18">
        <v>294</v>
      </c>
      <c r="I233" s="18">
        <v>606</v>
      </c>
      <c r="J233" s="18">
        <v>59490</v>
      </c>
      <c r="K233" s="18">
        <v>202082</v>
      </c>
      <c r="L233" s="33">
        <v>6.2088657079799291E-2</v>
      </c>
      <c r="M233" t="s">
        <v>22</v>
      </c>
    </row>
    <row r="234" spans="1:13" x14ac:dyDescent="0.3">
      <c r="A234" t="s">
        <v>195</v>
      </c>
      <c r="B234" t="s">
        <v>13</v>
      </c>
      <c r="C234" s="73">
        <v>45629</v>
      </c>
      <c r="D234" t="s">
        <v>14</v>
      </c>
      <c r="E234" t="s">
        <v>347</v>
      </c>
      <c r="F234" s="18">
        <v>2055</v>
      </c>
      <c r="G234" s="18">
        <v>675</v>
      </c>
      <c r="H234" s="18">
        <v>257</v>
      </c>
      <c r="I234" s="18">
        <v>820</v>
      </c>
      <c r="J234" s="18">
        <v>33534</v>
      </c>
      <c r="K234" s="18">
        <v>48125</v>
      </c>
      <c r="L234" s="33">
        <v>6.2067532467532466E-2</v>
      </c>
      <c r="M234" t="s">
        <v>15</v>
      </c>
    </row>
    <row r="235" spans="1:13" x14ac:dyDescent="0.3">
      <c r="A235" t="s">
        <v>107</v>
      </c>
      <c r="B235" t="s">
        <v>13</v>
      </c>
      <c r="C235" s="73">
        <v>45584</v>
      </c>
      <c r="D235" t="s">
        <v>30</v>
      </c>
      <c r="E235" t="s">
        <v>346</v>
      </c>
      <c r="F235" s="18">
        <v>6673</v>
      </c>
      <c r="G235" s="18">
        <v>826</v>
      </c>
      <c r="H235" s="18">
        <v>321</v>
      </c>
      <c r="I235" s="18">
        <v>577</v>
      </c>
      <c r="J235" s="18">
        <v>19262</v>
      </c>
      <c r="K235" s="18">
        <v>132324</v>
      </c>
      <c r="L235" s="33">
        <v>5.9097367068710133E-2</v>
      </c>
      <c r="M235" t="s">
        <v>38</v>
      </c>
    </row>
    <row r="236" spans="1:13" x14ac:dyDescent="0.3">
      <c r="A236" t="s">
        <v>74</v>
      </c>
      <c r="B236" t="s">
        <v>13</v>
      </c>
      <c r="C236" s="73">
        <v>45727</v>
      </c>
      <c r="D236" t="s">
        <v>30</v>
      </c>
      <c r="E236" t="s">
        <v>343</v>
      </c>
      <c r="F236" s="18">
        <v>7997</v>
      </c>
      <c r="G236" s="18">
        <v>1238</v>
      </c>
      <c r="H236" s="18">
        <v>438</v>
      </c>
      <c r="I236" s="18">
        <v>1874</v>
      </c>
      <c r="J236" s="18">
        <v>36272</v>
      </c>
      <c r="K236" s="18">
        <v>165818</v>
      </c>
      <c r="L236" s="33">
        <v>5.8335042034037318E-2</v>
      </c>
      <c r="M236" t="s">
        <v>38</v>
      </c>
    </row>
    <row r="237" spans="1:13" x14ac:dyDescent="0.3">
      <c r="A237" t="s">
        <v>40</v>
      </c>
      <c r="B237" t="s">
        <v>17</v>
      </c>
      <c r="C237" s="73">
        <v>45907</v>
      </c>
      <c r="D237" t="s">
        <v>21</v>
      </c>
      <c r="E237" t="s">
        <v>345</v>
      </c>
      <c r="F237" s="18">
        <v>3015</v>
      </c>
      <c r="G237" s="18">
        <v>997</v>
      </c>
      <c r="H237" s="18">
        <v>783</v>
      </c>
      <c r="I237" s="18">
        <v>617</v>
      </c>
      <c r="J237" s="18">
        <v>77167</v>
      </c>
      <c r="K237" s="18">
        <v>82229</v>
      </c>
      <c r="L237" s="33">
        <v>5.8312760704860814E-2</v>
      </c>
      <c r="M237" t="s">
        <v>18</v>
      </c>
    </row>
    <row r="238" spans="1:13" x14ac:dyDescent="0.3">
      <c r="A238" t="s">
        <v>314</v>
      </c>
      <c r="B238" t="s">
        <v>20</v>
      </c>
      <c r="C238" s="73">
        <v>45764</v>
      </c>
      <c r="D238" t="s">
        <v>21</v>
      </c>
      <c r="E238" t="s">
        <v>348</v>
      </c>
      <c r="F238" s="18">
        <v>2009</v>
      </c>
      <c r="G238" s="18">
        <v>1037</v>
      </c>
      <c r="H238" s="18">
        <v>344</v>
      </c>
      <c r="I238" s="18">
        <v>2277</v>
      </c>
      <c r="J238" s="18">
        <v>85743</v>
      </c>
      <c r="K238" s="18">
        <v>58743</v>
      </c>
      <c r="L238" s="33">
        <v>5.7709003625963942E-2</v>
      </c>
      <c r="M238" t="s">
        <v>25</v>
      </c>
    </row>
    <row r="239" spans="1:13" x14ac:dyDescent="0.3">
      <c r="A239" t="s">
        <v>58</v>
      </c>
      <c r="B239" t="s">
        <v>20</v>
      </c>
      <c r="C239" s="73">
        <v>45504</v>
      </c>
      <c r="D239" t="s">
        <v>14</v>
      </c>
      <c r="E239" t="s">
        <v>350</v>
      </c>
      <c r="F239" s="18">
        <v>2404</v>
      </c>
      <c r="G239" s="18">
        <v>774</v>
      </c>
      <c r="H239" s="18">
        <v>661</v>
      </c>
      <c r="I239" s="18">
        <v>662</v>
      </c>
      <c r="J239" s="18">
        <v>12676</v>
      </c>
      <c r="K239" s="18">
        <v>66916</v>
      </c>
      <c r="L239" s="33">
        <v>5.7370434574690654E-2</v>
      </c>
      <c r="M239" t="s">
        <v>15</v>
      </c>
    </row>
    <row r="240" spans="1:13" x14ac:dyDescent="0.3">
      <c r="A240" t="s">
        <v>159</v>
      </c>
      <c r="B240" t="s">
        <v>20</v>
      </c>
      <c r="C240" s="73">
        <v>45694</v>
      </c>
      <c r="D240" t="s">
        <v>14</v>
      </c>
      <c r="E240" t="s">
        <v>343</v>
      </c>
      <c r="F240" s="18">
        <v>2666</v>
      </c>
      <c r="G240" s="18">
        <v>1136</v>
      </c>
      <c r="H240" s="18">
        <v>989</v>
      </c>
      <c r="I240" s="18">
        <v>1710</v>
      </c>
      <c r="J240" s="18">
        <v>36467</v>
      </c>
      <c r="K240" s="18">
        <v>83753</v>
      </c>
      <c r="L240" s="33">
        <v>5.7203921053574198E-2</v>
      </c>
      <c r="M240" t="s">
        <v>22</v>
      </c>
    </row>
    <row r="241" spans="1:13" x14ac:dyDescent="0.3">
      <c r="A241" t="s">
        <v>53</v>
      </c>
      <c r="B241" t="s">
        <v>34</v>
      </c>
      <c r="C241" s="73">
        <v>45720</v>
      </c>
      <c r="D241" t="s">
        <v>21</v>
      </c>
      <c r="E241" t="s">
        <v>28</v>
      </c>
      <c r="F241" s="18">
        <v>12344</v>
      </c>
      <c r="G241" s="18">
        <v>815</v>
      </c>
      <c r="H241" s="18">
        <v>298</v>
      </c>
      <c r="I241" s="18">
        <v>2439</v>
      </c>
      <c r="J241" s="18">
        <v>6259</v>
      </c>
      <c r="K241" s="18">
        <v>237133</v>
      </c>
      <c r="L241" s="33">
        <v>5.6748744375519224E-2</v>
      </c>
      <c r="M241" t="s">
        <v>25</v>
      </c>
    </row>
    <row r="242" spans="1:13" x14ac:dyDescent="0.3">
      <c r="A242" t="s">
        <v>122</v>
      </c>
      <c r="B242" t="s">
        <v>34</v>
      </c>
      <c r="C242" s="73">
        <v>45545</v>
      </c>
      <c r="D242" t="s">
        <v>30</v>
      </c>
      <c r="E242" t="s">
        <v>348</v>
      </c>
      <c r="F242" s="18">
        <v>6637</v>
      </c>
      <c r="G242" s="18">
        <v>595</v>
      </c>
      <c r="H242" s="18">
        <v>161</v>
      </c>
      <c r="I242" s="18">
        <v>2653</v>
      </c>
      <c r="J242" s="18">
        <v>19334</v>
      </c>
      <c r="K242" s="18">
        <v>131155</v>
      </c>
      <c r="L242" s="33">
        <v>5.6368419046166747E-2</v>
      </c>
      <c r="M242" t="s">
        <v>22</v>
      </c>
    </row>
    <row r="243" spans="1:13" x14ac:dyDescent="0.3">
      <c r="A243" t="s">
        <v>113</v>
      </c>
      <c r="B243" t="s">
        <v>34</v>
      </c>
      <c r="C243" s="73">
        <v>45449</v>
      </c>
      <c r="D243" t="s">
        <v>21</v>
      </c>
      <c r="E243" t="s">
        <v>349</v>
      </c>
      <c r="F243" s="18">
        <v>11521</v>
      </c>
      <c r="G243" s="18">
        <v>1071</v>
      </c>
      <c r="H243" s="18">
        <v>762</v>
      </c>
      <c r="I243" s="18">
        <v>2539</v>
      </c>
      <c r="J243" s="18">
        <v>12701</v>
      </c>
      <c r="K243" s="18">
        <v>238350</v>
      </c>
      <c r="L243" s="33">
        <v>5.6026851269142017E-2</v>
      </c>
      <c r="M243" t="s">
        <v>22</v>
      </c>
    </row>
    <row r="244" spans="1:13" x14ac:dyDescent="0.3">
      <c r="A244" t="s">
        <v>75</v>
      </c>
      <c r="B244" t="s">
        <v>34</v>
      </c>
      <c r="C244" s="73">
        <v>45918</v>
      </c>
      <c r="D244" t="s">
        <v>30</v>
      </c>
      <c r="E244" t="s">
        <v>350</v>
      </c>
      <c r="F244" s="18">
        <v>4048</v>
      </c>
      <c r="G244" s="18">
        <v>677</v>
      </c>
      <c r="H244" s="18">
        <v>911</v>
      </c>
      <c r="I244" s="18">
        <v>2429</v>
      </c>
      <c r="J244" s="18">
        <v>27361</v>
      </c>
      <c r="K244" s="18">
        <v>101272</v>
      </c>
      <c r="L244" s="33">
        <v>5.5652105221581483E-2</v>
      </c>
      <c r="M244" t="s">
        <v>18</v>
      </c>
    </row>
    <row r="245" spans="1:13" x14ac:dyDescent="0.3">
      <c r="A245" t="s">
        <v>45</v>
      </c>
      <c r="B245" t="s">
        <v>13</v>
      </c>
      <c r="C245" s="73">
        <v>45544</v>
      </c>
      <c r="D245" t="s">
        <v>24</v>
      </c>
      <c r="E245" t="s">
        <v>345</v>
      </c>
      <c r="F245" s="18">
        <v>6158</v>
      </c>
      <c r="G245" s="18">
        <v>277</v>
      </c>
      <c r="H245" s="18">
        <v>512</v>
      </c>
      <c r="I245" s="18">
        <v>2189</v>
      </c>
      <c r="J245" s="18">
        <v>76881</v>
      </c>
      <c r="K245" s="18">
        <v>124878</v>
      </c>
      <c r="L245" s="33">
        <v>5.563029516808405E-2</v>
      </c>
      <c r="M245" t="s">
        <v>25</v>
      </c>
    </row>
    <row r="246" spans="1:13" x14ac:dyDescent="0.3">
      <c r="A246" t="s">
        <v>128</v>
      </c>
      <c r="B246" t="s">
        <v>34</v>
      </c>
      <c r="C246" s="73">
        <v>45926</v>
      </c>
      <c r="D246" t="s">
        <v>30</v>
      </c>
      <c r="E246" t="s">
        <v>28</v>
      </c>
      <c r="F246" s="18">
        <v>9043</v>
      </c>
      <c r="G246" s="18">
        <v>1192</v>
      </c>
      <c r="H246" s="18">
        <v>810</v>
      </c>
      <c r="I246" s="18">
        <v>1550</v>
      </c>
      <c r="J246" s="18">
        <v>5221</v>
      </c>
      <c r="K246" s="18">
        <v>199476</v>
      </c>
      <c r="L246" s="33">
        <v>5.5370069582305642E-2</v>
      </c>
      <c r="M246" t="s">
        <v>18</v>
      </c>
    </row>
    <row r="247" spans="1:13" x14ac:dyDescent="0.3">
      <c r="A247" t="s">
        <v>95</v>
      </c>
      <c r="B247" t="s">
        <v>17</v>
      </c>
      <c r="C247" s="73">
        <v>45724</v>
      </c>
      <c r="D247" t="s">
        <v>21</v>
      </c>
      <c r="E247" t="s">
        <v>348</v>
      </c>
      <c r="F247" s="18">
        <v>10580</v>
      </c>
      <c r="G247" s="18">
        <v>427</v>
      </c>
      <c r="H247" s="18">
        <v>790</v>
      </c>
      <c r="I247" s="18">
        <v>2814</v>
      </c>
      <c r="J247" s="18">
        <v>24916</v>
      </c>
      <c r="K247" s="18">
        <v>213312</v>
      </c>
      <c r="L247" s="33">
        <v>5.530396789678968E-2</v>
      </c>
      <c r="M247" t="s">
        <v>38</v>
      </c>
    </row>
    <row r="248" spans="1:13" x14ac:dyDescent="0.3">
      <c r="A248" t="s">
        <v>146</v>
      </c>
      <c r="B248" t="s">
        <v>20</v>
      </c>
      <c r="C248" s="73">
        <v>45586</v>
      </c>
      <c r="D248" t="s">
        <v>24</v>
      </c>
      <c r="E248" t="s">
        <v>346</v>
      </c>
      <c r="F248" s="18">
        <v>8254</v>
      </c>
      <c r="G248" s="18">
        <v>1405</v>
      </c>
      <c r="H248" s="18">
        <v>165</v>
      </c>
      <c r="I248" s="18">
        <v>2504</v>
      </c>
      <c r="J248" s="18">
        <v>8081</v>
      </c>
      <c r="K248" s="18">
        <v>177710</v>
      </c>
      <c r="L248" s="33">
        <v>5.5281075910190762E-2</v>
      </c>
      <c r="M248" t="s">
        <v>15</v>
      </c>
    </row>
    <row r="249" spans="1:13" x14ac:dyDescent="0.3">
      <c r="A249" t="s">
        <v>319</v>
      </c>
      <c r="B249" t="s">
        <v>20</v>
      </c>
      <c r="C249" s="73">
        <v>45791</v>
      </c>
      <c r="D249" t="s">
        <v>14</v>
      </c>
      <c r="E249" t="s">
        <v>350</v>
      </c>
      <c r="F249" s="18">
        <v>9041</v>
      </c>
      <c r="G249" s="18">
        <v>1133</v>
      </c>
      <c r="H249" s="18">
        <v>612</v>
      </c>
      <c r="I249" s="18">
        <v>1687</v>
      </c>
      <c r="J249" s="18">
        <v>28102</v>
      </c>
      <c r="K249" s="18">
        <v>195683</v>
      </c>
      <c r="L249" s="33">
        <v>5.5119760020032396E-2</v>
      </c>
      <c r="M249" t="s">
        <v>25</v>
      </c>
    </row>
    <row r="250" spans="1:13" x14ac:dyDescent="0.3">
      <c r="A250" t="s">
        <v>139</v>
      </c>
      <c r="B250" t="s">
        <v>17</v>
      </c>
      <c r="C250" s="73">
        <v>45929</v>
      </c>
      <c r="D250" t="s">
        <v>24</v>
      </c>
      <c r="E250" t="s">
        <v>351</v>
      </c>
      <c r="F250" s="18">
        <v>7569</v>
      </c>
      <c r="G250" s="18">
        <v>803</v>
      </c>
      <c r="H250" s="18">
        <v>804</v>
      </c>
      <c r="I250" s="18">
        <v>1753</v>
      </c>
      <c r="J250" s="18">
        <v>43582</v>
      </c>
      <c r="K250" s="18">
        <v>166945</v>
      </c>
      <c r="L250" s="33">
        <v>5.4964209769684629E-2</v>
      </c>
      <c r="M250" t="s">
        <v>18</v>
      </c>
    </row>
    <row r="251" spans="1:13" x14ac:dyDescent="0.3">
      <c r="A251" t="s">
        <v>223</v>
      </c>
      <c r="B251" t="s">
        <v>34</v>
      </c>
      <c r="C251" s="73">
        <v>45587</v>
      </c>
      <c r="D251" t="s">
        <v>21</v>
      </c>
      <c r="E251" t="s">
        <v>345</v>
      </c>
      <c r="F251" s="18">
        <v>7750</v>
      </c>
      <c r="G251" s="18">
        <v>1146</v>
      </c>
      <c r="H251" s="18">
        <v>415</v>
      </c>
      <c r="I251" s="18">
        <v>1411</v>
      </c>
      <c r="J251" s="18">
        <v>85339</v>
      </c>
      <c r="K251" s="18">
        <v>172439</v>
      </c>
      <c r="L251" s="33">
        <v>5.3995905798572247E-2</v>
      </c>
      <c r="M251" t="s">
        <v>22</v>
      </c>
    </row>
    <row r="252" spans="1:13" x14ac:dyDescent="0.3">
      <c r="A252" t="s">
        <v>120</v>
      </c>
      <c r="B252" t="s">
        <v>34</v>
      </c>
      <c r="C252" s="73">
        <v>45603</v>
      </c>
      <c r="D252" t="s">
        <v>30</v>
      </c>
      <c r="E252" t="s">
        <v>349</v>
      </c>
      <c r="F252" s="18">
        <v>11550</v>
      </c>
      <c r="G252" s="18">
        <v>501</v>
      </c>
      <c r="H252" s="18">
        <v>646</v>
      </c>
      <c r="I252" s="18">
        <v>773</v>
      </c>
      <c r="J252" s="18">
        <v>17841</v>
      </c>
      <c r="K252" s="18">
        <v>237576</v>
      </c>
      <c r="L252" s="33">
        <v>5.3443950567397383E-2</v>
      </c>
      <c r="M252" t="s">
        <v>25</v>
      </c>
    </row>
    <row r="253" spans="1:13" x14ac:dyDescent="0.3">
      <c r="A253" t="s">
        <v>56</v>
      </c>
      <c r="B253" t="s">
        <v>17</v>
      </c>
      <c r="C253" s="73">
        <v>45713</v>
      </c>
      <c r="D253" t="s">
        <v>30</v>
      </c>
      <c r="E253" t="s">
        <v>351</v>
      </c>
      <c r="F253" s="18">
        <v>10702</v>
      </c>
      <c r="G253" s="18">
        <v>621</v>
      </c>
      <c r="H253" s="18">
        <v>445</v>
      </c>
      <c r="I253" s="18">
        <v>2918</v>
      </c>
      <c r="J253" s="18">
        <v>54808</v>
      </c>
      <c r="K253" s="18">
        <v>220225</v>
      </c>
      <c r="L253" s="33">
        <v>5.3436258372119426E-2</v>
      </c>
      <c r="M253" t="s">
        <v>15</v>
      </c>
    </row>
    <row r="254" spans="1:13" x14ac:dyDescent="0.3">
      <c r="A254" t="s">
        <v>36</v>
      </c>
      <c r="B254" t="s">
        <v>13</v>
      </c>
      <c r="C254" s="73">
        <v>45494</v>
      </c>
      <c r="D254" t="s">
        <v>21</v>
      </c>
      <c r="E254" t="s">
        <v>344</v>
      </c>
      <c r="F254" s="18">
        <v>2009</v>
      </c>
      <c r="G254" s="18">
        <v>1072</v>
      </c>
      <c r="H254" s="18">
        <v>550</v>
      </c>
      <c r="I254" s="18">
        <v>1437</v>
      </c>
      <c r="J254" s="18">
        <v>22982</v>
      </c>
      <c r="K254" s="18">
        <v>69426</v>
      </c>
      <c r="L254" s="33">
        <v>5.2300290957278256E-2</v>
      </c>
      <c r="M254" t="s">
        <v>25</v>
      </c>
    </row>
    <row r="255" spans="1:13" x14ac:dyDescent="0.3">
      <c r="A255" t="s">
        <v>295</v>
      </c>
      <c r="B255" t="s">
        <v>13</v>
      </c>
      <c r="C255" s="73">
        <v>45601</v>
      </c>
      <c r="D255" t="s">
        <v>21</v>
      </c>
      <c r="E255" t="s">
        <v>55</v>
      </c>
      <c r="F255" s="18">
        <v>8469</v>
      </c>
      <c r="G255" s="18">
        <v>935</v>
      </c>
      <c r="H255" s="18">
        <v>211</v>
      </c>
      <c r="I255" s="18">
        <v>2635</v>
      </c>
      <c r="J255" s="18">
        <v>21890</v>
      </c>
      <c r="K255" s="18">
        <v>184539</v>
      </c>
      <c r="L255" s="33">
        <v>5.2102807536618279E-2</v>
      </c>
      <c r="M255" t="s">
        <v>38</v>
      </c>
    </row>
    <row r="256" spans="1:13" x14ac:dyDescent="0.3">
      <c r="A256" t="s">
        <v>32</v>
      </c>
      <c r="B256" t="s">
        <v>13</v>
      </c>
      <c r="C256" s="73">
        <v>45534</v>
      </c>
      <c r="D256" t="s">
        <v>30</v>
      </c>
      <c r="E256" t="s">
        <v>344</v>
      </c>
      <c r="F256" s="18">
        <v>6804</v>
      </c>
      <c r="G256" s="18">
        <v>787</v>
      </c>
      <c r="H256" s="18">
        <v>970</v>
      </c>
      <c r="I256" s="18">
        <v>1095</v>
      </c>
      <c r="J256" s="18">
        <v>56343</v>
      </c>
      <c r="K256" s="18">
        <v>164677</v>
      </c>
      <c r="L256" s="33">
        <v>5.1986616224487935E-2</v>
      </c>
      <c r="M256" t="s">
        <v>15</v>
      </c>
    </row>
    <row r="257" spans="1:13" x14ac:dyDescent="0.3">
      <c r="A257" t="s">
        <v>57</v>
      </c>
      <c r="B257" t="s">
        <v>20</v>
      </c>
      <c r="C257" s="73">
        <v>45642</v>
      </c>
      <c r="D257" t="s">
        <v>14</v>
      </c>
      <c r="E257" t="s">
        <v>346</v>
      </c>
      <c r="F257" s="18">
        <v>2384</v>
      </c>
      <c r="G257" s="18">
        <v>1246</v>
      </c>
      <c r="H257" s="18">
        <v>160</v>
      </c>
      <c r="I257" s="18">
        <v>2004</v>
      </c>
      <c r="J257" s="18">
        <v>2701</v>
      </c>
      <c r="K257" s="18">
        <v>73142</v>
      </c>
      <c r="L257" s="33">
        <v>5.1817013480626728E-2</v>
      </c>
      <c r="M257" t="s">
        <v>15</v>
      </c>
    </row>
    <row r="258" spans="1:13" x14ac:dyDescent="0.3">
      <c r="A258" t="s">
        <v>47</v>
      </c>
      <c r="B258" t="s">
        <v>20</v>
      </c>
      <c r="C258" s="73">
        <v>45715</v>
      </c>
      <c r="D258" t="s">
        <v>14</v>
      </c>
      <c r="E258" t="s">
        <v>347</v>
      </c>
      <c r="F258" s="18">
        <v>8970</v>
      </c>
      <c r="G258" s="18">
        <v>331</v>
      </c>
      <c r="H258" s="18">
        <v>968</v>
      </c>
      <c r="I258" s="18">
        <v>2296</v>
      </c>
      <c r="J258" s="18">
        <v>24613</v>
      </c>
      <c r="K258" s="18">
        <v>198562</v>
      </c>
      <c r="L258" s="33">
        <v>5.1716844109144754E-2</v>
      </c>
      <c r="M258" t="s">
        <v>25</v>
      </c>
    </row>
    <row r="259" spans="1:13" x14ac:dyDescent="0.3">
      <c r="A259" t="s">
        <v>226</v>
      </c>
      <c r="B259" t="s">
        <v>13</v>
      </c>
      <c r="C259" s="73">
        <v>45754</v>
      </c>
      <c r="D259" t="s">
        <v>30</v>
      </c>
      <c r="E259" t="s">
        <v>351</v>
      </c>
      <c r="F259" s="18">
        <v>3062</v>
      </c>
      <c r="G259" s="18">
        <v>1124</v>
      </c>
      <c r="H259" s="18">
        <v>538</v>
      </c>
      <c r="I259" s="18">
        <v>2935</v>
      </c>
      <c r="J259" s="18">
        <v>69749</v>
      </c>
      <c r="K259" s="18">
        <v>91924</v>
      </c>
      <c r="L259" s="33">
        <v>5.1390278926069365E-2</v>
      </c>
      <c r="M259" t="s">
        <v>25</v>
      </c>
    </row>
    <row r="260" spans="1:13" x14ac:dyDescent="0.3">
      <c r="A260" t="s">
        <v>287</v>
      </c>
      <c r="B260" t="s">
        <v>20</v>
      </c>
      <c r="C260" s="73">
        <v>45592</v>
      </c>
      <c r="D260" t="s">
        <v>30</v>
      </c>
      <c r="E260" t="s">
        <v>343</v>
      </c>
      <c r="F260" s="18">
        <v>7560</v>
      </c>
      <c r="G260" s="18">
        <v>1139</v>
      </c>
      <c r="H260" s="18">
        <v>248</v>
      </c>
      <c r="I260" s="18">
        <v>1624</v>
      </c>
      <c r="J260" s="18">
        <v>72237</v>
      </c>
      <c r="K260" s="18">
        <v>177084</v>
      </c>
      <c r="L260" s="33">
        <v>5.0524045085947912E-2</v>
      </c>
      <c r="M260" t="s">
        <v>22</v>
      </c>
    </row>
    <row r="261" spans="1:13" x14ac:dyDescent="0.3">
      <c r="A261" t="s">
        <v>245</v>
      </c>
      <c r="B261" t="s">
        <v>17</v>
      </c>
      <c r="C261" s="73">
        <v>45685</v>
      </c>
      <c r="D261" t="s">
        <v>30</v>
      </c>
      <c r="E261" t="s">
        <v>347</v>
      </c>
      <c r="F261" s="18">
        <v>9943</v>
      </c>
      <c r="G261" s="18">
        <v>1274</v>
      </c>
      <c r="H261" s="18">
        <v>336</v>
      </c>
      <c r="I261" s="18">
        <v>389</v>
      </c>
      <c r="J261" s="18">
        <v>6145</v>
      </c>
      <c r="K261" s="18">
        <v>231305</v>
      </c>
      <c r="L261" s="33">
        <v>4.9947039623008581E-2</v>
      </c>
      <c r="M261" t="s">
        <v>15</v>
      </c>
    </row>
    <row r="262" spans="1:13" x14ac:dyDescent="0.3">
      <c r="A262" t="s">
        <v>197</v>
      </c>
      <c r="B262" t="s">
        <v>17</v>
      </c>
      <c r="C262" s="73">
        <v>45657</v>
      </c>
      <c r="D262" t="s">
        <v>14</v>
      </c>
      <c r="E262" t="s">
        <v>343</v>
      </c>
      <c r="F262" s="18">
        <v>10717</v>
      </c>
      <c r="G262" s="18">
        <v>760</v>
      </c>
      <c r="H262" s="18">
        <v>460</v>
      </c>
      <c r="I262" s="18">
        <v>1316</v>
      </c>
      <c r="J262" s="18">
        <v>18164</v>
      </c>
      <c r="K262" s="18">
        <v>240641</v>
      </c>
      <c r="L262" s="33">
        <v>4.9605013277039242E-2</v>
      </c>
      <c r="M262" t="s">
        <v>38</v>
      </c>
    </row>
    <row r="263" spans="1:13" x14ac:dyDescent="0.3">
      <c r="A263" t="s">
        <v>91</v>
      </c>
      <c r="B263" t="s">
        <v>13</v>
      </c>
      <c r="C263" s="73">
        <v>45744</v>
      </c>
      <c r="D263" t="s">
        <v>21</v>
      </c>
      <c r="E263" t="s">
        <v>343</v>
      </c>
      <c r="F263" s="18">
        <v>6363</v>
      </c>
      <c r="G263" s="18">
        <v>1341</v>
      </c>
      <c r="H263" s="18">
        <v>222</v>
      </c>
      <c r="I263" s="18">
        <v>2712</v>
      </c>
      <c r="J263" s="18">
        <v>19987</v>
      </c>
      <c r="K263" s="18">
        <v>160585</v>
      </c>
      <c r="L263" s="33">
        <v>4.9357038328611019E-2</v>
      </c>
      <c r="M263" t="s">
        <v>22</v>
      </c>
    </row>
    <row r="264" spans="1:13" x14ac:dyDescent="0.3">
      <c r="A264" t="s">
        <v>156</v>
      </c>
      <c r="B264" t="s">
        <v>17</v>
      </c>
      <c r="C264" s="73">
        <v>45564</v>
      </c>
      <c r="D264" t="s">
        <v>30</v>
      </c>
      <c r="E264" t="s">
        <v>344</v>
      </c>
      <c r="F264" s="18">
        <v>10472</v>
      </c>
      <c r="G264" s="18">
        <v>401</v>
      </c>
      <c r="H264" s="18">
        <v>668</v>
      </c>
      <c r="I264" s="18">
        <v>383</v>
      </c>
      <c r="J264" s="18">
        <v>37571</v>
      </c>
      <c r="K264" s="18">
        <v>249203</v>
      </c>
      <c r="L264" s="33">
        <v>4.6311641513143903E-2</v>
      </c>
      <c r="M264" t="s">
        <v>22</v>
      </c>
    </row>
    <row r="265" spans="1:13" x14ac:dyDescent="0.3">
      <c r="A265" t="s">
        <v>41</v>
      </c>
      <c r="B265" t="s">
        <v>20</v>
      </c>
      <c r="C265" s="73">
        <v>45530</v>
      </c>
      <c r="D265" t="s">
        <v>30</v>
      </c>
      <c r="E265" t="s">
        <v>348</v>
      </c>
      <c r="F265" s="18">
        <v>4193</v>
      </c>
      <c r="G265" s="18">
        <v>924</v>
      </c>
      <c r="H265" s="18">
        <v>707</v>
      </c>
      <c r="I265" s="18">
        <v>2696</v>
      </c>
      <c r="J265" s="18">
        <v>55075</v>
      </c>
      <c r="K265" s="18">
        <v>126652</v>
      </c>
      <c r="L265" s="33">
        <v>4.5984271863057827E-2</v>
      </c>
      <c r="M265" t="s">
        <v>25</v>
      </c>
    </row>
    <row r="266" spans="1:13" x14ac:dyDescent="0.3">
      <c r="A266" t="s">
        <v>84</v>
      </c>
      <c r="B266" t="s">
        <v>20</v>
      </c>
      <c r="C266" s="73">
        <v>45762</v>
      </c>
      <c r="D266" t="s">
        <v>30</v>
      </c>
      <c r="E266" t="s">
        <v>345</v>
      </c>
      <c r="F266" s="18">
        <v>5419</v>
      </c>
      <c r="G266" s="18">
        <v>1150</v>
      </c>
      <c r="H266" s="18">
        <v>656</v>
      </c>
      <c r="I266" s="18">
        <v>1990</v>
      </c>
      <c r="J266" s="18">
        <v>410</v>
      </c>
      <c r="K266" s="18">
        <v>158154</v>
      </c>
      <c r="L266" s="33">
        <v>4.5683321319726342E-2</v>
      </c>
      <c r="M266" t="s">
        <v>22</v>
      </c>
    </row>
    <row r="267" spans="1:13" x14ac:dyDescent="0.3">
      <c r="A267" t="s">
        <v>171</v>
      </c>
      <c r="B267" t="s">
        <v>17</v>
      </c>
      <c r="C267" s="73">
        <v>45516</v>
      </c>
      <c r="D267" t="s">
        <v>30</v>
      </c>
      <c r="E267" t="s">
        <v>344</v>
      </c>
      <c r="F267" s="18">
        <v>8376</v>
      </c>
      <c r="G267" s="18">
        <v>1154</v>
      </c>
      <c r="H267" s="18">
        <v>422</v>
      </c>
      <c r="I267" s="18">
        <v>1907</v>
      </c>
      <c r="J267" s="18">
        <v>36874</v>
      </c>
      <c r="K267" s="18">
        <v>218486</v>
      </c>
      <c r="L267" s="33">
        <v>4.5549829279679245E-2</v>
      </c>
      <c r="M267" t="s">
        <v>22</v>
      </c>
    </row>
    <row r="268" spans="1:13" x14ac:dyDescent="0.3">
      <c r="A268" t="s">
        <v>309</v>
      </c>
      <c r="B268" t="s">
        <v>34</v>
      </c>
      <c r="C268" s="73">
        <v>45786</v>
      </c>
      <c r="D268" t="s">
        <v>30</v>
      </c>
      <c r="E268" t="s">
        <v>348</v>
      </c>
      <c r="F268" s="18">
        <v>8988</v>
      </c>
      <c r="G268" s="18">
        <v>228</v>
      </c>
      <c r="H268" s="18">
        <v>766</v>
      </c>
      <c r="I268" s="18">
        <v>652</v>
      </c>
      <c r="J268" s="18">
        <v>63789</v>
      </c>
      <c r="K268" s="18">
        <v>219785</v>
      </c>
      <c r="L268" s="33">
        <v>4.541711217781013E-2</v>
      </c>
      <c r="M268" t="s">
        <v>22</v>
      </c>
    </row>
    <row r="269" spans="1:13" x14ac:dyDescent="0.3">
      <c r="A269" t="s">
        <v>324</v>
      </c>
      <c r="B269" t="s">
        <v>13</v>
      </c>
      <c r="C269" s="73">
        <v>45924</v>
      </c>
      <c r="D269" t="s">
        <v>21</v>
      </c>
      <c r="E269" t="s">
        <v>349</v>
      </c>
      <c r="F269" s="18">
        <v>3342</v>
      </c>
      <c r="G269" s="18">
        <v>787</v>
      </c>
      <c r="H269" s="18">
        <v>375</v>
      </c>
      <c r="I269" s="18">
        <v>907</v>
      </c>
      <c r="J269" s="18">
        <v>85823</v>
      </c>
      <c r="K269" s="18">
        <v>99189</v>
      </c>
      <c r="L269" s="33">
        <v>4.5408260996683103E-2</v>
      </c>
      <c r="M269" t="s">
        <v>18</v>
      </c>
    </row>
    <row r="270" spans="1:13" x14ac:dyDescent="0.3">
      <c r="A270" t="s">
        <v>116</v>
      </c>
      <c r="B270" t="s">
        <v>34</v>
      </c>
      <c r="C270" s="73">
        <v>45446</v>
      </c>
      <c r="D270" t="s">
        <v>14</v>
      </c>
      <c r="E270" t="s">
        <v>350</v>
      </c>
      <c r="F270" s="18">
        <v>8941</v>
      </c>
      <c r="G270" s="18">
        <v>911</v>
      </c>
      <c r="H270" s="18">
        <v>166</v>
      </c>
      <c r="I270" s="18">
        <v>1217</v>
      </c>
      <c r="J270" s="18">
        <v>68817</v>
      </c>
      <c r="K270" s="18">
        <v>221180</v>
      </c>
      <c r="L270" s="33">
        <v>4.5293426168731353E-2</v>
      </c>
      <c r="M270" t="s">
        <v>38</v>
      </c>
    </row>
    <row r="271" spans="1:13" x14ac:dyDescent="0.3">
      <c r="A271" t="s">
        <v>160</v>
      </c>
      <c r="B271" t="s">
        <v>20</v>
      </c>
      <c r="C271" s="73">
        <v>45931</v>
      </c>
      <c r="D271" t="s">
        <v>30</v>
      </c>
      <c r="E271" t="s">
        <v>28</v>
      </c>
      <c r="F271" s="18">
        <v>6188</v>
      </c>
      <c r="G271" s="18">
        <v>774</v>
      </c>
      <c r="H271" s="18">
        <v>647</v>
      </c>
      <c r="I271" s="18">
        <v>1830</v>
      </c>
      <c r="J271" s="18">
        <v>55436</v>
      </c>
      <c r="K271" s="18">
        <v>175542</v>
      </c>
      <c r="L271" s="33">
        <v>4.3345752013763089E-2</v>
      </c>
      <c r="M271" t="s">
        <v>18</v>
      </c>
    </row>
    <row r="272" spans="1:13" x14ac:dyDescent="0.3">
      <c r="A272" t="s">
        <v>64</v>
      </c>
      <c r="B272" t="s">
        <v>20</v>
      </c>
      <c r="C272" s="73">
        <v>45705</v>
      </c>
      <c r="D272" t="s">
        <v>21</v>
      </c>
      <c r="E272" t="s">
        <v>344</v>
      </c>
      <c r="F272" s="18">
        <v>7989</v>
      </c>
      <c r="G272" s="18">
        <v>1206</v>
      </c>
      <c r="H272" s="18">
        <v>376</v>
      </c>
      <c r="I272" s="18">
        <v>2769</v>
      </c>
      <c r="J272" s="18">
        <v>27550</v>
      </c>
      <c r="K272" s="18">
        <v>221749</v>
      </c>
      <c r="L272" s="33">
        <v>4.3161412227338117E-2</v>
      </c>
      <c r="M272" t="s">
        <v>22</v>
      </c>
    </row>
    <row r="273" spans="1:13" x14ac:dyDescent="0.3">
      <c r="A273" t="s">
        <v>96</v>
      </c>
      <c r="B273" t="s">
        <v>34</v>
      </c>
      <c r="C273" s="73">
        <v>45749</v>
      </c>
      <c r="D273" t="s">
        <v>21</v>
      </c>
      <c r="E273" t="s">
        <v>349</v>
      </c>
      <c r="F273" s="18">
        <v>6858</v>
      </c>
      <c r="G273" s="18">
        <v>415</v>
      </c>
      <c r="H273" s="18">
        <v>366</v>
      </c>
      <c r="I273" s="18">
        <v>2761</v>
      </c>
      <c r="J273" s="18">
        <v>2988</v>
      </c>
      <c r="K273" s="18">
        <v>177348</v>
      </c>
      <c r="L273" s="33">
        <v>4.3073505198818141E-2</v>
      </c>
      <c r="M273" t="s">
        <v>15</v>
      </c>
    </row>
    <row r="274" spans="1:13" x14ac:dyDescent="0.3">
      <c r="A274" t="s">
        <v>168</v>
      </c>
      <c r="B274" t="s">
        <v>20</v>
      </c>
      <c r="C274" s="73">
        <v>45741</v>
      </c>
      <c r="D274" t="s">
        <v>30</v>
      </c>
      <c r="E274" t="s">
        <v>345</v>
      </c>
      <c r="F274" s="18">
        <v>5900</v>
      </c>
      <c r="G274" s="18">
        <v>546</v>
      </c>
      <c r="H274" s="18">
        <v>592</v>
      </c>
      <c r="I274" s="18">
        <v>1594</v>
      </c>
      <c r="J274" s="18">
        <v>38627</v>
      </c>
      <c r="K274" s="18">
        <v>164398</v>
      </c>
      <c r="L274" s="33">
        <v>4.2810739790021778E-2</v>
      </c>
      <c r="M274" t="s">
        <v>38</v>
      </c>
    </row>
    <row r="275" spans="1:13" x14ac:dyDescent="0.3">
      <c r="A275" t="s">
        <v>233</v>
      </c>
      <c r="B275" t="s">
        <v>17</v>
      </c>
      <c r="C275" s="73">
        <v>45655</v>
      </c>
      <c r="D275" t="s">
        <v>30</v>
      </c>
      <c r="E275" t="s">
        <v>55</v>
      </c>
      <c r="F275" s="18">
        <v>8288</v>
      </c>
      <c r="G275" s="18">
        <v>1401</v>
      </c>
      <c r="H275" s="18">
        <v>819</v>
      </c>
      <c r="I275" s="18">
        <v>1235</v>
      </c>
      <c r="J275" s="18">
        <v>33446</v>
      </c>
      <c r="K275" s="18">
        <v>248786</v>
      </c>
      <c r="L275" s="33">
        <v>4.2237103373984064E-2</v>
      </c>
      <c r="M275" t="s">
        <v>15</v>
      </c>
    </row>
    <row r="276" spans="1:13" x14ac:dyDescent="0.3">
      <c r="A276" t="s">
        <v>300</v>
      </c>
      <c r="B276" t="s">
        <v>17</v>
      </c>
      <c r="C276" s="73">
        <v>45658</v>
      </c>
      <c r="D276" t="s">
        <v>24</v>
      </c>
      <c r="E276" t="s">
        <v>347</v>
      </c>
      <c r="F276" s="18">
        <v>8283</v>
      </c>
      <c r="G276" s="18">
        <v>720</v>
      </c>
      <c r="H276" s="18">
        <v>888</v>
      </c>
      <c r="I276" s="18">
        <v>611</v>
      </c>
      <c r="J276" s="18">
        <v>52791</v>
      </c>
      <c r="K276" s="18">
        <v>235229</v>
      </c>
      <c r="L276" s="33">
        <v>4.2048386891072105E-2</v>
      </c>
      <c r="M276" t="s">
        <v>15</v>
      </c>
    </row>
    <row r="277" spans="1:13" x14ac:dyDescent="0.3">
      <c r="A277" t="s">
        <v>232</v>
      </c>
      <c r="B277" t="s">
        <v>20</v>
      </c>
      <c r="C277" s="73">
        <v>45467</v>
      </c>
      <c r="D277" t="s">
        <v>14</v>
      </c>
      <c r="E277" t="s">
        <v>350</v>
      </c>
      <c r="F277" s="18">
        <v>6632</v>
      </c>
      <c r="G277" s="18">
        <v>254</v>
      </c>
      <c r="H277" s="18">
        <v>525</v>
      </c>
      <c r="I277" s="18">
        <v>1013</v>
      </c>
      <c r="J277" s="18">
        <v>13838</v>
      </c>
      <c r="K277" s="18">
        <v>180180</v>
      </c>
      <c r="L277" s="33">
        <v>4.1131091131091133E-2</v>
      </c>
      <c r="M277" t="s">
        <v>15</v>
      </c>
    </row>
    <row r="278" spans="1:13" x14ac:dyDescent="0.3">
      <c r="A278" t="s">
        <v>282</v>
      </c>
      <c r="B278" t="s">
        <v>13</v>
      </c>
      <c r="C278" s="73">
        <v>45917</v>
      </c>
      <c r="D278" t="s">
        <v>30</v>
      </c>
      <c r="E278" t="s">
        <v>347</v>
      </c>
      <c r="F278" s="18">
        <v>2117</v>
      </c>
      <c r="G278" s="18">
        <v>1133</v>
      </c>
      <c r="H278" s="18">
        <v>203</v>
      </c>
      <c r="I278" s="18">
        <v>1173</v>
      </c>
      <c r="J278" s="18">
        <v>40125</v>
      </c>
      <c r="K278" s="18">
        <v>85379</v>
      </c>
      <c r="L278" s="33">
        <v>4.0443200318579509E-2</v>
      </c>
      <c r="M278" t="s">
        <v>18</v>
      </c>
    </row>
    <row r="279" spans="1:13" x14ac:dyDescent="0.3">
      <c r="A279" t="s">
        <v>208</v>
      </c>
      <c r="B279" t="s">
        <v>13</v>
      </c>
      <c r="C279" s="73">
        <v>45504</v>
      </c>
      <c r="D279" t="s">
        <v>24</v>
      </c>
      <c r="E279" t="s">
        <v>345</v>
      </c>
      <c r="F279" s="18">
        <v>7122</v>
      </c>
      <c r="G279" s="18">
        <v>628</v>
      </c>
      <c r="H279" s="18">
        <v>757</v>
      </c>
      <c r="I279" s="18">
        <v>2313</v>
      </c>
      <c r="J279" s="18">
        <v>50924</v>
      </c>
      <c r="K279" s="18">
        <v>210954</v>
      </c>
      <c r="L279" s="33">
        <v>4.0326327066564277E-2</v>
      </c>
      <c r="M279" t="s">
        <v>38</v>
      </c>
    </row>
    <row r="280" spans="1:13" x14ac:dyDescent="0.3">
      <c r="A280" t="s">
        <v>105</v>
      </c>
      <c r="B280" t="s">
        <v>13</v>
      </c>
      <c r="C280" s="73">
        <v>45922</v>
      </c>
      <c r="D280" t="s">
        <v>24</v>
      </c>
      <c r="E280" t="s">
        <v>352</v>
      </c>
      <c r="F280" s="18">
        <v>8996</v>
      </c>
      <c r="G280" s="18">
        <v>329</v>
      </c>
      <c r="H280" s="18">
        <v>378</v>
      </c>
      <c r="I280" s="18">
        <v>2384</v>
      </c>
      <c r="J280" s="18">
        <v>39404</v>
      </c>
      <c r="K280" s="18">
        <v>242724</v>
      </c>
      <c r="L280" s="33">
        <v>3.9975445361810122E-2</v>
      </c>
      <c r="M280" t="s">
        <v>18</v>
      </c>
    </row>
    <row r="281" spans="1:13" x14ac:dyDescent="0.3">
      <c r="A281" t="s">
        <v>39</v>
      </c>
      <c r="B281" t="s">
        <v>13</v>
      </c>
      <c r="C281" s="73">
        <v>45906</v>
      </c>
      <c r="D281" t="s">
        <v>21</v>
      </c>
      <c r="E281" t="s">
        <v>348</v>
      </c>
      <c r="F281" s="18">
        <v>7124</v>
      </c>
      <c r="G281" s="18">
        <v>469</v>
      </c>
      <c r="H281" s="18">
        <v>851</v>
      </c>
      <c r="I281" s="18">
        <v>2571</v>
      </c>
      <c r="J281" s="18">
        <v>33802</v>
      </c>
      <c r="K281" s="18">
        <v>216313</v>
      </c>
      <c r="L281" s="33">
        <v>3.9036026498638549E-2</v>
      </c>
      <c r="M281" t="s">
        <v>18</v>
      </c>
    </row>
    <row r="282" spans="1:13" x14ac:dyDescent="0.3">
      <c r="A282" t="s">
        <v>301</v>
      </c>
      <c r="B282" t="s">
        <v>20</v>
      </c>
      <c r="C282" s="73">
        <v>45509</v>
      </c>
      <c r="D282" t="s">
        <v>21</v>
      </c>
      <c r="E282" t="s">
        <v>348</v>
      </c>
      <c r="F282" s="18">
        <v>4048</v>
      </c>
      <c r="G282" s="18">
        <v>751</v>
      </c>
      <c r="H282" s="18">
        <v>930</v>
      </c>
      <c r="I282" s="18">
        <v>1382</v>
      </c>
      <c r="J282" s="18">
        <v>16844</v>
      </c>
      <c r="K282" s="18">
        <v>148177</v>
      </c>
      <c r="L282" s="33">
        <v>3.8663220337839206E-2</v>
      </c>
      <c r="M282" t="s">
        <v>25</v>
      </c>
    </row>
    <row r="283" spans="1:13" x14ac:dyDescent="0.3">
      <c r="A283" t="s">
        <v>167</v>
      </c>
      <c r="B283" t="s">
        <v>17</v>
      </c>
      <c r="C283" s="73">
        <v>45933</v>
      </c>
      <c r="D283" t="s">
        <v>14</v>
      </c>
      <c r="E283" t="s">
        <v>349</v>
      </c>
      <c r="F283" s="18">
        <v>6777</v>
      </c>
      <c r="G283" s="18">
        <v>617</v>
      </c>
      <c r="H283" s="18">
        <v>551</v>
      </c>
      <c r="I283" s="18">
        <v>2109</v>
      </c>
      <c r="J283" s="18">
        <v>18559</v>
      </c>
      <c r="K283" s="18">
        <v>208452</v>
      </c>
      <c r="L283" s="33">
        <v>3.8114290100358834E-2</v>
      </c>
      <c r="M283" t="s">
        <v>18</v>
      </c>
    </row>
    <row r="284" spans="1:13" x14ac:dyDescent="0.3">
      <c r="A284" t="s">
        <v>69</v>
      </c>
      <c r="B284" t="s">
        <v>34</v>
      </c>
      <c r="C284" s="73">
        <v>45916</v>
      </c>
      <c r="D284" t="s">
        <v>21</v>
      </c>
      <c r="E284" t="s">
        <v>55</v>
      </c>
      <c r="F284" s="18">
        <v>6809</v>
      </c>
      <c r="G284" s="18">
        <v>397</v>
      </c>
      <c r="H284" s="18">
        <v>813</v>
      </c>
      <c r="I284" s="18">
        <v>1125</v>
      </c>
      <c r="J284" s="18">
        <v>12206</v>
      </c>
      <c r="K284" s="18">
        <v>218136</v>
      </c>
      <c r="L284" s="33">
        <v>3.6761469908680823E-2</v>
      </c>
      <c r="M284" t="s">
        <v>18</v>
      </c>
    </row>
    <row r="285" spans="1:13" x14ac:dyDescent="0.3">
      <c r="A285" t="s">
        <v>307</v>
      </c>
      <c r="B285" t="s">
        <v>17</v>
      </c>
      <c r="C285" s="73">
        <v>45738</v>
      </c>
      <c r="D285" t="s">
        <v>24</v>
      </c>
      <c r="E285" t="s">
        <v>350</v>
      </c>
      <c r="F285" s="18">
        <v>3917</v>
      </c>
      <c r="G285" s="18">
        <v>865</v>
      </c>
      <c r="H285" s="18">
        <v>759</v>
      </c>
      <c r="I285" s="18">
        <v>2282</v>
      </c>
      <c r="J285" s="18">
        <v>56125</v>
      </c>
      <c r="K285" s="18">
        <v>154014</v>
      </c>
      <c r="L285" s="33">
        <v>3.5977248821535704E-2</v>
      </c>
      <c r="M285" t="s">
        <v>15</v>
      </c>
    </row>
    <row r="286" spans="1:13" x14ac:dyDescent="0.3">
      <c r="A286" t="s">
        <v>306</v>
      </c>
      <c r="B286" t="s">
        <v>34</v>
      </c>
      <c r="C286" s="73">
        <v>45918</v>
      </c>
      <c r="D286" t="s">
        <v>24</v>
      </c>
      <c r="E286" t="s">
        <v>347</v>
      </c>
      <c r="F286" s="18">
        <v>3828</v>
      </c>
      <c r="G286" s="18">
        <v>203</v>
      </c>
      <c r="H286" s="18">
        <v>506</v>
      </c>
      <c r="I286" s="18">
        <v>2440</v>
      </c>
      <c r="J286" s="18">
        <v>63650</v>
      </c>
      <c r="K286" s="18">
        <v>126365</v>
      </c>
      <c r="L286" s="33">
        <v>3.5903929094290347E-2</v>
      </c>
      <c r="M286" t="s">
        <v>18</v>
      </c>
    </row>
    <row r="287" spans="1:13" x14ac:dyDescent="0.3">
      <c r="A287" t="s">
        <v>204</v>
      </c>
      <c r="B287" t="s">
        <v>13</v>
      </c>
      <c r="C287" s="73">
        <v>45940</v>
      </c>
      <c r="D287" t="s">
        <v>30</v>
      </c>
      <c r="E287" t="s">
        <v>345</v>
      </c>
      <c r="F287" s="18">
        <v>6621</v>
      </c>
      <c r="G287" s="18">
        <v>922</v>
      </c>
      <c r="H287" s="18">
        <v>930</v>
      </c>
      <c r="I287" s="18">
        <v>694</v>
      </c>
      <c r="J287" s="18">
        <v>839</v>
      </c>
      <c r="K287" s="18">
        <v>243532</v>
      </c>
      <c r="L287" s="33">
        <v>3.479214230573395E-2</v>
      </c>
      <c r="M287" t="s">
        <v>18</v>
      </c>
    </row>
    <row r="288" spans="1:13" x14ac:dyDescent="0.3">
      <c r="A288" t="s">
        <v>207</v>
      </c>
      <c r="B288" t="s">
        <v>20</v>
      </c>
      <c r="C288" s="73">
        <v>45942</v>
      </c>
      <c r="D288" t="s">
        <v>30</v>
      </c>
      <c r="E288" t="s">
        <v>348</v>
      </c>
      <c r="F288" s="18">
        <v>7126</v>
      </c>
      <c r="G288" s="18">
        <v>484</v>
      </c>
      <c r="H288" s="18">
        <v>565</v>
      </c>
      <c r="I288" s="18">
        <v>573</v>
      </c>
      <c r="J288" s="18">
        <v>7389</v>
      </c>
      <c r="K288" s="18">
        <v>237096</v>
      </c>
      <c r="L288" s="33">
        <v>3.4479704423524646E-2</v>
      </c>
      <c r="M288" t="s">
        <v>18</v>
      </c>
    </row>
    <row r="289" spans="1:13" x14ac:dyDescent="0.3">
      <c r="A289" t="s">
        <v>136</v>
      </c>
      <c r="B289" t="s">
        <v>13</v>
      </c>
      <c r="C289" s="73">
        <v>45502</v>
      </c>
      <c r="D289" t="s">
        <v>24</v>
      </c>
      <c r="E289" t="s">
        <v>348</v>
      </c>
      <c r="F289" s="18">
        <v>6164</v>
      </c>
      <c r="G289" s="18">
        <v>326</v>
      </c>
      <c r="H289" s="18">
        <v>615</v>
      </c>
      <c r="I289" s="18">
        <v>2806</v>
      </c>
      <c r="J289" s="18">
        <v>38579</v>
      </c>
      <c r="K289" s="18">
        <v>206129</v>
      </c>
      <c r="L289" s="33">
        <v>3.4468706489625425E-2</v>
      </c>
      <c r="M289" t="s">
        <v>38</v>
      </c>
    </row>
    <row r="290" spans="1:13" x14ac:dyDescent="0.3">
      <c r="A290" t="s">
        <v>318</v>
      </c>
      <c r="B290" t="s">
        <v>13</v>
      </c>
      <c r="C290" s="73">
        <v>45613</v>
      </c>
      <c r="D290" t="s">
        <v>30</v>
      </c>
      <c r="E290" t="s">
        <v>347</v>
      </c>
      <c r="F290" s="18">
        <v>4219</v>
      </c>
      <c r="G290" s="18">
        <v>240</v>
      </c>
      <c r="H290" s="18">
        <v>670</v>
      </c>
      <c r="I290" s="18">
        <v>815</v>
      </c>
      <c r="J290" s="18">
        <v>11978</v>
      </c>
      <c r="K290" s="18">
        <v>159735</v>
      </c>
      <c r="L290" s="33">
        <v>3.2109431245500357E-2</v>
      </c>
      <c r="M290" t="s">
        <v>25</v>
      </c>
    </row>
    <row r="291" spans="1:13" x14ac:dyDescent="0.3">
      <c r="A291" t="s">
        <v>299</v>
      </c>
      <c r="B291" t="s">
        <v>17</v>
      </c>
      <c r="C291" s="73">
        <v>45577</v>
      </c>
      <c r="D291" t="s">
        <v>14</v>
      </c>
      <c r="E291" t="s">
        <v>352</v>
      </c>
      <c r="F291" s="18">
        <v>6208</v>
      </c>
      <c r="G291" s="18">
        <v>725</v>
      </c>
      <c r="H291" s="18">
        <v>309</v>
      </c>
      <c r="I291" s="18">
        <v>848</v>
      </c>
      <c r="J291" s="18">
        <v>39319</v>
      </c>
      <c r="K291" s="18">
        <v>225763</v>
      </c>
      <c r="L291" s="33">
        <v>3.207788698768177E-2</v>
      </c>
      <c r="M291" t="s">
        <v>15</v>
      </c>
    </row>
    <row r="292" spans="1:13" x14ac:dyDescent="0.3">
      <c r="A292" t="s">
        <v>273</v>
      </c>
      <c r="B292" t="s">
        <v>20</v>
      </c>
      <c r="C292" s="73">
        <v>45531</v>
      </c>
      <c r="D292" t="s">
        <v>14</v>
      </c>
      <c r="E292" t="s">
        <v>55</v>
      </c>
      <c r="F292" s="18">
        <v>6324</v>
      </c>
      <c r="G292" s="18">
        <v>908</v>
      </c>
      <c r="H292" s="18">
        <v>375</v>
      </c>
      <c r="I292" s="18">
        <v>758</v>
      </c>
      <c r="J292" s="18">
        <v>34850</v>
      </c>
      <c r="K292" s="18">
        <v>241039</v>
      </c>
      <c r="L292" s="33">
        <v>3.1559208260903839E-2</v>
      </c>
      <c r="M292" t="s">
        <v>15</v>
      </c>
    </row>
    <row r="293" spans="1:13" x14ac:dyDescent="0.3">
      <c r="A293" t="s">
        <v>199</v>
      </c>
      <c r="B293" t="s">
        <v>13</v>
      </c>
      <c r="C293" s="73">
        <v>45631</v>
      </c>
      <c r="D293" t="s">
        <v>21</v>
      </c>
      <c r="E293" t="s">
        <v>350</v>
      </c>
      <c r="F293" s="18">
        <v>4125</v>
      </c>
      <c r="G293" s="18">
        <v>1364</v>
      </c>
      <c r="H293" s="18">
        <v>319</v>
      </c>
      <c r="I293" s="18">
        <v>2848</v>
      </c>
      <c r="J293" s="18">
        <v>15379</v>
      </c>
      <c r="K293" s="18">
        <v>188159</v>
      </c>
      <c r="L293" s="33">
        <v>3.0867510988047343E-2</v>
      </c>
      <c r="M293" t="s">
        <v>38</v>
      </c>
    </row>
    <row r="294" spans="1:13" x14ac:dyDescent="0.3">
      <c r="A294" t="s">
        <v>219</v>
      </c>
      <c r="B294" t="s">
        <v>20</v>
      </c>
      <c r="C294" s="73">
        <v>45546</v>
      </c>
      <c r="D294" t="s">
        <v>14</v>
      </c>
      <c r="E294" t="s">
        <v>348</v>
      </c>
      <c r="F294" s="18">
        <v>3906</v>
      </c>
      <c r="G294" s="18">
        <v>1187</v>
      </c>
      <c r="H294" s="18">
        <v>589</v>
      </c>
      <c r="I294" s="18">
        <v>401</v>
      </c>
      <c r="J294" s="18">
        <v>52687</v>
      </c>
      <c r="K294" s="18">
        <v>196498</v>
      </c>
      <c r="L294" s="33">
        <v>2.8916324848090057E-2</v>
      </c>
      <c r="M294" t="s">
        <v>15</v>
      </c>
    </row>
    <row r="295" spans="1:13" x14ac:dyDescent="0.3">
      <c r="A295" t="s">
        <v>271</v>
      </c>
      <c r="B295" t="s">
        <v>13</v>
      </c>
      <c r="C295" s="73">
        <v>45669</v>
      </c>
      <c r="D295" t="s">
        <v>14</v>
      </c>
      <c r="E295" t="s">
        <v>346</v>
      </c>
      <c r="F295" s="18">
        <v>4590</v>
      </c>
      <c r="G295" s="18">
        <v>713</v>
      </c>
      <c r="H295" s="18">
        <v>479</v>
      </c>
      <c r="I295" s="18">
        <v>2730</v>
      </c>
      <c r="J295" s="18">
        <v>41050</v>
      </c>
      <c r="K295" s="18">
        <v>204246</v>
      </c>
      <c r="L295" s="33">
        <v>2.8308999931455206E-2</v>
      </c>
      <c r="M295" t="s">
        <v>22</v>
      </c>
    </row>
    <row r="296" spans="1:13" x14ac:dyDescent="0.3">
      <c r="A296" t="s">
        <v>262</v>
      </c>
      <c r="B296" t="s">
        <v>17</v>
      </c>
      <c r="C296" s="73">
        <v>45523</v>
      </c>
      <c r="D296" t="s">
        <v>24</v>
      </c>
      <c r="E296" t="s">
        <v>351</v>
      </c>
      <c r="F296" s="18">
        <v>3605</v>
      </c>
      <c r="G296" s="18">
        <v>206</v>
      </c>
      <c r="H296" s="18">
        <v>921</v>
      </c>
      <c r="I296" s="18">
        <v>852</v>
      </c>
      <c r="J296" s="18">
        <v>11660</v>
      </c>
      <c r="K296" s="18">
        <v>182635</v>
      </c>
      <c r="L296" s="33">
        <v>2.590960111698196E-2</v>
      </c>
      <c r="M296" t="s">
        <v>25</v>
      </c>
    </row>
    <row r="297" spans="1:13" x14ac:dyDescent="0.3">
      <c r="A297" t="s">
        <v>67</v>
      </c>
      <c r="B297" t="s">
        <v>13</v>
      </c>
      <c r="C297" s="73">
        <v>45915</v>
      </c>
      <c r="D297" t="s">
        <v>21</v>
      </c>
      <c r="E297" t="s">
        <v>344</v>
      </c>
      <c r="F297" s="18">
        <v>5636</v>
      </c>
      <c r="G297" s="18">
        <v>303</v>
      </c>
      <c r="H297" s="18">
        <v>204</v>
      </c>
      <c r="I297" s="18">
        <v>2480</v>
      </c>
      <c r="J297" s="18">
        <v>7377</v>
      </c>
      <c r="K297" s="18">
        <v>241207</v>
      </c>
      <c r="L297" s="33">
        <v>2.5467751765081443E-2</v>
      </c>
      <c r="M297" t="s">
        <v>18</v>
      </c>
    </row>
    <row r="298" spans="1:13" x14ac:dyDescent="0.3">
      <c r="A298" t="s">
        <v>104</v>
      </c>
      <c r="B298" t="s">
        <v>17</v>
      </c>
      <c r="C298" s="73">
        <v>45460</v>
      </c>
      <c r="D298" t="s">
        <v>14</v>
      </c>
      <c r="E298" t="s">
        <v>347</v>
      </c>
      <c r="F298" s="18">
        <v>3252</v>
      </c>
      <c r="G298" s="18">
        <v>1043</v>
      </c>
      <c r="H298" s="18">
        <v>647</v>
      </c>
      <c r="I298" s="18">
        <v>1545</v>
      </c>
      <c r="J298" s="18">
        <v>18859</v>
      </c>
      <c r="K298" s="18">
        <v>222958</v>
      </c>
      <c r="L298" s="33">
        <v>2.2165609666394567E-2</v>
      </c>
      <c r="M298" t="s">
        <v>15</v>
      </c>
    </row>
    <row r="299" spans="1:13" x14ac:dyDescent="0.3">
      <c r="A299" t="s">
        <v>214</v>
      </c>
      <c r="B299" t="s">
        <v>13</v>
      </c>
      <c r="C299" s="73">
        <v>45449</v>
      </c>
      <c r="D299" t="s">
        <v>30</v>
      </c>
      <c r="E299" t="s">
        <v>352</v>
      </c>
      <c r="F299" s="18">
        <v>3531</v>
      </c>
      <c r="G299" s="18">
        <v>789</v>
      </c>
      <c r="H299" s="18">
        <v>467</v>
      </c>
      <c r="I299" s="18">
        <v>1867</v>
      </c>
      <c r="J299" s="18">
        <v>40816</v>
      </c>
      <c r="K299" s="18">
        <v>236037</v>
      </c>
      <c r="L299" s="33">
        <v>2.0280718700881641E-2</v>
      </c>
      <c r="M299" t="s">
        <v>22</v>
      </c>
    </row>
    <row r="300" spans="1:13" x14ac:dyDescent="0.3">
      <c r="A300" t="s">
        <v>23</v>
      </c>
      <c r="B300" t="s">
        <v>13</v>
      </c>
      <c r="C300" s="73">
        <v>45516</v>
      </c>
      <c r="D300" t="s">
        <v>24</v>
      </c>
      <c r="E300" t="s">
        <v>346</v>
      </c>
      <c r="F300" s="18">
        <v>3581</v>
      </c>
      <c r="G300" s="18">
        <v>517</v>
      </c>
      <c r="H300" s="18">
        <v>880</v>
      </c>
      <c r="I300" s="18">
        <v>1925</v>
      </c>
      <c r="J300" s="18">
        <v>18636</v>
      </c>
      <c r="K300" s="18">
        <v>248611</v>
      </c>
      <c r="L300" s="33">
        <v>2.0023249172401864E-2</v>
      </c>
      <c r="M300" t="s">
        <v>25</v>
      </c>
    </row>
    <row r="301" spans="1:13" x14ac:dyDescent="0.3">
      <c r="A301" t="s">
        <v>193</v>
      </c>
      <c r="B301" t="s">
        <v>17</v>
      </c>
      <c r="C301" s="73">
        <v>45624</v>
      </c>
      <c r="D301" t="s">
        <v>30</v>
      </c>
      <c r="E301" t="s">
        <v>350</v>
      </c>
      <c r="F301" s="18">
        <v>2302</v>
      </c>
      <c r="G301" s="18">
        <v>347</v>
      </c>
      <c r="H301" s="18">
        <v>642</v>
      </c>
      <c r="I301" s="18">
        <v>2175</v>
      </c>
      <c r="J301" s="18">
        <v>56378</v>
      </c>
      <c r="K301" s="18">
        <v>198056</v>
      </c>
      <c r="L301" s="33">
        <v>1.6616512501514722E-2</v>
      </c>
      <c r="M301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DE40-C94B-4895-B8A7-12740C471487}">
  <dimension ref="A1:Y999"/>
  <sheetViews>
    <sheetView workbookViewId="0">
      <selection activeCell="I2" sqref="I2"/>
    </sheetView>
  </sheetViews>
  <sheetFormatPr defaultRowHeight="14.4" x14ac:dyDescent="0.3"/>
  <cols>
    <col min="1" max="1" width="18" style="73" bestFit="1" customWidth="1"/>
    <col min="2" max="2" width="10.5546875" bestFit="1" customWidth="1"/>
    <col min="3" max="3" width="16" style="18" bestFit="1" customWidth="1"/>
    <col min="4" max="4" width="11.6640625" style="18" bestFit="1" customWidth="1"/>
    <col min="5" max="5" width="16.44140625" style="18" bestFit="1" customWidth="1"/>
    <col min="6" max="6" width="18.6640625" style="123" hidden="1" customWidth="1"/>
    <col min="7" max="7" width="18.6640625" style="124" customWidth="1"/>
    <col min="8" max="8" width="24.44140625" style="167" hidden="1" customWidth="1"/>
    <col min="9" max="9" width="20.44140625" style="124" customWidth="1"/>
    <col min="10" max="10" width="26" style="124" hidden="1" customWidth="1"/>
    <col min="11" max="11" width="11.88671875" style="18" bestFit="1" customWidth="1"/>
  </cols>
  <sheetData>
    <row r="1" spans="1:25" x14ac:dyDescent="0.3">
      <c r="A1" s="125" t="s">
        <v>327</v>
      </c>
      <c r="B1" s="103" t="s">
        <v>1</v>
      </c>
      <c r="C1" s="159" t="s">
        <v>328</v>
      </c>
      <c r="D1" s="159" t="s">
        <v>329</v>
      </c>
      <c r="E1" s="159" t="s">
        <v>330</v>
      </c>
      <c r="F1" s="104" t="s">
        <v>405</v>
      </c>
      <c r="G1" s="105" t="s">
        <v>331</v>
      </c>
      <c r="H1" s="163" t="s">
        <v>403</v>
      </c>
      <c r="I1" s="105" t="s">
        <v>377</v>
      </c>
      <c r="J1" s="105" t="s">
        <v>11</v>
      </c>
      <c r="K1" s="155" t="s">
        <v>332</v>
      </c>
    </row>
    <row r="2" spans="1:25" x14ac:dyDescent="0.3">
      <c r="A2" s="126">
        <v>45446</v>
      </c>
      <c r="B2" s="106" t="s">
        <v>20</v>
      </c>
      <c r="C2" s="160">
        <v>4138</v>
      </c>
      <c r="D2" s="160">
        <v>361</v>
      </c>
      <c r="E2" s="160">
        <v>103777</v>
      </c>
      <c r="F2" s="107">
        <v>56.637790647253247</v>
      </c>
      <c r="G2" s="108">
        <f t="shared" ref="G2:G65" si="0">F2/100</f>
        <v>0.5663779064725325</v>
      </c>
      <c r="H2" s="164">
        <v>3777</v>
      </c>
      <c r="I2" s="108">
        <v>3.6395347716738774E-2</v>
      </c>
      <c r="J2" s="108" t="str" cm="1">
        <f t="array" ref="J2">IFERROR(INDEX(Cleaned_Campaign_Metadata!A$2:A$6,MATCH(1,(A2 &gt;= Cleaned_Campaign_Metadata!B$2:B$6) *(A2 &lt;= Cleaned_Campaign_Metadata!C$2:C$6),0)),"")</f>
        <v/>
      </c>
      <c r="K2" s="156">
        <v>23944</v>
      </c>
    </row>
    <row r="3" spans="1:25" x14ac:dyDescent="0.3">
      <c r="A3" s="126">
        <v>45446</v>
      </c>
      <c r="B3" s="106" t="s">
        <v>34</v>
      </c>
      <c r="C3" s="160">
        <v>8693</v>
      </c>
      <c r="D3" s="160">
        <v>1261</v>
      </c>
      <c r="E3" s="160">
        <v>111209</v>
      </c>
      <c r="F3" s="107">
        <v>69.475492091467416</v>
      </c>
      <c r="G3" s="108">
        <f t="shared" si="0"/>
        <v>0.69475492091467417</v>
      </c>
      <c r="H3" s="164">
        <v>7432</v>
      </c>
      <c r="I3" s="108">
        <v>6.6829123542159363E-2</v>
      </c>
      <c r="J3" s="108" t="str" cm="1">
        <f t="array" ref="J3">IFERROR(INDEX(Cleaned_Campaign_Metadata!A$2:A$6,MATCH(1,(A3 &gt;= Cleaned_Campaign_Metadata!B$2:B$6) *(A3 &lt;= Cleaned_Campaign_Metadata!C$2:C$6),0)),"")</f>
        <v/>
      </c>
      <c r="K3" s="156">
        <v>29873</v>
      </c>
    </row>
    <row r="4" spans="1:25" ht="18" x14ac:dyDescent="0.35">
      <c r="A4" s="127">
        <v>45446</v>
      </c>
      <c r="B4" s="109" t="s">
        <v>13</v>
      </c>
      <c r="C4" s="161">
        <v>9264</v>
      </c>
      <c r="D4" s="161">
        <v>1141</v>
      </c>
      <c r="E4" s="161">
        <v>119332</v>
      </c>
      <c r="F4" s="110">
        <v>92.312204605638044</v>
      </c>
      <c r="G4" s="111">
        <f t="shared" si="0"/>
        <v>0.92312204605638049</v>
      </c>
      <c r="H4" s="165">
        <v>8123</v>
      </c>
      <c r="I4" s="111">
        <v>6.8070592967519189E-2</v>
      </c>
      <c r="J4" s="108" t="str" cm="1">
        <f t="array" ref="J4">IFERROR(INDEX(Cleaned_Campaign_Metadata!A$2:A$6,MATCH(1,(A4 &gt;= Cleaned_Campaign_Metadata!B$2:B$6) *(A4 &lt;= Cleaned_Campaign_Metadata!C$2:C$6),0)),"")</f>
        <v/>
      </c>
      <c r="K4" s="157">
        <v>50372</v>
      </c>
      <c r="L4" s="144" t="s">
        <v>491</v>
      </c>
      <c r="M4" s="142"/>
      <c r="N4" s="142"/>
      <c r="O4" s="142"/>
      <c r="P4" s="142"/>
      <c r="Q4" s="142"/>
      <c r="R4" s="137"/>
      <c r="S4" s="137"/>
      <c r="T4" s="137"/>
      <c r="U4" s="137"/>
      <c r="V4" s="137"/>
      <c r="W4" s="137"/>
      <c r="X4" s="137"/>
      <c r="Y4" s="137"/>
    </row>
    <row r="5" spans="1:25" ht="18" x14ac:dyDescent="0.3">
      <c r="A5" s="126">
        <v>45446</v>
      </c>
      <c r="B5" s="106" t="s">
        <v>13</v>
      </c>
      <c r="C5" s="160">
        <v>8842</v>
      </c>
      <c r="D5" s="160">
        <v>971</v>
      </c>
      <c r="E5" s="160">
        <v>127203</v>
      </c>
      <c r="F5" s="107">
        <v>16.351815601833291</v>
      </c>
      <c r="G5" s="108">
        <f t="shared" si="0"/>
        <v>0.16351815601833292</v>
      </c>
      <c r="H5" s="164">
        <v>7871</v>
      </c>
      <c r="I5" s="108">
        <v>6.1877471443283573E-2</v>
      </c>
      <c r="J5" s="108" t="str" cm="1">
        <f t="array" ref="J5">IFERROR(INDEX(Cleaned_Campaign_Metadata!A$2:A$6,MATCH(1,(A5 &gt;= Cleaned_Campaign_Metadata!B$2:B$6) *(A5 &lt;= Cleaned_Campaign_Metadata!C$2:C$6),0)),"")</f>
        <v/>
      </c>
      <c r="K5" s="156">
        <v>33928</v>
      </c>
      <c r="L5" s="144" t="s">
        <v>492</v>
      </c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37"/>
      <c r="Y5" s="137"/>
    </row>
    <row r="6" spans="1:25" ht="18" x14ac:dyDescent="0.35">
      <c r="A6" s="127">
        <v>45453</v>
      </c>
      <c r="B6" s="109" t="s">
        <v>20</v>
      </c>
      <c r="C6" s="161">
        <v>7721</v>
      </c>
      <c r="D6" s="161">
        <v>506</v>
      </c>
      <c r="E6" s="161">
        <v>134418</v>
      </c>
      <c r="F6" s="110">
        <v>35.577824398518047</v>
      </c>
      <c r="G6" s="111">
        <f t="shared" si="0"/>
        <v>0.35577824398518049</v>
      </c>
      <c r="H6" s="165">
        <v>7215</v>
      </c>
      <c r="I6" s="111">
        <v>5.3675846984778827E-2</v>
      </c>
      <c r="J6" s="108" t="str" cm="1">
        <f t="array" ref="J6">IFERROR(INDEX(Cleaned_Campaign_Metadata!A$2:A$6,MATCH(1,(A6 &gt;= Cleaned_Campaign_Metadata!B$2:B$6) *(A6 &lt;= Cleaned_Campaign_Metadata!C$2:C$6),0)),"")</f>
        <v/>
      </c>
      <c r="K6" s="157">
        <v>25379</v>
      </c>
      <c r="L6" s="142"/>
      <c r="M6" s="142"/>
      <c r="N6" s="142"/>
      <c r="O6" s="142"/>
      <c r="P6" s="142"/>
      <c r="Q6" s="142"/>
      <c r="R6" s="142"/>
      <c r="S6" s="142"/>
      <c r="T6" s="137"/>
      <c r="U6" s="137"/>
      <c r="V6" s="137"/>
      <c r="W6" s="137"/>
      <c r="X6" s="137"/>
      <c r="Y6" s="137"/>
    </row>
    <row r="7" spans="1:25" x14ac:dyDescent="0.3">
      <c r="A7" s="127">
        <v>45453</v>
      </c>
      <c r="B7" s="109" t="s">
        <v>34</v>
      </c>
      <c r="C7" s="161">
        <v>5225</v>
      </c>
      <c r="D7" s="161">
        <v>291</v>
      </c>
      <c r="E7" s="161">
        <v>146830</v>
      </c>
      <c r="F7" s="110">
        <v>19.551862698358651</v>
      </c>
      <c r="G7" s="111">
        <f t="shared" si="0"/>
        <v>0.19551862698358652</v>
      </c>
      <c r="H7" s="165">
        <v>4934</v>
      </c>
      <c r="I7" s="111">
        <v>3.3603487025812166E-2</v>
      </c>
      <c r="J7" s="108" t="str" cm="1">
        <f t="array" ref="J7">IFERROR(INDEX(Cleaned_Campaign_Metadata!A$2:A$6,MATCH(1,(A7 &gt;= Cleaned_Campaign_Metadata!B$2:B$6) *(A7 &lt;= Cleaned_Campaign_Metadata!C$2:C$6),0)),"")</f>
        <v/>
      </c>
      <c r="K7" s="157">
        <v>44546</v>
      </c>
    </row>
    <row r="8" spans="1:25" x14ac:dyDescent="0.3">
      <c r="A8" s="126">
        <v>45453</v>
      </c>
      <c r="B8" s="106" t="s">
        <v>34</v>
      </c>
      <c r="C8" s="160">
        <v>3978</v>
      </c>
      <c r="D8" s="160">
        <v>543</v>
      </c>
      <c r="E8" s="160">
        <v>150265</v>
      </c>
      <c r="F8" s="107">
        <v>49.159817655475329</v>
      </c>
      <c r="G8" s="108">
        <f t="shared" si="0"/>
        <v>0.4915981765547533</v>
      </c>
      <c r="H8" s="164">
        <v>3435</v>
      </c>
      <c r="I8" s="108">
        <v>2.2859614680730708E-2</v>
      </c>
      <c r="J8" s="108" t="str" cm="1">
        <f t="array" ref="J8">IFERROR(INDEX(Cleaned_Campaign_Metadata!A$2:A$6,MATCH(1,(A8 &gt;= Cleaned_Campaign_Metadata!B$2:B$6) *(A8 &lt;= Cleaned_Campaign_Metadata!C$2:C$6),0)),"")</f>
        <v/>
      </c>
      <c r="K8" s="156">
        <v>34286</v>
      </c>
    </row>
    <row r="9" spans="1:25" x14ac:dyDescent="0.3">
      <c r="A9" s="127">
        <v>45453</v>
      </c>
      <c r="B9" s="109" t="s">
        <v>13</v>
      </c>
      <c r="C9" s="161">
        <v>8002</v>
      </c>
      <c r="D9" s="161">
        <v>524</v>
      </c>
      <c r="E9" s="161">
        <v>141896</v>
      </c>
      <c r="F9" s="110">
        <v>52.064892597395271</v>
      </c>
      <c r="G9" s="111">
        <f t="shared" si="0"/>
        <v>0.52064892597395274</v>
      </c>
      <c r="H9" s="165">
        <v>7478</v>
      </c>
      <c r="I9" s="111">
        <v>5.270056943113266E-2</v>
      </c>
      <c r="J9" s="108" t="str" cm="1">
        <f t="array" ref="J9">IFERROR(INDEX(Cleaned_Campaign_Metadata!A$2:A$6,MATCH(1,(A9 &gt;= Cleaned_Campaign_Metadata!B$2:B$6) *(A9 &lt;= Cleaned_Campaign_Metadata!C$2:C$6),0)),"")</f>
        <v/>
      </c>
      <c r="K9" s="157">
        <v>46751</v>
      </c>
    </row>
    <row r="10" spans="1:25" x14ac:dyDescent="0.3">
      <c r="A10" s="126">
        <v>45460</v>
      </c>
      <c r="B10" s="106" t="s">
        <v>20</v>
      </c>
      <c r="C10" s="160">
        <v>8373</v>
      </c>
      <c r="D10" s="160">
        <v>921</v>
      </c>
      <c r="E10" s="160">
        <v>157717</v>
      </c>
      <c r="F10" s="107">
        <v>12.2263294381709</v>
      </c>
      <c r="G10" s="108">
        <f t="shared" si="0"/>
        <v>0.12226329438170901</v>
      </c>
      <c r="H10" s="164">
        <v>7452</v>
      </c>
      <c r="I10" s="108">
        <v>4.7249186834646864E-2</v>
      </c>
      <c r="J10" s="108" t="str" cm="1">
        <f t="array" ref="J10">IFERROR(INDEX(Cleaned_Campaign_Metadata!A$2:A$6,MATCH(1,(A10 &gt;= Cleaned_Campaign_Metadata!B$2:B$6) *(A10 &lt;= Cleaned_Campaign_Metadata!C$2:C$6),0)),"")</f>
        <v>iPhone 16 Launch</v>
      </c>
      <c r="K10" s="156">
        <v>15110</v>
      </c>
    </row>
    <row r="11" spans="1:25" x14ac:dyDescent="0.3">
      <c r="A11" s="127">
        <v>45460</v>
      </c>
      <c r="B11" s="109" t="s">
        <v>20</v>
      </c>
      <c r="C11" s="161">
        <v>6656</v>
      </c>
      <c r="D11" s="161">
        <v>978</v>
      </c>
      <c r="E11" s="161">
        <v>176196</v>
      </c>
      <c r="F11" s="110">
        <v>60.425889350496043</v>
      </c>
      <c r="G11" s="111">
        <f t="shared" si="0"/>
        <v>0.60425889350496043</v>
      </c>
      <c r="H11" s="165">
        <v>5678</v>
      </c>
      <c r="I11" s="111">
        <v>3.2225476174260484E-2</v>
      </c>
      <c r="J11" s="108" t="str" cm="1">
        <f t="array" ref="J11">IFERROR(INDEX(Cleaned_Campaign_Metadata!A$2:A$6,MATCH(1,(A11 &gt;= Cleaned_Campaign_Metadata!B$2:B$6) *(A11 &lt;= Cleaned_Campaign_Metadata!C$2:C$6),0)),"")</f>
        <v>iPhone 16 Launch</v>
      </c>
      <c r="K11" s="157">
        <v>27081</v>
      </c>
    </row>
    <row r="12" spans="1:25" x14ac:dyDescent="0.3">
      <c r="A12" s="127">
        <v>45460</v>
      </c>
      <c r="B12" s="109" t="s">
        <v>17</v>
      </c>
      <c r="C12" s="161">
        <v>7097</v>
      </c>
      <c r="D12" s="161">
        <v>369</v>
      </c>
      <c r="E12" s="161">
        <v>170518</v>
      </c>
      <c r="F12" s="110">
        <v>9.2506362964613711</v>
      </c>
      <c r="G12" s="111">
        <f t="shared" si="0"/>
        <v>9.2506362964613717E-2</v>
      </c>
      <c r="H12" s="165">
        <v>6728</v>
      </c>
      <c r="I12" s="111">
        <v>3.9456245088495059E-2</v>
      </c>
      <c r="J12" s="108" t="str" cm="1">
        <f t="array" ref="J12">IFERROR(INDEX(Cleaned_Campaign_Metadata!A$2:A$6,MATCH(1,(A12 &gt;= Cleaned_Campaign_Metadata!B$2:B$6) *(A12 &lt;= Cleaned_Campaign_Metadata!C$2:C$6),0)),"")</f>
        <v>iPhone 16 Launch</v>
      </c>
      <c r="K12" s="157">
        <v>33762</v>
      </c>
    </row>
    <row r="13" spans="1:25" x14ac:dyDescent="0.3">
      <c r="A13" s="127">
        <v>45460</v>
      </c>
      <c r="B13" s="109" t="s">
        <v>34</v>
      </c>
      <c r="C13" s="161">
        <v>6907</v>
      </c>
      <c r="D13" s="161">
        <v>834</v>
      </c>
      <c r="E13" s="161">
        <v>163790</v>
      </c>
      <c r="F13" s="110">
        <v>54.158984064961238</v>
      </c>
      <c r="G13" s="111">
        <f t="shared" si="0"/>
        <v>0.54158984064961235</v>
      </c>
      <c r="H13" s="165">
        <v>6073</v>
      </c>
      <c r="I13" s="111">
        <v>3.7077965687770928E-2</v>
      </c>
      <c r="J13" s="108" t="str" cm="1">
        <f t="array" ref="J13">IFERROR(INDEX(Cleaned_Campaign_Metadata!A$2:A$6,MATCH(1,(A13 &gt;= Cleaned_Campaign_Metadata!B$2:B$6) *(A13 &lt;= Cleaned_Campaign_Metadata!C$2:C$6),0)),"")</f>
        <v>iPhone 16 Launch</v>
      </c>
      <c r="K13" s="157">
        <v>22087</v>
      </c>
    </row>
    <row r="14" spans="1:25" x14ac:dyDescent="0.3">
      <c r="A14" s="126">
        <v>45467</v>
      </c>
      <c r="B14" s="106" t="s">
        <v>20</v>
      </c>
      <c r="C14" s="160">
        <v>5259</v>
      </c>
      <c r="D14" s="160">
        <v>374</v>
      </c>
      <c r="E14" s="160">
        <v>189735</v>
      </c>
      <c r="F14" s="107">
        <v>14.827522597306769</v>
      </c>
      <c r="G14" s="108">
        <f t="shared" si="0"/>
        <v>0.14827522597306769</v>
      </c>
      <c r="H14" s="164">
        <v>4885</v>
      </c>
      <c r="I14" s="108">
        <v>2.5746435818378266E-2</v>
      </c>
      <c r="J14" s="108" t="str" cm="1">
        <f t="array" ref="J14">IFERROR(INDEX(Cleaned_Campaign_Metadata!A$2:A$6,MATCH(1,(A14 &gt;= Cleaned_Campaign_Metadata!B$2:B$6) *(A14 &lt;= Cleaned_Campaign_Metadata!C$2:C$6),0)),"")</f>
        <v>iPhone 16 Launch</v>
      </c>
      <c r="K14" s="156">
        <v>19596</v>
      </c>
    </row>
    <row r="15" spans="1:25" x14ac:dyDescent="0.3">
      <c r="A15" s="126">
        <v>45467</v>
      </c>
      <c r="B15" s="106" t="s">
        <v>34</v>
      </c>
      <c r="C15" s="160">
        <v>9984</v>
      </c>
      <c r="D15" s="160">
        <v>1330</v>
      </c>
      <c r="E15" s="160">
        <v>184850</v>
      </c>
      <c r="F15" s="107">
        <v>57.524479307546663</v>
      </c>
      <c r="G15" s="108">
        <f t="shared" si="0"/>
        <v>0.57524479307546661</v>
      </c>
      <c r="H15" s="164">
        <v>8654</v>
      </c>
      <c r="I15" s="108">
        <v>4.6816337571003515E-2</v>
      </c>
      <c r="J15" s="108" t="str" cm="1">
        <f t="array" ref="J15">IFERROR(INDEX(Cleaned_Campaign_Metadata!A$2:A$6,MATCH(1,(A15 &gt;= Cleaned_Campaign_Metadata!B$2:B$6) *(A15 &lt;= Cleaned_Campaign_Metadata!C$2:C$6),0)),"")</f>
        <v>iPhone 16 Launch</v>
      </c>
      <c r="K15" s="156">
        <v>44947</v>
      </c>
    </row>
    <row r="16" spans="1:25" x14ac:dyDescent="0.3">
      <c r="A16" s="127">
        <v>45467</v>
      </c>
      <c r="B16" s="109" t="s">
        <v>34</v>
      </c>
      <c r="C16" s="161">
        <v>6901</v>
      </c>
      <c r="D16" s="161">
        <v>471</v>
      </c>
      <c r="E16" s="161">
        <v>204818</v>
      </c>
      <c r="F16" s="110">
        <v>60.827661631301943</v>
      </c>
      <c r="G16" s="111">
        <f t="shared" si="0"/>
        <v>0.60827661631301944</v>
      </c>
      <c r="H16" s="165">
        <v>6430</v>
      </c>
      <c r="I16" s="111">
        <v>3.1393725160874533E-2</v>
      </c>
      <c r="J16" s="108" t="str" cm="1">
        <f t="array" ref="J16">IFERROR(INDEX(Cleaned_Campaign_Metadata!A$2:A$6,MATCH(1,(A16 &gt;= Cleaned_Campaign_Metadata!B$2:B$6) *(A16 &lt;= Cleaned_Campaign_Metadata!C$2:C$6),0)),"")</f>
        <v>iPhone 16 Launch</v>
      </c>
      <c r="K16" s="157">
        <v>52003</v>
      </c>
    </row>
    <row r="17" spans="1:11" x14ac:dyDescent="0.3">
      <c r="A17" s="126">
        <v>45467</v>
      </c>
      <c r="B17" s="106" t="s">
        <v>13</v>
      </c>
      <c r="C17" s="160">
        <v>9286</v>
      </c>
      <c r="D17" s="160">
        <v>633</v>
      </c>
      <c r="E17" s="160">
        <v>198388</v>
      </c>
      <c r="F17" s="107">
        <v>5.4343004617214756</v>
      </c>
      <c r="G17" s="108">
        <f t="shared" si="0"/>
        <v>5.4343004617214759E-2</v>
      </c>
      <c r="H17" s="164">
        <v>8653</v>
      </c>
      <c r="I17" s="108">
        <v>4.3616549388067825E-2</v>
      </c>
      <c r="J17" s="108" t="str" cm="1">
        <f t="array" ref="J17">IFERROR(INDEX(Cleaned_Campaign_Metadata!A$2:A$6,MATCH(1,(A17 &gt;= Cleaned_Campaign_Metadata!B$2:B$6) *(A17 &lt;= Cleaned_Campaign_Metadata!C$2:C$6),0)),"")</f>
        <v>iPhone 16 Launch</v>
      </c>
      <c r="K17" s="156">
        <v>48019</v>
      </c>
    </row>
    <row r="18" spans="1:11" x14ac:dyDescent="0.3">
      <c r="A18" s="127">
        <v>45474</v>
      </c>
      <c r="B18" s="109" t="s">
        <v>20</v>
      </c>
      <c r="C18" s="161">
        <v>3530</v>
      </c>
      <c r="D18" s="161">
        <v>328</v>
      </c>
      <c r="E18" s="161">
        <v>221925</v>
      </c>
      <c r="F18" s="110">
        <v>12.8372197814577</v>
      </c>
      <c r="G18" s="111">
        <f t="shared" si="0"/>
        <v>0.12837219781457698</v>
      </c>
      <c r="H18" s="165">
        <v>3202</v>
      </c>
      <c r="I18" s="111">
        <v>1.4428297848372199E-2</v>
      </c>
      <c r="J18" s="108" t="str" cm="1">
        <f t="array" ref="J18">IFERROR(INDEX(Cleaned_Campaign_Metadata!A$2:A$6,MATCH(1,(A18 &gt;= Cleaned_Campaign_Metadata!B$2:B$6) *(A18 &lt;= Cleaned_Campaign_Metadata!C$2:C$6),0)),"")</f>
        <v>iPhone 16 Launch</v>
      </c>
      <c r="K18" s="157">
        <v>11013</v>
      </c>
    </row>
    <row r="19" spans="1:11" x14ac:dyDescent="0.3">
      <c r="A19" s="126">
        <v>45474</v>
      </c>
      <c r="B19" s="106" t="s">
        <v>20</v>
      </c>
      <c r="C19" s="160">
        <v>2960</v>
      </c>
      <c r="D19" s="160">
        <v>234</v>
      </c>
      <c r="E19" s="160">
        <v>224651</v>
      </c>
      <c r="F19" s="107">
        <v>17.41278694508371</v>
      </c>
      <c r="G19" s="108">
        <f t="shared" si="0"/>
        <v>0.17412786945083711</v>
      </c>
      <c r="H19" s="164">
        <v>2726</v>
      </c>
      <c r="I19" s="108">
        <v>1.213437732304775E-2</v>
      </c>
      <c r="J19" s="108" t="str" cm="1">
        <f t="array" ref="J19">IFERROR(INDEX(Cleaned_Campaign_Metadata!A$2:A$6,MATCH(1,(A19 &gt;= Cleaned_Campaign_Metadata!B$2:B$6) *(A19 &lt;= Cleaned_Campaign_Metadata!C$2:C$6),0)),"")</f>
        <v>iPhone 16 Launch</v>
      </c>
      <c r="K19" s="156">
        <v>59378</v>
      </c>
    </row>
    <row r="20" spans="1:11" x14ac:dyDescent="0.3">
      <c r="A20" s="126">
        <v>45474</v>
      </c>
      <c r="B20" s="106" t="s">
        <v>17</v>
      </c>
      <c r="C20" s="160">
        <v>5917</v>
      </c>
      <c r="D20" s="160">
        <v>475</v>
      </c>
      <c r="E20" s="160">
        <v>210260</v>
      </c>
      <c r="F20" s="107">
        <v>17.894035955483691</v>
      </c>
      <c r="G20" s="108">
        <f t="shared" si="0"/>
        <v>0.17894035955483692</v>
      </c>
      <c r="H20" s="164">
        <v>5442</v>
      </c>
      <c r="I20" s="108">
        <v>2.5882241034909159E-2</v>
      </c>
      <c r="J20" s="108" t="str" cm="1">
        <f t="array" ref="J20">IFERROR(INDEX(Cleaned_Campaign_Metadata!A$2:A$6,MATCH(1,(A20 &gt;= Cleaned_Campaign_Metadata!B$2:B$6) *(A20 &lt;= Cleaned_Campaign_Metadata!C$2:C$6),0)),"")</f>
        <v>iPhone 16 Launch</v>
      </c>
      <c r="K20" s="156">
        <v>28313</v>
      </c>
    </row>
    <row r="21" spans="1:11" x14ac:dyDescent="0.3">
      <c r="A21" s="126">
        <v>45474</v>
      </c>
      <c r="B21" s="106" t="s">
        <v>34</v>
      </c>
      <c r="C21" s="160">
        <v>9429</v>
      </c>
      <c r="D21" s="160">
        <v>966</v>
      </c>
      <c r="E21" s="160">
        <v>218723</v>
      </c>
      <c r="F21" s="107">
        <v>7.6914636320825887</v>
      </c>
      <c r="G21" s="108">
        <f t="shared" si="0"/>
        <v>7.6914636320825888E-2</v>
      </c>
      <c r="H21" s="164">
        <v>8463</v>
      </c>
      <c r="I21" s="108">
        <v>3.8692775794040866E-2</v>
      </c>
      <c r="J21" s="108" t="str" cm="1">
        <f t="array" ref="J21">IFERROR(INDEX(Cleaned_Campaign_Metadata!A$2:A$6,MATCH(1,(A21 &gt;= Cleaned_Campaign_Metadata!B$2:B$6) *(A21 &lt;= Cleaned_Campaign_Metadata!C$2:C$6),0)),"")</f>
        <v>iPhone 16 Launch</v>
      </c>
      <c r="K21" s="156">
        <v>57639</v>
      </c>
    </row>
    <row r="22" spans="1:11" x14ac:dyDescent="0.3">
      <c r="A22" s="127">
        <v>45481</v>
      </c>
      <c r="B22" s="109" t="s">
        <v>17</v>
      </c>
      <c r="C22" s="161">
        <v>2048</v>
      </c>
      <c r="D22" s="161">
        <v>130</v>
      </c>
      <c r="E22" s="161">
        <v>233720</v>
      </c>
      <c r="F22" s="110">
        <v>39.284614068115687</v>
      </c>
      <c r="G22" s="111">
        <f t="shared" si="0"/>
        <v>0.39284614068115686</v>
      </c>
      <c r="H22" s="165">
        <v>1918</v>
      </c>
      <c r="I22" s="111">
        <v>8.2064008214958063E-3</v>
      </c>
      <c r="J22" s="108" t="str" cm="1">
        <f t="array" ref="J22">IFERROR(INDEX(Cleaned_Campaign_Metadata!A$2:A$6,MATCH(1,(A22 &gt;= Cleaned_Campaign_Metadata!B$2:B$6) *(A22 &lt;= Cleaned_Campaign_Metadata!C$2:C$6),0)),"")</f>
        <v>iPhone 16 Launch</v>
      </c>
      <c r="K22" s="157">
        <v>11828</v>
      </c>
    </row>
    <row r="23" spans="1:11" x14ac:dyDescent="0.3">
      <c r="A23" s="126">
        <v>45481</v>
      </c>
      <c r="B23" s="106" t="s">
        <v>17</v>
      </c>
      <c r="C23" s="160">
        <v>6772</v>
      </c>
      <c r="D23" s="160">
        <v>536</v>
      </c>
      <c r="E23" s="160">
        <v>239956</v>
      </c>
      <c r="F23" s="107">
        <v>9.8205504342462788</v>
      </c>
      <c r="G23" s="108">
        <f t="shared" si="0"/>
        <v>9.8205504342462793E-2</v>
      </c>
      <c r="H23" s="164">
        <v>6236</v>
      </c>
      <c r="I23" s="108">
        <v>2.5988097817933289E-2</v>
      </c>
      <c r="J23" s="108" t="str" cm="1">
        <f t="array" ref="J23">IFERROR(INDEX(Cleaned_Campaign_Metadata!A$2:A$6,MATCH(1,(A23 &gt;= Cleaned_Campaign_Metadata!B$2:B$6) *(A23 &lt;= Cleaned_Campaign_Metadata!C$2:C$6),0)),"")</f>
        <v>iPhone 16 Launch</v>
      </c>
      <c r="K23" s="156">
        <v>17909</v>
      </c>
    </row>
    <row r="24" spans="1:11" x14ac:dyDescent="0.3">
      <c r="A24" s="127">
        <v>45481</v>
      </c>
      <c r="B24" s="109" t="s">
        <v>17</v>
      </c>
      <c r="C24" s="161">
        <v>3529</v>
      </c>
      <c r="D24" s="161">
        <v>305</v>
      </c>
      <c r="E24" s="161">
        <v>243180</v>
      </c>
      <c r="F24" s="110">
        <v>41.606628834608109</v>
      </c>
      <c r="G24" s="111">
        <f t="shared" si="0"/>
        <v>0.41606628834608111</v>
      </c>
      <c r="H24" s="165">
        <v>3224</v>
      </c>
      <c r="I24" s="111">
        <v>1.3257669216218439E-2</v>
      </c>
      <c r="J24" s="108" t="str" cm="1">
        <f t="array" ref="J24">IFERROR(INDEX(Cleaned_Campaign_Metadata!A$2:A$6,MATCH(1,(A24 &gt;= Cleaned_Campaign_Metadata!B$2:B$6) *(A24 &lt;= Cleaned_Campaign_Metadata!C$2:C$6),0)),"")</f>
        <v>iPhone 16 Launch</v>
      </c>
      <c r="K24" s="157">
        <v>48356</v>
      </c>
    </row>
    <row r="25" spans="1:11" x14ac:dyDescent="0.3">
      <c r="A25" s="127">
        <v>45481</v>
      </c>
      <c r="B25" s="109" t="s">
        <v>34</v>
      </c>
      <c r="C25" s="161">
        <v>8045</v>
      </c>
      <c r="D25" s="161">
        <v>894</v>
      </c>
      <c r="E25" s="161">
        <v>231802</v>
      </c>
      <c r="F25" s="110">
        <v>47.634187798207087</v>
      </c>
      <c r="G25" s="111">
        <f t="shared" si="0"/>
        <v>0.47634187798207089</v>
      </c>
      <c r="H25" s="165">
        <v>7151</v>
      </c>
      <c r="I25" s="111">
        <v>3.084960440375838E-2</v>
      </c>
      <c r="J25" s="108" t="str" cm="1">
        <f t="array" ref="J25">IFERROR(INDEX(Cleaned_Campaign_Metadata!A$2:A$6,MATCH(1,(A25 &gt;= Cleaned_Campaign_Metadata!B$2:B$6) *(A25 &lt;= Cleaned_Campaign_Metadata!C$2:C$6),0)),"")</f>
        <v>iPhone 16 Launch</v>
      </c>
      <c r="K25" s="157">
        <v>33705</v>
      </c>
    </row>
    <row r="26" spans="1:11" x14ac:dyDescent="0.3">
      <c r="A26" s="127">
        <v>45488</v>
      </c>
      <c r="B26" s="109" t="s">
        <v>20</v>
      </c>
      <c r="C26" s="161">
        <v>3964</v>
      </c>
      <c r="D26" s="161">
        <v>378</v>
      </c>
      <c r="E26" s="161">
        <v>246766</v>
      </c>
      <c r="F26" s="110">
        <v>13.6355899921383</v>
      </c>
      <c r="G26" s="111">
        <f t="shared" si="0"/>
        <v>0.136355899921383</v>
      </c>
      <c r="H26" s="165">
        <v>3586</v>
      </c>
      <c r="I26" s="111">
        <v>1.453198576789347E-2</v>
      </c>
      <c r="J26" s="108" t="str" cm="1">
        <f t="array" ref="J26">IFERROR(INDEX(Cleaned_Campaign_Metadata!A$2:A$6,MATCH(1,(A26 &gt;= Cleaned_Campaign_Metadata!B$2:B$6) *(A26 &lt;= Cleaned_Campaign_Metadata!C$2:C$6),0)),"")</f>
        <v>iPhone 16 Launch</v>
      </c>
      <c r="K26" s="157">
        <v>23109</v>
      </c>
    </row>
    <row r="27" spans="1:11" x14ac:dyDescent="0.3">
      <c r="A27" s="126">
        <v>45488</v>
      </c>
      <c r="B27" s="106" t="s">
        <v>20</v>
      </c>
      <c r="C27" s="160">
        <v>1536</v>
      </c>
      <c r="D27" s="160">
        <v>155</v>
      </c>
      <c r="E27" s="160">
        <v>257065</v>
      </c>
      <c r="F27" s="107">
        <v>12.15762550327738</v>
      </c>
      <c r="G27" s="108">
        <f t="shared" si="0"/>
        <v>0.12157625503277381</v>
      </c>
      <c r="H27" s="164">
        <v>1381</v>
      </c>
      <c r="I27" s="108">
        <v>5.3721821329235798E-3</v>
      </c>
      <c r="J27" s="108" t="str" cm="1">
        <f t="array" ref="J27">IFERROR(INDEX(Cleaned_Campaign_Metadata!A$2:A$6,MATCH(1,(A27 &gt;= Cleaned_Campaign_Metadata!B$2:B$6) *(A27 &lt;= Cleaned_Campaign_Metadata!C$2:C$6),0)),"")</f>
        <v>iPhone 16 Launch</v>
      </c>
      <c r="K27" s="156">
        <v>36661</v>
      </c>
    </row>
    <row r="28" spans="1:11" x14ac:dyDescent="0.3">
      <c r="A28" s="126">
        <v>45488</v>
      </c>
      <c r="B28" s="106" t="s">
        <v>34</v>
      </c>
      <c r="C28" s="160">
        <v>8137</v>
      </c>
      <c r="D28" s="160">
        <v>1045</v>
      </c>
      <c r="E28" s="160">
        <v>253858</v>
      </c>
      <c r="F28" s="107">
        <v>20.47246886054408</v>
      </c>
      <c r="G28" s="108">
        <f t="shared" si="0"/>
        <v>0.2047246886054408</v>
      </c>
      <c r="H28" s="164">
        <v>7092</v>
      </c>
      <c r="I28" s="108">
        <v>2.7936878097203948E-2</v>
      </c>
      <c r="J28" s="108" t="str" cm="1">
        <f t="array" ref="J28">IFERROR(INDEX(Cleaned_Campaign_Metadata!A$2:A$6,MATCH(1,(A28 &gt;= Cleaned_Campaign_Metadata!B$2:B$6) *(A28 &lt;= Cleaned_Campaign_Metadata!C$2:C$6),0)),"")</f>
        <v>iPhone 16 Launch</v>
      </c>
      <c r="K28" s="156">
        <v>12023</v>
      </c>
    </row>
    <row r="29" spans="1:11" x14ac:dyDescent="0.3">
      <c r="A29" s="127">
        <v>45488</v>
      </c>
      <c r="B29" s="109" t="s">
        <v>13</v>
      </c>
      <c r="C29" s="161">
        <v>1963</v>
      </c>
      <c r="D29" s="161">
        <v>137</v>
      </c>
      <c r="E29" s="161">
        <v>255684</v>
      </c>
      <c r="F29" s="110">
        <v>11.2083665774941</v>
      </c>
      <c r="G29" s="111">
        <f t="shared" si="0"/>
        <v>0.112083665774941</v>
      </c>
      <c r="H29" s="165">
        <v>1826</v>
      </c>
      <c r="I29" s="111">
        <v>7.1416279469970747E-3</v>
      </c>
      <c r="J29" s="108" t="str" cm="1">
        <f t="array" ref="J29">IFERROR(INDEX(Cleaned_Campaign_Metadata!A$2:A$6,MATCH(1,(A29 &gt;= Cleaned_Campaign_Metadata!B$2:B$6) *(A29 &lt;= Cleaned_Campaign_Metadata!C$2:C$6),0)),"")</f>
        <v>iPhone 16 Launch</v>
      </c>
      <c r="K29" s="157">
        <v>24537</v>
      </c>
    </row>
    <row r="30" spans="1:11" x14ac:dyDescent="0.3">
      <c r="A30" s="126">
        <v>45495</v>
      </c>
      <c r="B30" s="106" t="s">
        <v>17</v>
      </c>
      <c r="C30" s="160">
        <v>8340</v>
      </c>
      <c r="D30" s="160">
        <v>911</v>
      </c>
      <c r="E30" s="160">
        <v>264494</v>
      </c>
      <c r="F30" s="107">
        <v>37.302925586213682</v>
      </c>
      <c r="G30" s="108">
        <f t="shared" si="0"/>
        <v>0.37302925586213681</v>
      </c>
      <c r="H30" s="164">
        <v>7429</v>
      </c>
      <c r="I30" s="108">
        <v>2.8087593669421613E-2</v>
      </c>
      <c r="J30" s="108" t="str" cm="1">
        <f t="array" ref="J30">IFERROR(INDEX(Cleaned_Campaign_Metadata!A$2:A$6,MATCH(1,(A30 &gt;= Cleaned_Campaign_Metadata!B$2:B$6) *(A30 &lt;= Cleaned_Campaign_Metadata!C$2:C$6),0)),"")</f>
        <v/>
      </c>
      <c r="K30" s="156">
        <v>48659</v>
      </c>
    </row>
    <row r="31" spans="1:11" x14ac:dyDescent="0.3">
      <c r="A31" s="127">
        <v>45495</v>
      </c>
      <c r="B31" s="109" t="s">
        <v>17</v>
      </c>
      <c r="C31" s="161">
        <v>8967</v>
      </c>
      <c r="D31" s="161">
        <v>993</v>
      </c>
      <c r="E31" s="161">
        <v>280201</v>
      </c>
      <c r="F31" s="110">
        <v>52.792102811910027</v>
      </c>
      <c r="G31" s="111">
        <f t="shared" si="0"/>
        <v>0.52792102811910024</v>
      </c>
      <c r="H31" s="165">
        <v>7974</v>
      </c>
      <c r="I31" s="111">
        <v>2.8458142547671136E-2</v>
      </c>
      <c r="J31" s="108" t="str" cm="1">
        <f t="array" ref="J31">IFERROR(INDEX(Cleaned_Campaign_Metadata!A$2:A$6,MATCH(1,(A31 &gt;= Cleaned_Campaign_Metadata!B$2:B$6) *(A31 &lt;= Cleaned_Campaign_Metadata!C$2:C$6),0)),"")</f>
        <v/>
      </c>
      <c r="K31" s="157">
        <v>47804</v>
      </c>
    </row>
    <row r="32" spans="1:11" x14ac:dyDescent="0.3">
      <c r="A32" s="127">
        <v>45495</v>
      </c>
      <c r="B32" s="109" t="s">
        <v>34</v>
      </c>
      <c r="C32" s="161">
        <v>8179</v>
      </c>
      <c r="D32" s="161">
        <v>446</v>
      </c>
      <c r="E32" s="161">
        <v>272227</v>
      </c>
      <c r="F32" s="110">
        <v>41.82171496581897</v>
      </c>
      <c r="G32" s="111">
        <f t="shared" si="0"/>
        <v>0.41821714965818968</v>
      </c>
      <c r="H32" s="165">
        <v>7733</v>
      </c>
      <c r="I32" s="111">
        <v>2.8406440213498294E-2</v>
      </c>
      <c r="J32" s="108" t="str" cm="1">
        <f t="array" ref="J32">IFERROR(INDEX(Cleaned_Campaign_Metadata!A$2:A$6,MATCH(1,(A32 &gt;= Cleaned_Campaign_Metadata!B$2:B$6) *(A32 &lt;= Cleaned_Campaign_Metadata!C$2:C$6),0)),"")</f>
        <v/>
      </c>
      <c r="K32" s="157">
        <v>43848</v>
      </c>
    </row>
    <row r="33" spans="1:11" x14ac:dyDescent="0.3">
      <c r="A33" s="126">
        <v>45495</v>
      </c>
      <c r="B33" s="106" t="s">
        <v>13</v>
      </c>
      <c r="C33" s="160">
        <v>9734</v>
      </c>
      <c r="D33" s="160">
        <v>652</v>
      </c>
      <c r="E33" s="160">
        <v>289283</v>
      </c>
      <c r="F33" s="107">
        <v>49.647922622483861</v>
      </c>
      <c r="G33" s="108">
        <f t="shared" si="0"/>
        <v>0.49647922622483859</v>
      </c>
      <c r="H33" s="164">
        <v>9082</v>
      </c>
      <c r="I33" s="108">
        <v>3.1394862470314533E-2</v>
      </c>
      <c r="J33" s="108" t="str" cm="1">
        <f t="array" ref="J33">IFERROR(INDEX(Cleaned_Campaign_Metadata!A$2:A$6,MATCH(1,(A33 &gt;= Cleaned_Campaign_Metadata!B$2:B$6) *(A33 &lt;= Cleaned_Campaign_Metadata!C$2:C$6),0)),"")</f>
        <v/>
      </c>
      <c r="K33" s="156">
        <v>25379</v>
      </c>
    </row>
    <row r="34" spans="1:11" x14ac:dyDescent="0.3">
      <c r="A34" s="126">
        <v>45502</v>
      </c>
      <c r="B34" s="106" t="s">
        <v>17</v>
      </c>
      <c r="C34" s="160">
        <v>1845</v>
      </c>
      <c r="D34" s="160">
        <v>104</v>
      </c>
      <c r="E34" s="160">
        <v>291024</v>
      </c>
      <c r="F34" s="107">
        <v>28.158158777282971</v>
      </c>
      <c r="G34" s="108">
        <f t="shared" si="0"/>
        <v>0.28158158777282971</v>
      </c>
      <c r="H34" s="164">
        <v>1741</v>
      </c>
      <c r="I34" s="108">
        <v>5.9823244818296775E-3</v>
      </c>
      <c r="J34" s="108" t="str" cm="1">
        <f t="array" ref="J34">IFERROR(INDEX(Cleaned_Campaign_Metadata!A$2:A$6,MATCH(1,(A34 &gt;= Cleaned_Campaign_Metadata!B$2:B$6) *(A34 &lt;= Cleaned_Campaign_Metadata!C$2:C$6),0)),"")</f>
        <v/>
      </c>
      <c r="K34" s="156">
        <v>37766</v>
      </c>
    </row>
    <row r="35" spans="1:11" x14ac:dyDescent="0.3">
      <c r="A35" s="127">
        <v>45502</v>
      </c>
      <c r="B35" s="109" t="s">
        <v>17</v>
      </c>
      <c r="C35" s="161">
        <v>6777</v>
      </c>
      <c r="D35" s="161">
        <v>981</v>
      </c>
      <c r="E35" s="161">
        <v>296820</v>
      </c>
      <c r="F35" s="110">
        <v>23.920557913887201</v>
      </c>
      <c r="G35" s="111">
        <f t="shared" si="0"/>
        <v>0.239205579138872</v>
      </c>
      <c r="H35" s="165">
        <v>5796</v>
      </c>
      <c r="I35" s="111">
        <v>1.952698605215282E-2</v>
      </c>
      <c r="J35" s="108" t="str" cm="1">
        <f t="array" ref="J35">IFERROR(INDEX(Cleaned_Campaign_Metadata!A$2:A$6,MATCH(1,(A35 &gt;= Cleaned_Campaign_Metadata!B$2:B$6) *(A35 &lt;= Cleaned_Campaign_Metadata!C$2:C$6),0)),"")</f>
        <v/>
      </c>
      <c r="K35" s="157">
        <v>53590</v>
      </c>
    </row>
    <row r="36" spans="1:11" x14ac:dyDescent="0.3">
      <c r="A36" s="126">
        <v>45502</v>
      </c>
      <c r="B36" s="106" t="s">
        <v>34</v>
      </c>
      <c r="C36" s="160">
        <v>6947</v>
      </c>
      <c r="D36" s="160">
        <v>908</v>
      </c>
      <c r="E36" s="160">
        <v>306304</v>
      </c>
      <c r="F36" s="107">
        <v>14.117673944839121</v>
      </c>
      <c r="G36" s="108">
        <f t="shared" si="0"/>
        <v>0.14117673944839121</v>
      </c>
      <c r="H36" s="164">
        <v>6039</v>
      </c>
      <c r="I36" s="108">
        <v>1.9715707271207691E-2</v>
      </c>
      <c r="J36" s="108" t="str" cm="1">
        <f t="array" ref="J36">IFERROR(INDEX(Cleaned_Campaign_Metadata!A$2:A$6,MATCH(1,(A36 &gt;= Cleaned_Campaign_Metadata!B$2:B$6) *(A36 &lt;= Cleaned_Campaign_Metadata!C$2:C$6),0)),"")</f>
        <v/>
      </c>
      <c r="K36" s="156">
        <v>46060</v>
      </c>
    </row>
    <row r="37" spans="1:11" x14ac:dyDescent="0.3">
      <c r="A37" s="127">
        <v>45502</v>
      </c>
      <c r="B37" s="109" t="s">
        <v>13</v>
      </c>
      <c r="C37" s="161">
        <v>4036</v>
      </c>
      <c r="D37" s="161">
        <v>591</v>
      </c>
      <c r="E37" s="161">
        <v>300265</v>
      </c>
      <c r="F37" s="110">
        <v>44.219272975538267</v>
      </c>
      <c r="G37" s="111">
        <f t="shared" si="0"/>
        <v>0.44219272975538265</v>
      </c>
      <c r="H37" s="165">
        <v>3445</v>
      </c>
      <c r="I37" s="111">
        <v>1.1473198674504187E-2</v>
      </c>
      <c r="J37" s="108" t="str" cm="1">
        <f t="array" ref="J37">IFERROR(INDEX(Cleaned_Campaign_Metadata!A$2:A$6,MATCH(1,(A37 &gt;= Cleaned_Campaign_Metadata!B$2:B$6) *(A37 &lt;= Cleaned_Campaign_Metadata!C$2:C$6),0)),"")</f>
        <v/>
      </c>
      <c r="K37" s="157">
        <v>12563</v>
      </c>
    </row>
    <row r="38" spans="1:11" x14ac:dyDescent="0.3">
      <c r="A38" s="127">
        <v>45509</v>
      </c>
      <c r="B38" s="109" t="s">
        <v>20</v>
      </c>
      <c r="C38" s="161">
        <v>3494</v>
      </c>
      <c r="D38" s="161">
        <v>281</v>
      </c>
      <c r="E38" s="161">
        <v>309517</v>
      </c>
      <c r="F38" s="110">
        <v>27.765518533715429</v>
      </c>
      <c r="G38" s="111">
        <f t="shared" si="0"/>
        <v>0.27765518533715428</v>
      </c>
      <c r="H38" s="165">
        <v>3213</v>
      </c>
      <c r="I38" s="111">
        <v>1.0380689913639638E-2</v>
      </c>
      <c r="J38" s="108" t="str" cm="1">
        <f t="array" ref="J38">IFERROR(INDEX(Cleaned_Campaign_Metadata!A$2:A$6,MATCH(1,(A38 &gt;= Cleaned_Campaign_Metadata!B$2:B$6) *(A38 &lt;= Cleaned_Campaign_Metadata!C$2:C$6),0)),"")</f>
        <v/>
      </c>
      <c r="K38" s="157">
        <v>39197</v>
      </c>
    </row>
    <row r="39" spans="1:11" x14ac:dyDescent="0.3">
      <c r="A39" s="126">
        <v>45509</v>
      </c>
      <c r="B39" s="106" t="s">
        <v>17</v>
      </c>
      <c r="C39" s="160">
        <v>5349</v>
      </c>
      <c r="D39" s="160">
        <v>502</v>
      </c>
      <c r="E39" s="160">
        <v>320404</v>
      </c>
      <c r="F39" s="107">
        <v>5.2152906954969351</v>
      </c>
      <c r="G39" s="108">
        <f t="shared" si="0"/>
        <v>5.2152906954969352E-2</v>
      </c>
      <c r="H39" s="164">
        <v>4847</v>
      </c>
      <c r="I39" s="108">
        <v>1.5127776182569505E-2</v>
      </c>
      <c r="J39" s="108" t="str" cm="1">
        <f t="array" ref="J39">IFERROR(INDEX(Cleaned_Campaign_Metadata!A$2:A$6,MATCH(1,(A39 &gt;= Cleaned_Campaign_Metadata!B$2:B$6) *(A39 &lt;= Cleaned_Campaign_Metadata!C$2:C$6),0)),"")</f>
        <v/>
      </c>
      <c r="K39" s="156">
        <v>58868</v>
      </c>
    </row>
    <row r="40" spans="1:11" x14ac:dyDescent="0.3">
      <c r="A40" s="127">
        <v>45509</v>
      </c>
      <c r="B40" s="109" t="s">
        <v>34</v>
      </c>
      <c r="C40" s="161">
        <v>3719</v>
      </c>
      <c r="D40" s="161">
        <v>222</v>
      </c>
      <c r="E40" s="161">
        <v>313014</v>
      </c>
      <c r="F40" s="110">
        <v>21.669318305251519</v>
      </c>
      <c r="G40" s="111">
        <f t="shared" si="0"/>
        <v>0.2166931830525152</v>
      </c>
      <c r="H40" s="165">
        <v>3497</v>
      </c>
      <c r="I40" s="111">
        <v>1.1172024254506188E-2</v>
      </c>
      <c r="J40" s="108" t="str" cm="1">
        <f t="array" ref="J40">IFERROR(INDEX(Cleaned_Campaign_Metadata!A$2:A$6,MATCH(1,(A40 &gt;= Cleaned_Campaign_Metadata!B$2:B$6) *(A40 &lt;= Cleaned_Campaign_Metadata!C$2:C$6),0)),"")</f>
        <v/>
      </c>
      <c r="K40" s="157">
        <v>13586</v>
      </c>
    </row>
    <row r="41" spans="1:11" x14ac:dyDescent="0.3">
      <c r="A41" s="126">
        <v>45509</v>
      </c>
      <c r="B41" s="106" t="s">
        <v>13</v>
      </c>
      <c r="C41" s="160">
        <v>2884</v>
      </c>
      <c r="D41" s="160">
        <v>341</v>
      </c>
      <c r="E41" s="160">
        <v>315557</v>
      </c>
      <c r="F41" s="107">
        <v>46.999749649033298</v>
      </c>
      <c r="G41" s="108">
        <f t="shared" si="0"/>
        <v>0.46999749649033296</v>
      </c>
      <c r="H41" s="164">
        <v>2543</v>
      </c>
      <c r="I41" s="108">
        <v>8.058765928184131E-3</v>
      </c>
      <c r="J41" s="108" t="str" cm="1">
        <f t="array" ref="J41">IFERROR(INDEX(Cleaned_Campaign_Metadata!A$2:A$6,MATCH(1,(A41 &gt;= Cleaned_Campaign_Metadata!B$2:B$6) *(A41 &lt;= Cleaned_Campaign_Metadata!C$2:C$6),0)),"")</f>
        <v/>
      </c>
      <c r="K41" s="156">
        <v>26087</v>
      </c>
    </row>
    <row r="42" spans="1:11" x14ac:dyDescent="0.3">
      <c r="A42" s="126">
        <v>45516</v>
      </c>
      <c r="B42" s="106" t="s">
        <v>20</v>
      </c>
      <c r="C42" s="160">
        <v>7610</v>
      </c>
      <c r="D42" s="160">
        <v>757</v>
      </c>
      <c r="E42" s="160">
        <v>333052</v>
      </c>
      <c r="F42" s="107">
        <v>44.450416151231643</v>
      </c>
      <c r="G42" s="108">
        <f t="shared" si="0"/>
        <v>0.44450416151231642</v>
      </c>
      <c r="H42" s="164">
        <v>6853</v>
      </c>
      <c r="I42" s="108">
        <v>2.0576366453286574E-2</v>
      </c>
      <c r="J42" s="108" t="str" cm="1">
        <f t="array" ref="J42">IFERROR(INDEX(Cleaned_Campaign_Metadata!A$2:A$6,MATCH(1,(A42 &gt;= Cleaned_Campaign_Metadata!B$2:B$6) *(A42 &lt;= Cleaned_Campaign_Metadata!C$2:C$6),0)),"")</f>
        <v/>
      </c>
      <c r="K42" s="156">
        <v>39750</v>
      </c>
    </row>
    <row r="43" spans="1:11" x14ac:dyDescent="0.3">
      <c r="A43" s="126">
        <v>45516</v>
      </c>
      <c r="B43" s="106" t="s">
        <v>34</v>
      </c>
      <c r="C43" s="160">
        <v>6179</v>
      </c>
      <c r="D43" s="160">
        <v>384</v>
      </c>
      <c r="E43" s="160">
        <v>326199</v>
      </c>
      <c r="F43" s="107">
        <v>14.71218489327067</v>
      </c>
      <c r="G43" s="108">
        <f t="shared" si="0"/>
        <v>0.14712184893270672</v>
      </c>
      <c r="H43" s="164">
        <v>5795</v>
      </c>
      <c r="I43" s="108">
        <v>1.7765229200580015E-2</v>
      </c>
      <c r="J43" s="108" t="str" cm="1">
        <f t="array" ref="J43">IFERROR(INDEX(Cleaned_Campaign_Metadata!A$2:A$6,MATCH(1,(A43 &gt;= Cleaned_Campaign_Metadata!B$2:B$6) *(A43 &lt;= Cleaned_Campaign_Metadata!C$2:C$6),0)),"")</f>
        <v/>
      </c>
      <c r="K43" s="156">
        <v>33225</v>
      </c>
    </row>
    <row r="44" spans="1:11" x14ac:dyDescent="0.3">
      <c r="A44" s="127">
        <v>45516</v>
      </c>
      <c r="B44" s="109" t="s">
        <v>34</v>
      </c>
      <c r="C44" s="161">
        <v>8154</v>
      </c>
      <c r="D44" s="161">
        <v>1149</v>
      </c>
      <c r="E44" s="161">
        <v>347090</v>
      </c>
      <c r="F44" s="110">
        <v>26.003918292085629</v>
      </c>
      <c r="G44" s="111">
        <f t="shared" si="0"/>
        <v>0.26003918292085632</v>
      </c>
      <c r="H44" s="165">
        <v>7005</v>
      </c>
      <c r="I44" s="111">
        <v>2.0182085338096747E-2</v>
      </c>
      <c r="J44" s="108" t="str" cm="1">
        <f t="array" ref="J44">IFERROR(INDEX(Cleaned_Campaign_Metadata!A$2:A$6,MATCH(1,(A44 &gt;= Cleaned_Campaign_Metadata!B$2:B$6) *(A44 &lt;= Cleaned_Campaign_Metadata!C$2:C$6),0)),"")</f>
        <v/>
      </c>
      <c r="K44" s="157">
        <v>37523</v>
      </c>
    </row>
    <row r="45" spans="1:11" x14ac:dyDescent="0.3">
      <c r="A45" s="127">
        <v>45516</v>
      </c>
      <c r="B45" s="109" t="s">
        <v>13</v>
      </c>
      <c r="C45" s="161">
        <v>7430</v>
      </c>
      <c r="D45" s="161">
        <v>397</v>
      </c>
      <c r="E45" s="161">
        <v>340085</v>
      </c>
      <c r="F45" s="110">
        <v>28.065042562888689</v>
      </c>
      <c r="G45" s="111">
        <f t="shared" si="0"/>
        <v>0.28065042562888687</v>
      </c>
      <c r="H45" s="165">
        <v>7033</v>
      </c>
      <c r="I45" s="111">
        <v>2.0680124086625402E-2</v>
      </c>
      <c r="J45" s="108" t="str" cm="1">
        <f t="array" ref="J45">IFERROR(INDEX(Cleaned_Campaign_Metadata!A$2:A$6,MATCH(1,(A45 &gt;= Cleaned_Campaign_Metadata!B$2:B$6) *(A45 &lt;= Cleaned_Campaign_Metadata!C$2:C$6),0)),"")</f>
        <v/>
      </c>
      <c r="K45" s="157">
        <v>16643</v>
      </c>
    </row>
    <row r="46" spans="1:11" x14ac:dyDescent="0.3">
      <c r="A46" s="127">
        <v>45523</v>
      </c>
      <c r="B46" s="109" t="s">
        <v>20</v>
      </c>
      <c r="C46" s="161">
        <v>7488</v>
      </c>
      <c r="D46" s="161">
        <v>568</v>
      </c>
      <c r="E46" s="161">
        <v>354010</v>
      </c>
      <c r="F46" s="110">
        <v>13.47730290104799</v>
      </c>
      <c r="G46" s="111">
        <f t="shared" si="0"/>
        <v>0.13477302901047991</v>
      </c>
      <c r="H46" s="165">
        <v>6920</v>
      </c>
      <c r="I46" s="111">
        <v>1.9547470410440384E-2</v>
      </c>
      <c r="J46" s="108" t="str" cm="1">
        <f t="array" ref="J46">IFERROR(INDEX(Cleaned_Campaign_Metadata!A$2:A$6,MATCH(1,(A46 &gt;= Cleaned_Campaign_Metadata!B$2:B$6) *(A46 &lt;= Cleaned_Campaign_Metadata!C$2:C$6),0)),"")</f>
        <v/>
      </c>
      <c r="K46" s="157">
        <v>46727</v>
      </c>
    </row>
    <row r="47" spans="1:11" x14ac:dyDescent="0.3">
      <c r="A47" s="126">
        <v>45523</v>
      </c>
      <c r="B47" s="106" t="s">
        <v>20</v>
      </c>
      <c r="C47" s="160">
        <v>7525</v>
      </c>
      <c r="D47" s="160">
        <v>610</v>
      </c>
      <c r="E47" s="160">
        <v>365996</v>
      </c>
      <c r="F47" s="107">
        <v>5.7694619613329108</v>
      </c>
      <c r="G47" s="108">
        <f t="shared" si="0"/>
        <v>5.7694619613329105E-2</v>
      </c>
      <c r="H47" s="164">
        <v>6915</v>
      </c>
      <c r="I47" s="108">
        <v>1.8893649110919244E-2</v>
      </c>
      <c r="J47" s="108" t="str" cm="1">
        <f t="array" ref="J47">IFERROR(INDEX(Cleaned_Campaign_Metadata!A$2:A$6,MATCH(1,(A47 &gt;= Cleaned_Campaign_Metadata!B$2:B$6) *(A47 &lt;= Cleaned_Campaign_Metadata!C$2:C$6),0)),"")</f>
        <v/>
      </c>
      <c r="K47" s="156">
        <v>53543</v>
      </c>
    </row>
    <row r="48" spans="1:11" x14ac:dyDescent="0.3">
      <c r="A48" s="126">
        <v>45523</v>
      </c>
      <c r="B48" s="106" t="s">
        <v>13</v>
      </c>
      <c r="C48" s="160">
        <v>5737</v>
      </c>
      <c r="D48" s="160">
        <v>666</v>
      </c>
      <c r="E48" s="160">
        <v>359081</v>
      </c>
      <c r="F48" s="107">
        <v>4.6034181702735593</v>
      </c>
      <c r="G48" s="108">
        <f t="shared" si="0"/>
        <v>4.6034181702735592E-2</v>
      </c>
      <c r="H48" s="164">
        <v>5071</v>
      </c>
      <c r="I48" s="108">
        <v>1.4122161852061233E-2</v>
      </c>
      <c r="J48" s="108" t="str" cm="1">
        <f t="array" ref="J48">IFERROR(INDEX(Cleaned_Campaign_Metadata!A$2:A$6,MATCH(1,(A48 &gt;= Cleaned_Campaign_Metadata!B$2:B$6) *(A48 &lt;= Cleaned_Campaign_Metadata!C$2:C$6),0)),"")</f>
        <v/>
      </c>
      <c r="K48" s="156">
        <v>21005</v>
      </c>
    </row>
    <row r="49" spans="1:11" x14ac:dyDescent="0.3">
      <c r="A49" s="127">
        <v>45523</v>
      </c>
      <c r="B49" s="109" t="s">
        <v>13</v>
      </c>
      <c r="C49" s="161">
        <v>4850</v>
      </c>
      <c r="D49" s="161">
        <v>494</v>
      </c>
      <c r="E49" s="161">
        <v>370352</v>
      </c>
      <c r="F49" s="110">
        <v>20.46539508359615</v>
      </c>
      <c r="G49" s="111">
        <f t="shared" si="0"/>
        <v>0.2046539508359615</v>
      </c>
      <c r="H49" s="165">
        <v>4356</v>
      </c>
      <c r="I49" s="111">
        <v>1.176178338445587E-2</v>
      </c>
      <c r="J49" s="108" t="str" cm="1">
        <f t="array" ref="J49">IFERROR(INDEX(Cleaned_Campaign_Metadata!A$2:A$6,MATCH(1,(A49 &gt;= Cleaned_Campaign_Metadata!B$2:B$6) *(A49 &lt;= Cleaned_Campaign_Metadata!C$2:C$6),0)),"")</f>
        <v/>
      </c>
      <c r="K49" s="157">
        <v>10161</v>
      </c>
    </row>
    <row r="50" spans="1:11" x14ac:dyDescent="0.3">
      <c r="A50" s="127">
        <v>45530</v>
      </c>
      <c r="B50" s="109" t="s">
        <v>20</v>
      </c>
      <c r="C50" s="161">
        <v>9648</v>
      </c>
      <c r="D50" s="161">
        <v>1417</v>
      </c>
      <c r="E50" s="161">
        <v>385849</v>
      </c>
      <c r="F50" s="110">
        <v>3.6633501706626168</v>
      </c>
      <c r="G50" s="111">
        <f t="shared" si="0"/>
        <v>3.6633501706626166E-2</v>
      </c>
      <c r="H50" s="165">
        <v>8231</v>
      </c>
      <c r="I50" s="111">
        <v>2.1332179168534842E-2</v>
      </c>
      <c r="J50" s="108" t="str" cm="1">
        <f t="array" ref="J50">IFERROR(INDEX(Cleaned_Campaign_Metadata!A$2:A$6,MATCH(1,(A50 &gt;= Cleaned_Campaign_Metadata!B$2:B$6) *(A50 &lt;= Cleaned_Campaign_Metadata!C$2:C$6),0)),"")</f>
        <v/>
      </c>
      <c r="K50" s="157">
        <v>24226</v>
      </c>
    </row>
    <row r="51" spans="1:11" x14ac:dyDescent="0.3">
      <c r="A51" s="127">
        <v>45530</v>
      </c>
      <c r="B51" s="109" t="s">
        <v>17</v>
      </c>
      <c r="C51" s="161">
        <v>1689</v>
      </c>
      <c r="D51" s="161">
        <v>176</v>
      </c>
      <c r="E51" s="161">
        <v>371865</v>
      </c>
      <c r="F51" s="110">
        <v>38.012181840183942</v>
      </c>
      <c r="G51" s="111">
        <f t="shared" si="0"/>
        <v>0.3801218184018394</v>
      </c>
      <c r="H51" s="165">
        <v>1513</v>
      </c>
      <c r="I51" s="111">
        <v>4.068680838476329E-3</v>
      </c>
      <c r="J51" s="108" t="str" cm="1">
        <f t="array" ref="J51">IFERROR(INDEX(Cleaned_Campaign_Metadata!A$2:A$6,MATCH(1,(A51 &gt;= Cleaned_Campaign_Metadata!B$2:B$6) *(A51 &lt;= Cleaned_Campaign_Metadata!C$2:C$6),0)),"")</f>
        <v/>
      </c>
      <c r="K51" s="157">
        <v>26029</v>
      </c>
    </row>
    <row r="52" spans="1:11" x14ac:dyDescent="0.3">
      <c r="A52" s="126">
        <v>45530</v>
      </c>
      <c r="B52" s="106" t="s">
        <v>34</v>
      </c>
      <c r="C52" s="160">
        <v>6175</v>
      </c>
      <c r="D52" s="160">
        <v>422</v>
      </c>
      <c r="E52" s="160">
        <v>377618</v>
      </c>
      <c r="F52" s="107">
        <v>37.86101298137271</v>
      </c>
      <c r="G52" s="108">
        <f t="shared" si="0"/>
        <v>0.3786101298137271</v>
      </c>
      <c r="H52" s="164">
        <v>5753</v>
      </c>
      <c r="I52" s="108">
        <v>1.523497290913039E-2</v>
      </c>
      <c r="J52" s="108" t="str" cm="1">
        <f t="array" ref="J52">IFERROR(INDEX(Cleaned_Campaign_Metadata!A$2:A$6,MATCH(1,(A52 &gt;= Cleaned_Campaign_Metadata!B$2:B$6) *(A52 &lt;= Cleaned_Campaign_Metadata!C$2:C$6),0)),"")</f>
        <v/>
      </c>
      <c r="K52" s="156">
        <v>59745</v>
      </c>
    </row>
    <row r="53" spans="1:11" x14ac:dyDescent="0.3">
      <c r="A53" s="126">
        <v>45530</v>
      </c>
      <c r="B53" s="106" t="s">
        <v>13</v>
      </c>
      <c r="C53" s="160">
        <v>6078</v>
      </c>
      <c r="D53" s="160">
        <v>775</v>
      </c>
      <c r="E53" s="160">
        <v>391152</v>
      </c>
      <c r="F53" s="107">
        <v>37.760512537325639</v>
      </c>
      <c r="G53" s="108">
        <f t="shared" si="0"/>
        <v>0.37760512537325641</v>
      </c>
      <c r="H53" s="164">
        <v>5303</v>
      </c>
      <c r="I53" s="108">
        <v>1.3557389454738823E-2</v>
      </c>
      <c r="J53" s="108" t="str" cm="1">
        <f t="array" ref="J53">IFERROR(INDEX(Cleaned_Campaign_Metadata!A$2:A$6,MATCH(1,(A53 &gt;= Cleaned_Campaign_Metadata!B$2:B$6) *(A53 &lt;= Cleaned_Campaign_Metadata!C$2:C$6),0)),"")</f>
        <v/>
      </c>
      <c r="K53" s="156">
        <v>38731</v>
      </c>
    </row>
    <row r="54" spans="1:11" x14ac:dyDescent="0.3">
      <c r="A54" s="126">
        <v>45537</v>
      </c>
      <c r="B54" s="106" t="s">
        <v>20</v>
      </c>
      <c r="C54" s="160">
        <v>6448</v>
      </c>
      <c r="D54" s="160">
        <v>928</v>
      </c>
      <c r="E54" s="160">
        <v>396672</v>
      </c>
      <c r="F54" s="107">
        <v>30.118586640851881</v>
      </c>
      <c r="G54" s="108">
        <f t="shared" si="0"/>
        <v>0.3011858664085188</v>
      </c>
      <c r="H54" s="164">
        <v>5520</v>
      </c>
      <c r="I54" s="108">
        <v>1.3915779283639884E-2</v>
      </c>
      <c r="J54" s="108" t="str" cm="1">
        <f t="array" ref="J54">IFERROR(INDEX(Cleaned_Campaign_Metadata!A$2:A$6,MATCH(1,(A54 &gt;= Cleaned_Campaign_Metadata!B$2:B$6) *(A54 &lt;= Cleaned_Campaign_Metadata!C$2:C$6),0)),"")</f>
        <v/>
      </c>
      <c r="K54" s="156">
        <v>53922</v>
      </c>
    </row>
    <row r="55" spans="1:11" x14ac:dyDescent="0.3">
      <c r="A55" s="127">
        <v>45537</v>
      </c>
      <c r="B55" s="109" t="s">
        <v>20</v>
      </c>
      <c r="C55" s="161">
        <v>2179</v>
      </c>
      <c r="D55" s="161">
        <v>303</v>
      </c>
      <c r="E55" s="161">
        <v>398548</v>
      </c>
      <c r="F55" s="110">
        <v>33.909842729106657</v>
      </c>
      <c r="G55" s="111">
        <f t="shared" si="0"/>
        <v>0.3390984272910666</v>
      </c>
      <c r="H55" s="165">
        <v>1876</v>
      </c>
      <c r="I55" s="111">
        <v>4.7070867248110645E-3</v>
      </c>
      <c r="J55" s="108" t="str" cm="1">
        <f t="array" ref="J55">IFERROR(INDEX(Cleaned_Campaign_Metadata!A$2:A$6,MATCH(1,(A55 &gt;= Cleaned_Campaign_Metadata!B$2:B$6) *(A55 &lt;= Cleaned_Campaign_Metadata!C$2:C$6),0)),"")</f>
        <v/>
      </c>
      <c r="K55" s="157">
        <v>54848</v>
      </c>
    </row>
    <row r="56" spans="1:11" x14ac:dyDescent="0.3">
      <c r="A56" s="126">
        <v>45537</v>
      </c>
      <c r="B56" s="106" t="s">
        <v>17</v>
      </c>
      <c r="C56" s="160">
        <v>9591</v>
      </c>
      <c r="D56" s="160">
        <v>1363</v>
      </c>
      <c r="E56" s="160">
        <v>413369</v>
      </c>
      <c r="F56" s="107">
        <v>10.494255737609739</v>
      </c>
      <c r="G56" s="108">
        <f t="shared" si="0"/>
        <v>0.1049425573760974</v>
      </c>
      <c r="H56" s="164">
        <v>8228</v>
      </c>
      <c r="I56" s="108">
        <v>1.9904734026983156E-2</v>
      </c>
      <c r="J56" s="108" t="str" cm="1">
        <f t="array" ref="J56">IFERROR(INDEX(Cleaned_Campaign_Metadata!A$2:A$6,MATCH(1,(A56 &gt;= Cleaned_Campaign_Metadata!B$2:B$6) *(A56 &lt;= Cleaned_Campaign_Metadata!C$2:C$6),0)),"")</f>
        <v/>
      </c>
      <c r="K56" s="156">
        <v>15997</v>
      </c>
    </row>
    <row r="57" spans="1:11" x14ac:dyDescent="0.3">
      <c r="A57" s="127">
        <v>45537</v>
      </c>
      <c r="B57" s="109" t="s">
        <v>34</v>
      </c>
      <c r="C57" s="161">
        <v>7406</v>
      </c>
      <c r="D57" s="161">
        <v>813</v>
      </c>
      <c r="E57" s="161">
        <v>405141</v>
      </c>
      <c r="F57" s="110">
        <v>24.457411123534769</v>
      </c>
      <c r="G57" s="111">
        <f t="shared" si="0"/>
        <v>0.2445741112353477</v>
      </c>
      <c r="H57" s="165">
        <v>6593</v>
      </c>
      <c r="I57" s="111">
        <v>1.6273346810122897E-2</v>
      </c>
      <c r="J57" s="108" t="str" cm="1">
        <f t="array" ref="J57">IFERROR(INDEX(Cleaned_Campaign_Metadata!A$2:A$6,MATCH(1,(A57 &gt;= Cleaned_Campaign_Metadata!B$2:B$6) *(A57 &lt;= Cleaned_Campaign_Metadata!C$2:C$6),0)),"")</f>
        <v/>
      </c>
      <c r="K57" s="157">
        <v>13390</v>
      </c>
    </row>
    <row r="58" spans="1:11" x14ac:dyDescent="0.3">
      <c r="A58" s="126">
        <v>45544</v>
      </c>
      <c r="B58" s="106" t="s">
        <v>20</v>
      </c>
      <c r="C58" s="160">
        <v>7907</v>
      </c>
      <c r="D58" s="160">
        <v>465</v>
      </c>
      <c r="E58" s="160">
        <v>420811</v>
      </c>
      <c r="F58" s="107">
        <v>33.257448118038738</v>
      </c>
      <c r="G58" s="108">
        <f t="shared" si="0"/>
        <v>0.3325744811803874</v>
      </c>
      <c r="H58" s="164">
        <v>7442</v>
      </c>
      <c r="I58" s="108">
        <v>1.76848989213685E-2</v>
      </c>
      <c r="J58" s="108" t="str" cm="1">
        <f t="array" ref="J58">IFERROR(INDEX(Cleaned_Campaign_Metadata!A$2:A$6,MATCH(1,(A58 &gt;= Cleaned_Campaign_Metadata!B$2:B$6) *(A58 &lt;= Cleaned_Campaign_Metadata!C$2:C$6),0)),"")</f>
        <v/>
      </c>
      <c r="K58" s="156">
        <v>22693</v>
      </c>
    </row>
    <row r="59" spans="1:11" x14ac:dyDescent="0.3">
      <c r="A59" s="127">
        <v>45544</v>
      </c>
      <c r="B59" s="109" t="s">
        <v>17</v>
      </c>
      <c r="C59" s="161">
        <v>6671</v>
      </c>
      <c r="D59" s="161">
        <v>550</v>
      </c>
      <c r="E59" s="161">
        <v>438545</v>
      </c>
      <c r="F59" s="110">
        <v>17.750287883797562</v>
      </c>
      <c r="G59" s="111">
        <f t="shared" si="0"/>
        <v>0.17750287883797561</v>
      </c>
      <c r="H59" s="165">
        <v>6121</v>
      </c>
      <c r="I59" s="111">
        <v>1.3957518612685129E-2</v>
      </c>
      <c r="J59" s="108" t="str" cm="1">
        <f t="array" ref="J59">IFERROR(INDEX(Cleaned_Campaign_Metadata!A$2:A$6,MATCH(1,(A59 &gt;= Cleaned_Campaign_Metadata!B$2:B$6) *(A59 &lt;= Cleaned_Campaign_Metadata!C$2:C$6),0)),"")</f>
        <v/>
      </c>
      <c r="K59" s="157">
        <v>10541</v>
      </c>
    </row>
    <row r="60" spans="1:11" x14ac:dyDescent="0.3">
      <c r="A60" s="127">
        <v>45544</v>
      </c>
      <c r="B60" s="109" t="s">
        <v>13</v>
      </c>
      <c r="C60" s="161">
        <v>9800</v>
      </c>
      <c r="D60" s="161">
        <v>682</v>
      </c>
      <c r="E60" s="161">
        <v>429929</v>
      </c>
      <c r="F60" s="110">
        <v>6.2966210699906267</v>
      </c>
      <c r="G60" s="111">
        <f t="shared" si="0"/>
        <v>6.2966210699906267E-2</v>
      </c>
      <c r="H60" s="165">
        <v>9118</v>
      </c>
      <c r="I60" s="111">
        <v>2.1208152974095722E-2</v>
      </c>
      <c r="J60" s="108" t="str" cm="1">
        <f t="array" ref="J60">IFERROR(INDEX(Cleaned_Campaign_Metadata!A$2:A$6,MATCH(1,(A60 &gt;= Cleaned_Campaign_Metadata!B$2:B$6) *(A60 &lt;= Cleaned_Campaign_Metadata!C$2:C$6),0)),"")</f>
        <v/>
      </c>
      <c r="K60" s="157">
        <v>59815</v>
      </c>
    </row>
    <row r="61" spans="1:11" x14ac:dyDescent="0.3">
      <c r="A61" s="126">
        <v>45544</v>
      </c>
      <c r="B61" s="106" t="s">
        <v>13</v>
      </c>
      <c r="C61" s="160">
        <v>2638</v>
      </c>
      <c r="D61" s="160">
        <v>143</v>
      </c>
      <c r="E61" s="160">
        <v>432424</v>
      </c>
      <c r="F61" s="107">
        <v>6.9547481175882924</v>
      </c>
      <c r="G61" s="108">
        <f t="shared" si="0"/>
        <v>6.9547481175882928E-2</v>
      </c>
      <c r="H61" s="164">
        <v>2495</v>
      </c>
      <c r="I61" s="108">
        <v>5.7698000111002165E-3</v>
      </c>
      <c r="J61" s="108" t="str" cm="1">
        <f t="array" ref="J61">IFERROR(INDEX(Cleaned_Campaign_Metadata!A$2:A$6,MATCH(1,(A61 &gt;= Cleaned_Campaign_Metadata!B$2:B$6) *(A61 &lt;= Cleaned_Campaign_Metadata!C$2:C$6),0)),"")</f>
        <v/>
      </c>
      <c r="K61" s="156">
        <v>52092</v>
      </c>
    </row>
    <row r="62" spans="1:11" x14ac:dyDescent="0.3">
      <c r="A62" s="126">
        <v>45551</v>
      </c>
      <c r="B62" s="106" t="s">
        <v>17</v>
      </c>
      <c r="C62" s="160">
        <v>2382</v>
      </c>
      <c r="D62" s="160">
        <v>183</v>
      </c>
      <c r="E62" s="160">
        <v>447968</v>
      </c>
      <c r="F62" s="107">
        <v>4.7335970426459033</v>
      </c>
      <c r="G62" s="108">
        <f t="shared" si="0"/>
        <v>4.7335970426459033E-2</v>
      </c>
      <c r="H62" s="164">
        <v>2199</v>
      </c>
      <c r="I62" s="108">
        <v>4.9088327737695546E-3</v>
      </c>
      <c r="J62" s="108" t="str" cm="1">
        <f t="array" ref="J62">IFERROR(INDEX(Cleaned_Campaign_Metadata!A$2:A$6,MATCH(1,(A62 &gt;= Cleaned_Campaign_Metadata!B$2:B$6) *(A62 &lt;= Cleaned_Campaign_Metadata!C$2:C$6),0)),"")</f>
        <v/>
      </c>
      <c r="K62" s="156">
        <v>47861</v>
      </c>
    </row>
    <row r="63" spans="1:11" x14ac:dyDescent="0.3">
      <c r="A63" s="126">
        <v>45551</v>
      </c>
      <c r="B63" s="106" t="s">
        <v>34</v>
      </c>
      <c r="C63" s="160">
        <v>4292</v>
      </c>
      <c r="D63" s="160">
        <v>367</v>
      </c>
      <c r="E63" s="160">
        <v>453977</v>
      </c>
      <c r="F63" s="107">
        <v>3.5037017293827661</v>
      </c>
      <c r="G63" s="108">
        <f t="shared" si="0"/>
        <v>3.503701729382766E-2</v>
      </c>
      <c r="H63" s="164">
        <v>3925</v>
      </c>
      <c r="I63" s="108">
        <v>8.6458124530537899E-3</v>
      </c>
      <c r="J63" s="108" t="str" cm="1">
        <f t="array" ref="J63">IFERROR(INDEX(Cleaned_Campaign_Metadata!A$2:A$6,MATCH(1,(A63 &gt;= Cleaned_Campaign_Metadata!B$2:B$6) *(A63 &lt;= Cleaned_Campaign_Metadata!C$2:C$6),0)),"")</f>
        <v/>
      </c>
      <c r="K63" s="156">
        <v>53934</v>
      </c>
    </row>
    <row r="64" spans="1:11" x14ac:dyDescent="0.3">
      <c r="A64" s="127">
        <v>45551</v>
      </c>
      <c r="B64" s="109" t="s">
        <v>13</v>
      </c>
      <c r="C64" s="161">
        <v>7928</v>
      </c>
      <c r="D64" s="161">
        <v>704</v>
      </c>
      <c r="E64" s="161">
        <v>445769</v>
      </c>
      <c r="F64" s="110">
        <v>11.194362999670229</v>
      </c>
      <c r="G64" s="111">
        <f t="shared" si="0"/>
        <v>0.11194362999670229</v>
      </c>
      <c r="H64" s="165">
        <v>7224</v>
      </c>
      <c r="I64" s="111">
        <v>1.6205702953772022E-2</v>
      </c>
      <c r="J64" s="108" t="str" cm="1">
        <f t="array" ref="J64">IFERROR(INDEX(Cleaned_Campaign_Metadata!A$2:A$6,MATCH(1,(A64 &gt;= Cleaned_Campaign_Metadata!B$2:B$6) *(A64 &lt;= Cleaned_Campaign_Metadata!C$2:C$6),0)),"")</f>
        <v/>
      </c>
      <c r="K64" s="157">
        <v>31817</v>
      </c>
    </row>
    <row r="65" spans="1:11" x14ac:dyDescent="0.3">
      <c r="A65" s="126">
        <v>45551</v>
      </c>
      <c r="B65" s="106" t="s">
        <v>13</v>
      </c>
      <c r="C65" s="160">
        <v>2403</v>
      </c>
      <c r="D65" s="160">
        <v>319</v>
      </c>
      <c r="E65" s="160">
        <v>450052</v>
      </c>
      <c r="F65" s="107">
        <v>29.92120910472568</v>
      </c>
      <c r="G65" s="108">
        <f t="shared" si="0"/>
        <v>0.29921209104725682</v>
      </c>
      <c r="H65" s="164">
        <v>2084</v>
      </c>
      <c r="I65" s="108">
        <v>4.6305760223263092E-3</v>
      </c>
      <c r="J65" s="108" t="str" cm="1">
        <f t="array" ref="J65">IFERROR(INDEX(Cleaned_Campaign_Metadata!A$2:A$6,MATCH(1,(A65 &gt;= Cleaned_Campaign_Metadata!B$2:B$6) *(A65 &lt;= Cleaned_Campaign_Metadata!C$2:C$6),0)),"")</f>
        <v/>
      </c>
      <c r="K65" s="156">
        <v>23428</v>
      </c>
    </row>
    <row r="66" spans="1:11" x14ac:dyDescent="0.3">
      <c r="A66" s="127">
        <v>45558</v>
      </c>
      <c r="B66" s="109" t="s">
        <v>20</v>
      </c>
      <c r="C66" s="161">
        <v>1419</v>
      </c>
      <c r="D66" s="161">
        <v>110</v>
      </c>
      <c r="E66" s="161">
        <v>455286</v>
      </c>
      <c r="F66" s="110">
        <v>31.554451487636339</v>
      </c>
      <c r="G66" s="111">
        <f t="shared" ref="G66:G129" si="1">F66/100</f>
        <v>0.31554451487636337</v>
      </c>
      <c r="H66" s="165">
        <v>1309</v>
      </c>
      <c r="I66" s="111">
        <v>2.8751158612388694E-3</v>
      </c>
      <c r="J66" s="108" t="str" cm="1">
        <f t="array" ref="J66">IFERROR(INDEX(Cleaned_Campaign_Metadata!A$2:A$6,MATCH(1,(A66 &gt;= Cleaned_Campaign_Metadata!B$2:B$6) *(A66 &lt;= Cleaned_Campaign_Metadata!C$2:C$6),0)),"")</f>
        <v/>
      </c>
      <c r="K66" s="157">
        <v>58831</v>
      </c>
    </row>
    <row r="67" spans="1:11" x14ac:dyDescent="0.3">
      <c r="A67" s="126">
        <v>45558</v>
      </c>
      <c r="B67" s="106" t="s">
        <v>20</v>
      </c>
      <c r="C67" s="160">
        <v>4302</v>
      </c>
      <c r="D67" s="160">
        <v>275</v>
      </c>
      <c r="E67" s="160">
        <v>464255</v>
      </c>
      <c r="F67" s="107">
        <v>15.72131694865968</v>
      </c>
      <c r="G67" s="108">
        <f t="shared" si="1"/>
        <v>0.1572131694865968</v>
      </c>
      <c r="H67" s="164">
        <v>4027</v>
      </c>
      <c r="I67" s="108">
        <v>8.6741122874282456E-3</v>
      </c>
      <c r="J67" s="108" t="str" cm="1">
        <f t="array" ref="J67">IFERROR(INDEX(Cleaned_Campaign_Metadata!A$2:A$6,MATCH(1,(A67 &gt;= Cleaned_Campaign_Metadata!B$2:B$6) *(A67 &lt;= Cleaned_Campaign_Metadata!C$2:C$6),0)),"")</f>
        <v/>
      </c>
      <c r="K67" s="156">
        <v>26044</v>
      </c>
    </row>
    <row r="68" spans="1:11" x14ac:dyDescent="0.3">
      <c r="A68" s="127">
        <v>45558</v>
      </c>
      <c r="B68" s="109" t="s">
        <v>20</v>
      </c>
      <c r="C68" s="161">
        <v>8857</v>
      </c>
      <c r="D68" s="161">
        <v>1153</v>
      </c>
      <c r="E68" s="161">
        <v>471959</v>
      </c>
      <c r="F68" s="110">
        <v>19.214592793018038</v>
      </c>
      <c r="G68" s="111">
        <f t="shared" si="1"/>
        <v>0.19214592793018037</v>
      </c>
      <c r="H68" s="165">
        <v>7704</v>
      </c>
      <c r="I68" s="111">
        <v>1.6323451825264481E-2</v>
      </c>
      <c r="J68" s="108" t="str" cm="1">
        <f t="array" ref="J68">IFERROR(INDEX(Cleaned_Campaign_Metadata!A$2:A$6,MATCH(1,(A68 &gt;= Cleaned_Campaign_Metadata!B$2:B$6) *(A68 &lt;= Cleaned_Campaign_Metadata!C$2:C$6),0)),"")</f>
        <v/>
      </c>
      <c r="K68" s="157">
        <v>39411</v>
      </c>
    </row>
    <row r="69" spans="1:11" x14ac:dyDescent="0.3">
      <c r="A69" s="127">
        <v>45558</v>
      </c>
      <c r="B69" s="109" t="s">
        <v>34</v>
      </c>
      <c r="C69" s="161">
        <v>5517</v>
      </c>
      <c r="D69" s="161">
        <v>575</v>
      </c>
      <c r="E69" s="161">
        <v>460228</v>
      </c>
      <c r="F69" s="110">
        <v>29.45844233727631</v>
      </c>
      <c r="G69" s="111">
        <f t="shared" si="1"/>
        <v>0.29458442337276308</v>
      </c>
      <c r="H69" s="165">
        <v>4942</v>
      </c>
      <c r="I69" s="111">
        <v>1.07381558705685E-2</v>
      </c>
      <c r="J69" s="108" t="str" cm="1">
        <f t="array" ref="J69">IFERROR(INDEX(Cleaned_Campaign_Metadata!A$2:A$6,MATCH(1,(A69 &gt;= Cleaned_Campaign_Metadata!B$2:B$6) *(A69 &lt;= Cleaned_Campaign_Metadata!C$2:C$6),0)),"")</f>
        <v/>
      </c>
      <c r="K69" s="157">
        <v>20258</v>
      </c>
    </row>
    <row r="70" spans="1:11" x14ac:dyDescent="0.3">
      <c r="A70" s="126">
        <v>45565</v>
      </c>
      <c r="B70" s="106" t="s">
        <v>20</v>
      </c>
      <c r="C70" s="160">
        <v>8870</v>
      </c>
      <c r="D70" s="160">
        <v>509</v>
      </c>
      <c r="E70" s="160">
        <v>480320</v>
      </c>
      <c r="F70" s="107">
        <v>25.077864756828781</v>
      </c>
      <c r="G70" s="108">
        <f t="shared" si="1"/>
        <v>0.25077864756828783</v>
      </c>
      <c r="H70" s="164">
        <v>8361</v>
      </c>
      <c r="I70" s="108">
        <v>1.7407145236508995E-2</v>
      </c>
      <c r="J70" s="108" t="str" cm="1">
        <f t="array" ref="J70">IFERROR(INDEX(Cleaned_Campaign_Metadata!A$2:A$6,MATCH(1,(A70 &gt;= Cleaned_Campaign_Metadata!B$2:B$6) *(A70 &lt;= Cleaned_Campaign_Metadata!C$2:C$6),0)),"")</f>
        <v/>
      </c>
      <c r="K70" s="156">
        <v>15469</v>
      </c>
    </row>
    <row r="71" spans="1:11" x14ac:dyDescent="0.3">
      <c r="A71" s="127">
        <v>45565</v>
      </c>
      <c r="B71" s="109" t="s">
        <v>20</v>
      </c>
      <c r="C71" s="161">
        <v>1767</v>
      </c>
      <c r="D71" s="161">
        <v>224</v>
      </c>
      <c r="E71" s="161">
        <v>487561</v>
      </c>
      <c r="F71" s="110">
        <v>13.208603641390511</v>
      </c>
      <c r="G71" s="111">
        <f t="shared" si="1"/>
        <v>0.13208603641390509</v>
      </c>
      <c r="H71" s="165">
        <v>1543</v>
      </c>
      <c r="I71" s="111">
        <v>3.1647322078673231E-3</v>
      </c>
      <c r="J71" s="108" t="str" cm="1">
        <f t="array" ref="J71">IFERROR(INDEX(Cleaned_Campaign_Metadata!A$2:A$6,MATCH(1,(A71 &gt;= Cleaned_Campaign_Metadata!B$2:B$6) *(A71 &lt;= Cleaned_Campaign_Metadata!C$2:C$6),0)),"")</f>
        <v/>
      </c>
      <c r="K71" s="157">
        <v>16256</v>
      </c>
    </row>
    <row r="72" spans="1:11" x14ac:dyDescent="0.3">
      <c r="A72" s="126">
        <v>45565</v>
      </c>
      <c r="B72" s="106" t="s">
        <v>34</v>
      </c>
      <c r="C72" s="160">
        <v>6693</v>
      </c>
      <c r="D72" s="160">
        <v>995</v>
      </c>
      <c r="E72" s="160">
        <v>486018</v>
      </c>
      <c r="F72" s="107">
        <v>23.761877132122681</v>
      </c>
      <c r="G72" s="108">
        <f t="shared" si="1"/>
        <v>0.2376187713212268</v>
      </c>
      <c r="H72" s="164">
        <v>5698</v>
      </c>
      <c r="I72" s="108">
        <v>1.1723845618886543E-2</v>
      </c>
      <c r="J72" s="108" t="str" cm="1">
        <f t="array" ref="J72">IFERROR(INDEX(Cleaned_Campaign_Metadata!A$2:A$6,MATCH(1,(A72 &gt;= Cleaned_Campaign_Metadata!B$2:B$6) *(A72 &lt;= Cleaned_Campaign_Metadata!C$2:C$6),0)),"")</f>
        <v/>
      </c>
      <c r="K72" s="156">
        <v>38854</v>
      </c>
    </row>
    <row r="73" spans="1:11" x14ac:dyDescent="0.3">
      <c r="A73" s="127">
        <v>45565</v>
      </c>
      <c r="B73" s="109" t="s">
        <v>34</v>
      </c>
      <c r="C73" s="161">
        <v>3044</v>
      </c>
      <c r="D73" s="161">
        <v>212</v>
      </c>
      <c r="E73" s="161">
        <v>490393</v>
      </c>
      <c r="F73" s="110">
        <v>8.5343795690395261</v>
      </c>
      <c r="G73" s="111">
        <f t="shared" si="1"/>
        <v>8.5343795690395255E-2</v>
      </c>
      <c r="H73" s="165">
        <v>2832</v>
      </c>
      <c r="I73" s="111">
        <v>5.7749600830354431E-3</v>
      </c>
      <c r="J73" s="108" t="str" cm="1">
        <f t="array" ref="J73">IFERROR(INDEX(Cleaned_Campaign_Metadata!A$2:A$6,MATCH(1,(A73 &gt;= Cleaned_Campaign_Metadata!B$2:B$6) *(A73 &lt;= Cleaned_Campaign_Metadata!C$2:C$6),0)),"")</f>
        <v/>
      </c>
      <c r="K73" s="157">
        <v>20720</v>
      </c>
    </row>
    <row r="74" spans="1:11" x14ac:dyDescent="0.3">
      <c r="A74" s="126">
        <v>45572</v>
      </c>
      <c r="B74" s="106" t="s">
        <v>20</v>
      </c>
      <c r="C74" s="160">
        <v>5481</v>
      </c>
      <c r="D74" s="160">
        <v>673</v>
      </c>
      <c r="E74" s="160">
        <v>507970</v>
      </c>
      <c r="F74" s="107">
        <v>13.08758391243577</v>
      </c>
      <c r="G74" s="108">
        <f t="shared" si="1"/>
        <v>0.13087583912435771</v>
      </c>
      <c r="H74" s="164">
        <v>4808</v>
      </c>
      <c r="I74" s="108">
        <v>9.4651258932614123E-3</v>
      </c>
      <c r="J74" s="108" t="str" cm="1">
        <f t="array" ref="J74">IFERROR(INDEX(Cleaned_Campaign_Metadata!A$2:A$6,MATCH(1,(A74 &gt;= Cleaned_Campaign_Metadata!B$2:B$6) *(A74 &lt;= Cleaned_Campaign_Metadata!C$2:C$6),0)),"")</f>
        <v>MacBook Air M3 Campaign</v>
      </c>
      <c r="K74" s="156">
        <v>29194</v>
      </c>
    </row>
    <row r="75" spans="1:11" x14ac:dyDescent="0.3">
      <c r="A75" s="127">
        <v>45572</v>
      </c>
      <c r="B75" s="109" t="s">
        <v>17</v>
      </c>
      <c r="C75" s="161">
        <v>2549</v>
      </c>
      <c r="D75" s="161">
        <v>128</v>
      </c>
      <c r="E75" s="161">
        <v>492814</v>
      </c>
      <c r="F75" s="110">
        <v>12.734216154573531</v>
      </c>
      <c r="G75" s="111">
        <f t="shared" si="1"/>
        <v>0.1273421615457353</v>
      </c>
      <c r="H75" s="165">
        <v>2421</v>
      </c>
      <c r="I75" s="111">
        <v>4.9126039438814641E-3</v>
      </c>
      <c r="J75" s="108" t="str" cm="1">
        <f t="array" ref="J75">IFERROR(INDEX(Cleaned_Campaign_Metadata!A$2:A$6,MATCH(1,(A75 &gt;= Cleaned_Campaign_Metadata!B$2:B$6) *(A75 &lt;= Cleaned_Campaign_Metadata!C$2:C$6),0)),"")</f>
        <v>MacBook Air M3 Campaign</v>
      </c>
      <c r="K75" s="157">
        <v>43937</v>
      </c>
    </row>
    <row r="76" spans="1:11" x14ac:dyDescent="0.3">
      <c r="A76" s="127">
        <v>45572</v>
      </c>
      <c r="B76" s="109" t="s">
        <v>13</v>
      </c>
      <c r="C76" s="161">
        <v>7140</v>
      </c>
      <c r="D76" s="161">
        <v>939</v>
      </c>
      <c r="E76" s="161">
        <v>499015</v>
      </c>
      <c r="F76" s="110">
        <v>25.120888149654821</v>
      </c>
      <c r="G76" s="111">
        <f t="shared" si="1"/>
        <v>0.25120888149654819</v>
      </c>
      <c r="H76" s="165">
        <v>6201</v>
      </c>
      <c r="I76" s="111">
        <v>1.2426480165926877E-2</v>
      </c>
      <c r="J76" s="108" t="str" cm="1">
        <f t="array" ref="J76">IFERROR(INDEX(Cleaned_Campaign_Metadata!A$2:A$6,MATCH(1,(A76 &gt;= Cleaned_Campaign_Metadata!B$2:B$6) *(A76 &lt;= Cleaned_Campaign_Metadata!C$2:C$6),0)),"")</f>
        <v>MacBook Air M3 Campaign</v>
      </c>
      <c r="K76" s="157">
        <v>43598</v>
      </c>
    </row>
    <row r="77" spans="1:11" x14ac:dyDescent="0.3">
      <c r="A77" s="126">
        <v>45572</v>
      </c>
      <c r="B77" s="106" t="s">
        <v>13</v>
      </c>
      <c r="C77" s="160">
        <v>4716</v>
      </c>
      <c r="D77" s="160">
        <v>569</v>
      </c>
      <c r="E77" s="160">
        <v>503162</v>
      </c>
      <c r="F77" s="107">
        <v>25.64820077827817</v>
      </c>
      <c r="G77" s="108">
        <f t="shared" si="1"/>
        <v>0.25648200778278168</v>
      </c>
      <c r="H77" s="164">
        <v>4147</v>
      </c>
      <c r="I77" s="108">
        <v>8.2418783612434963E-3</v>
      </c>
      <c r="J77" s="108" t="str" cm="1">
        <f t="array" ref="J77">IFERROR(INDEX(Cleaned_Campaign_Metadata!A$2:A$6,MATCH(1,(A77 &gt;= Cleaned_Campaign_Metadata!B$2:B$6) *(A77 &lt;= Cleaned_Campaign_Metadata!C$2:C$6),0)),"")</f>
        <v>MacBook Air M3 Campaign</v>
      </c>
      <c r="K77" s="156">
        <v>11651</v>
      </c>
    </row>
    <row r="78" spans="1:11" x14ac:dyDescent="0.3">
      <c r="A78" s="126">
        <v>45579</v>
      </c>
      <c r="B78" s="106" t="s">
        <v>34</v>
      </c>
      <c r="C78" s="160">
        <v>8898</v>
      </c>
      <c r="D78" s="160">
        <v>1131</v>
      </c>
      <c r="E78" s="160">
        <v>515737</v>
      </c>
      <c r="F78" s="107">
        <v>2.1877429775253669</v>
      </c>
      <c r="G78" s="108">
        <f t="shared" si="1"/>
        <v>2.1877429775253671E-2</v>
      </c>
      <c r="H78" s="164">
        <v>7767</v>
      </c>
      <c r="I78" s="108">
        <v>1.5060001512398761E-2</v>
      </c>
      <c r="J78" s="108" t="str" cm="1">
        <f t="array" ref="J78">IFERROR(INDEX(Cleaned_Campaign_Metadata!A$2:A$6,MATCH(1,(A78 &gt;= Cleaned_Campaign_Metadata!B$2:B$6) *(A78 &lt;= Cleaned_Campaign_Metadata!C$2:C$6),0)),"")</f>
        <v>MacBook Air M3 Campaign</v>
      </c>
      <c r="K78" s="156">
        <v>35051</v>
      </c>
    </row>
    <row r="79" spans="1:11" x14ac:dyDescent="0.3">
      <c r="A79" s="127">
        <v>45579</v>
      </c>
      <c r="B79" s="109" t="s">
        <v>34</v>
      </c>
      <c r="C79" s="161">
        <v>3293</v>
      </c>
      <c r="D79" s="161">
        <v>282</v>
      </c>
      <c r="E79" s="161">
        <v>525863</v>
      </c>
      <c r="F79" s="110">
        <v>27.040693108281051</v>
      </c>
      <c r="G79" s="111">
        <f t="shared" si="1"/>
        <v>0.2704069310828105</v>
      </c>
      <c r="H79" s="165">
        <v>3011</v>
      </c>
      <c r="I79" s="111">
        <v>5.7258259280458983E-3</v>
      </c>
      <c r="J79" s="108" t="str" cm="1">
        <f t="array" ref="J79">IFERROR(INDEX(Cleaned_Campaign_Metadata!A$2:A$6,MATCH(1,(A79 &gt;= Cleaned_Campaign_Metadata!B$2:B$6) *(A79 &lt;= Cleaned_Campaign_Metadata!C$2:C$6),0)),"")</f>
        <v>MacBook Air M3 Campaign</v>
      </c>
      <c r="K79" s="157">
        <v>19518</v>
      </c>
    </row>
    <row r="80" spans="1:11" x14ac:dyDescent="0.3">
      <c r="A80" s="126">
        <v>45579</v>
      </c>
      <c r="B80" s="106" t="s">
        <v>34</v>
      </c>
      <c r="C80" s="160">
        <v>5837</v>
      </c>
      <c r="D80" s="160">
        <v>359</v>
      </c>
      <c r="E80" s="160">
        <v>531341</v>
      </c>
      <c r="F80" s="107">
        <v>6.8073045370110723</v>
      </c>
      <c r="G80" s="108">
        <f t="shared" si="1"/>
        <v>6.8073045370110719E-2</v>
      </c>
      <c r="H80" s="164">
        <v>5478</v>
      </c>
      <c r="I80" s="108">
        <v>1.0309763409938251E-2</v>
      </c>
      <c r="J80" s="108" t="str" cm="1">
        <f t="array" ref="J80">IFERROR(INDEX(Cleaned_Campaign_Metadata!A$2:A$6,MATCH(1,(A80 &gt;= Cleaned_Campaign_Metadata!B$2:B$6) *(A80 &lt;= Cleaned_Campaign_Metadata!C$2:C$6),0)),"")</f>
        <v>MacBook Air M3 Campaign</v>
      </c>
      <c r="K80" s="156">
        <v>56026</v>
      </c>
    </row>
    <row r="81" spans="1:11" x14ac:dyDescent="0.3">
      <c r="A81" s="127">
        <v>45579</v>
      </c>
      <c r="B81" s="109" t="s">
        <v>13</v>
      </c>
      <c r="C81" s="161">
        <v>7548</v>
      </c>
      <c r="D81" s="161">
        <v>433</v>
      </c>
      <c r="E81" s="161">
        <v>522852</v>
      </c>
      <c r="F81" s="110">
        <v>8.3562843787534522</v>
      </c>
      <c r="G81" s="111">
        <f t="shared" si="1"/>
        <v>8.3562843787534521E-2</v>
      </c>
      <c r="H81" s="165">
        <v>7115</v>
      </c>
      <c r="I81" s="111">
        <v>1.3608057347012157E-2</v>
      </c>
      <c r="J81" s="108" t="str" cm="1">
        <f t="array" ref="J81">IFERROR(INDEX(Cleaned_Campaign_Metadata!A$2:A$6,MATCH(1,(A81 &gt;= Cleaned_Campaign_Metadata!B$2:B$6) *(A81 &lt;= Cleaned_Campaign_Metadata!C$2:C$6),0)),"")</f>
        <v>MacBook Air M3 Campaign</v>
      </c>
      <c r="K81" s="157">
        <v>37386</v>
      </c>
    </row>
    <row r="82" spans="1:11" x14ac:dyDescent="0.3">
      <c r="A82" s="127">
        <v>45586</v>
      </c>
      <c r="B82" s="109" t="s">
        <v>20</v>
      </c>
      <c r="C82" s="161">
        <v>8758</v>
      </c>
      <c r="D82" s="161">
        <v>1193</v>
      </c>
      <c r="E82" s="161">
        <v>538906</v>
      </c>
      <c r="F82" s="110">
        <v>3.4213758985797149</v>
      </c>
      <c r="G82" s="111">
        <f t="shared" si="1"/>
        <v>3.4213758985797149E-2</v>
      </c>
      <c r="H82" s="165">
        <v>7565</v>
      </c>
      <c r="I82" s="111">
        <v>1.4037698596786824E-2</v>
      </c>
      <c r="J82" s="108" t="str" cm="1">
        <f t="array" ref="J82">IFERROR(INDEX(Cleaned_Campaign_Metadata!A$2:A$6,MATCH(1,(A82 &gt;= Cleaned_Campaign_Metadata!B$2:B$6) *(A82 &lt;= Cleaned_Campaign_Metadata!C$2:C$6),0)),"")</f>
        <v>MacBook Air M3 Campaign</v>
      </c>
      <c r="K82" s="157">
        <v>26184</v>
      </c>
    </row>
    <row r="83" spans="1:11" x14ac:dyDescent="0.3">
      <c r="A83" s="126">
        <v>45586</v>
      </c>
      <c r="B83" s="106" t="s">
        <v>20</v>
      </c>
      <c r="C83" s="160">
        <v>8638</v>
      </c>
      <c r="D83" s="160">
        <v>717</v>
      </c>
      <c r="E83" s="160">
        <v>553745</v>
      </c>
      <c r="F83" s="107">
        <v>26.921416897669499</v>
      </c>
      <c r="G83" s="108">
        <f t="shared" si="1"/>
        <v>0.26921416897669498</v>
      </c>
      <c r="H83" s="164">
        <v>7921</v>
      </c>
      <c r="I83" s="108">
        <v>1.4304418098583283E-2</v>
      </c>
      <c r="J83" s="108" t="str" cm="1">
        <f t="array" ref="J83">IFERROR(INDEX(Cleaned_Campaign_Metadata!A$2:A$6,MATCH(1,(A83 &gt;= Cleaned_Campaign_Metadata!B$2:B$6) *(A83 &lt;= Cleaned_Campaign_Metadata!C$2:C$6),0)),"")</f>
        <v>MacBook Air M3 Campaign</v>
      </c>
      <c r="K83" s="156">
        <v>31621</v>
      </c>
    </row>
    <row r="84" spans="1:11" x14ac:dyDescent="0.3">
      <c r="A84" s="127">
        <v>45586</v>
      </c>
      <c r="B84" s="109" t="s">
        <v>20</v>
      </c>
      <c r="C84" s="161">
        <v>8993</v>
      </c>
      <c r="D84" s="161">
        <v>506</v>
      </c>
      <c r="E84" s="161">
        <v>562232</v>
      </c>
      <c r="F84" s="110">
        <v>3.5131404829323132</v>
      </c>
      <c r="G84" s="111">
        <f t="shared" si="1"/>
        <v>3.5131404829323129E-2</v>
      </c>
      <c r="H84" s="165">
        <v>8487</v>
      </c>
      <c r="I84" s="111">
        <v>1.509519202037593E-2</v>
      </c>
      <c r="J84" s="108" t="str" cm="1">
        <f t="array" ref="J84">IFERROR(INDEX(Cleaned_Campaign_Metadata!A$2:A$6,MATCH(1,(A84 &gt;= Cleaned_Campaign_Metadata!B$2:B$6) *(A84 &lt;= Cleaned_Campaign_Metadata!C$2:C$6),0)),"")</f>
        <v>MacBook Air M3 Campaign</v>
      </c>
      <c r="K84" s="157">
        <v>20028</v>
      </c>
    </row>
    <row r="85" spans="1:11" x14ac:dyDescent="0.3">
      <c r="A85" s="126">
        <v>45586</v>
      </c>
      <c r="B85" s="106" t="s">
        <v>13</v>
      </c>
      <c r="C85" s="160">
        <v>7793</v>
      </c>
      <c r="D85" s="160">
        <v>875</v>
      </c>
      <c r="E85" s="160">
        <v>545824</v>
      </c>
      <c r="F85" s="107">
        <v>5.5136820660139527</v>
      </c>
      <c r="G85" s="108">
        <f t="shared" si="1"/>
        <v>5.5136820660139529E-2</v>
      </c>
      <c r="H85" s="164">
        <v>6918</v>
      </c>
      <c r="I85" s="108">
        <v>1.267441519610717E-2</v>
      </c>
      <c r="J85" s="108" t="str" cm="1">
        <f t="array" ref="J85">IFERROR(INDEX(Cleaned_Campaign_Metadata!A$2:A$6,MATCH(1,(A85 &gt;= Cleaned_Campaign_Metadata!B$2:B$6) *(A85 &lt;= Cleaned_Campaign_Metadata!C$2:C$6),0)),"")</f>
        <v>MacBook Air M3 Campaign</v>
      </c>
      <c r="K85" s="156">
        <v>43787</v>
      </c>
    </row>
    <row r="86" spans="1:11" x14ac:dyDescent="0.3">
      <c r="A86" s="126">
        <v>45593</v>
      </c>
      <c r="B86" s="106" t="s">
        <v>17</v>
      </c>
      <c r="C86" s="160">
        <v>7356</v>
      </c>
      <c r="D86" s="160">
        <v>904</v>
      </c>
      <c r="E86" s="160">
        <v>581126</v>
      </c>
      <c r="F86" s="107">
        <v>17.560907617280929</v>
      </c>
      <c r="G86" s="108">
        <f t="shared" si="1"/>
        <v>0.1756090761728093</v>
      </c>
      <c r="H86" s="164">
        <v>6452</v>
      </c>
      <c r="I86" s="108">
        <v>1.1102583604932494E-2</v>
      </c>
      <c r="J86" s="108" t="str" cm="1">
        <f t="array" ref="J86">IFERROR(INDEX(Cleaned_Campaign_Metadata!A$2:A$6,MATCH(1,(A86 &gt;= Cleaned_Campaign_Metadata!B$2:B$6) *(A86 &lt;= Cleaned_Campaign_Metadata!C$2:C$6),0)),"")</f>
        <v>MacBook Air M3 Campaign</v>
      </c>
      <c r="K86" s="156">
        <v>44051</v>
      </c>
    </row>
    <row r="87" spans="1:11" x14ac:dyDescent="0.3">
      <c r="A87" s="127">
        <v>45593</v>
      </c>
      <c r="B87" s="109" t="s">
        <v>17</v>
      </c>
      <c r="C87" s="161">
        <v>9433</v>
      </c>
      <c r="D87" s="161">
        <v>1073</v>
      </c>
      <c r="E87" s="161">
        <v>589486</v>
      </c>
      <c r="F87" s="110">
        <v>7.2934726185185053</v>
      </c>
      <c r="G87" s="111">
        <f t="shared" si="1"/>
        <v>7.2934726185185053E-2</v>
      </c>
      <c r="H87" s="165">
        <v>8360</v>
      </c>
      <c r="I87" s="111">
        <v>1.4181846557848703E-2</v>
      </c>
      <c r="J87" s="108" t="str" cm="1">
        <f t="array" ref="J87">IFERROR(INDEX(Cleaned_Campaign_Metadata!A$2:A$6,MATCH(1,(A87 &gt;= Cleaned_Campaign_Metadata!B$2:B$6) *(A87 &lt;= Cleaned_Campaign_Metadata!C$2:C$6),0)),"")</f>
        <v>MacBook Air M3 Campaign</v>
      </c>
      <c r="K87" s="157">
        <v>59811</v>
      </c>
    </row>
    <row r="88" spans="1:11" x14ac:dyDescent="0.3">
      <c r="A88" s="127">
        <v>45593</v>
      </c>
      <c r="B88" s="109" t="s">
        <v>13</v>
      </c>
      <c r="C88" s="161">
        <v>7007</v>
      </c>
      <c r="D88" s="161">
        <v>568</v>
      </c>
      <c r="E88" s="161">
        <v>568671</v>
      </c>
      <c r="F88" s="110">
        <v>11.50507059442103</v>
      </c>
      <c r="G88" s="111">
        <f t="shared" si="1"/>
        <v>0.1150507059442103</v>
      </c>
      <c r="H88" s="165">
        <v>6439</v>
      </c>
      <c r="I88" s="111">
        <v>1.1322891443382905E-2</v>
      </c>
      <c r="J88" s="108" t="str" cm="1">
        <f t="array" ref="J88">IFERROR(INDEX(Cleaned_Campaign_Metadata!A$2:A$6,MATCH(1,(A88 &gt;= Cleaned_Campaign_Metadata!B$2:B$6) *(A88 &lt;= Cleaned_Campaign_Metadata!C$2:C$6),0)),"")</f>
        <v>MacBook Air M3 Campaign</v>
      </c>
      <c r="K88" s="157">
        <v>22448</v>
      </c>
    </row>
    <row r="89" spans="1:11" x14ac:dyDescent="0.3">
      <c r="A89" s="126">
        <v>45593</v>
      </c>
      <c r="B89" s="106" t="s">
        <v>13</v>
      </c>
      <c r="C89" s="160">
        <v>6542</v>
      </c>
      <c r="D89" s="160">
        <v>539</v>
      </c>
      <c r="E89" s="160">
        <v>574674</v>
      </c>
      <c r="F89" s="107">
        <v>6.4069368024305948</v>
      </c>
      <c r="G89" s="108">
        <f t="shared" si="1"/>
        <v>6.4069368024305948E-2</v>
      </c>
      <c r="H89" s="164">
        <v>6003</v>
      </c>
      <c r="I89" s="108">
        <v>1.0445922383821088E-2</v>
      </c>
      <c r="J89" s="108" t="str" cm="1">
        <f t="array" ref="J89">IFERROR(INDEX(Cleaned_Campaign_Metadata!A$2:A$6,MATCH(1,(A89 &gt;= Cleaned_Campaign_Metadata!B$2:B$6) *(A89 &lt;= Cleaned_Campaign_Metadata!C$2:C$6),0)),"")</f>
        <v>MacBook Air M3 Campaign</v>
      </c>
      <c r="K89" s="156">
        <v>55253</v>
      </c>
    </row>
    <row r="90" spans="1:11" x14ac:dyDescent="0.3">
      <c r="A90" s="126">
        <v>45600</v>
      </c>
      <c r="B90" s="106" t="s">
        <v>17</v>
      </c>
      <c r="C90" s="160">
        <v>5268</v>
      </c>
      <c r="D90" s="160">
        <v>326</v>
      </c>
      <c r="E90" s="160">
        <v>604702</v>
      </c>
      <c r="F90" s="107">
        <v>23.435841125050029</v>
      </c>
      <c r="G90" s="108">
        <f t="shared" si="1"/>
        <v>0.23435841125050028</v>
      </c>
      <c r="H90" s="164">
        <v>4942</v>
      </c>
      <c r="I90" s="108">
        <v>8.1726205635172366E-3</v>
      </c>
      <c r="J90" s="108" t="str" cm="1">
        <f t="array" ref="J90">IFERROR(INDEX(Cleaned_Campaign_Metadata!A$2:A$6,MATCH(1,(A90 &gt;= Cleaned_Campaign_Metadata!B$2:B$6) *(A90 &lt;= Cleaned_Campaign_Metadata!C$2:C$6),0)),"")</f>
        <v/>
      </c>
      <c r="K90" s="156">
        <v>44501</v>
      </c>
    </row>
    <row r="91" spans="1:11" x14ac:dyDescent="0.3">
      <c r="A91" s="127">
        <v>45600</v>
      </c>
      <c r="B91" s="109" t="s">
        <v>34</v>
      </c>
      <c r="C91" s="161">
        <v>8380</v>
      </c>
      <c r="D91" s="161">
        <v>1162</v>
      </c>
      <c r="E91" s="161">
        <v>596704</v>
      </c>
      <c r="F91" s="110">
        <v>18.05853488496809</v>
      </c>
      <c r="G91" s="111">
        <f t="shared" si="1"/>
        <v>0.18058534884968089</v>
      </c>
      <c r="H91" s="165">
        <v>7218</v>
      </c>
      <c r="I91" s="111">
        <v>1.2096449831072022E-2</v>
      </c>
      <c r="J91" s="108" t="str" cm="1">
        <f t="array" ref="J91">IFERROR(INDEX(Cleaned_Campaign_Metadata!A$2:A$6,MATCH(1,(A91 &gt;= Cleaned_Campaign_Metadata!B$2:B$6) *(A91 &lt;= Cleaned_Campaign_Metadata!C$2:C$6),0)),"")</f>
        <v/>
      </c>
      <c r="K91" s="157">
        <v>40447</v>
      </c>
    </row>
    <row r="92" spans="1:11" x14ac:dyDescent="0.3">
      <c r="A92" s="126">
        <v>45600</v>
      </c>
      <c r="B92" s="106" t="s">
        <v>34</v>
      </c>
      <c r="C92" s="160">
        <v>1671</v>
      </c>
      <c r="D92" s="160">
        <v>202</v>
      </c>
      <c r="E92" s="160">
        <v>606171</v>
      </c>
      <c r="F92" s="107">
        <v>15.150015424690389</v>
      </c>
      <c r="G92" s="108">
        <f t="shared" si="1"/>
        <v>0.15150015424690388</v>
      </c>
      <c r="H92" s="164">
        <v>1469</v>
      </c>
      <c r="I92" s="108">
        <v>2.4234085761278583E-3</v>
      </c>
      <c r="J92" s="108" t="str" cm="1">
        <f t="array" ref="J92">IFERROR(INDEX(Cleaned_Campaign_Metadata!A$2:A$6,MATCH(1,(A92 &gt;= Cleaned_Campaign_Metadata!B$2:B$6) *(A92 &lt;= Cleaned_Campaign_Metadata!C$2:C$6),0)),"")</f>
        <v/>
      </c>
      <c r="K92" s="156">
        <v>40254</v>
      </c>
    </row>
    <row r="93" spans="1:11" x14ac:dyDescent="0.3">
      <c r="A93" s="127">
        <v>45600</v>
      </c>
      <c r="B93" s="109" t="s">
        <v>13</v>
      </c>
      <c r="C93" s="161">
        <v>3385</v>
      </c>
      <c r="D93" s="161">
        <v>329</v>
      </c>
      <c r="E93" s="161">
        <v>599760</v>
      </c>
      <c r="F93" s="110">
        <v>17.61788048552755</v>
      </c>
      <c r="G93" s="111">
        <f t="shared" si="1"/>
        <v>0.17617880485527551</v>
      </c>
      <c r="H93" s="165">
        <v>3056</v>
      </c>
      <c r="I93" s="111">
        <v>5.0953714819261036E-3</v>
      </c>
      <c r="J93" s="108" t="str" cm="1">
        <f t="array" ref="J93">IFERROR(INDEX(Cleaned_Campaign_Metadata!A$2:A$6,MATCH(1,(A93 &gt;= Cleaned_Campaign_Metadata!B$2:B$6) *(A93 &lt;= Cleaned_Campaign_Metadata!C$2:C$6),0)),"")</f>
        <v/>
      </c>
      <c r="K93" s="157">
        <v>28394</v>
      </c>
    </row>
    <row r="94" spans="1:11" x14ac:dyDescent="0.3">
      <c r="A94" s="127">
        <v>45607</v>
      </c>
      <c r="B94" s="109" t="s">
        <v>17</v>
      </c>
      <c r="C94" s="161">
        <v>5592</v>
      </c>
      <c r="D94" s="161">
        <v>710</v>
      </c>
      <c r="E94" s="161">
        <v>620702</v>
      </c>
      <c r="F94" s="110">
        <v>9.07118069540617</v>
      </c>
      <c r="G94" s="111">
        <f t="shared" si="1"/>
        <v>9.0711806954061697E-2</v>
      </c>
      <c r="H94" s="165">
        <v>4882</v>
      </c>
      <c r="I94" s="111">
        <v>7.8652880126050834E-3</v>
      </c>
      <c r="J94" s="108" t="str" cm="1">
        <f t="array" ref="J94">IFERROR(INDEX(Cleaned_Campaign_Metadata!A$2:A$6,MATCH(1,(A94 &gt;= Cleaned_Campaign_Metadata!B$2:B$6) *(A94 &lt;= Cleaned_Campaign_Metadata!C$2:C$6),0)),"")</f>
        <v/>
      </c>
      <c r="K94" s="157">
        <v>24472</v>
      </c>
    </row>
    <row r="95" spans="1:11" x14ac:dyDescent="0.3">
      <c r="A95" s="127">
        <v>45607</v>
      </c>
      <c r="B95" s="109" t="s">
        <v>34</v>
      </c>
      <c r="C95" s="161">
        <v>1163</v>
      </c>
      <c r="D95" s="161">
        <v>146</v>
      </c>
      <c r="E95" s="161">
        <v>607188</v>
      </c>
      <c r="F95" s="110">
        <v>21.77776899411715</v>
      </c>
      <c r="G95" s="111">
        <f t="shared" si="1"/>
        <v>0.2177776899411715</v>
      </c>
      <c r="H95" s="165">
        <v>1017</v>
      </c>
      <c r="I95" s="111">
        <v>1.6749342872388782E-3</v>
      </c>
      <c r="J95" s="108" t="str" cm="1">
        <f t="array" ref="J95">IFERROR(INDEX(Cleaned_Campaign_Metadata!A$2:A$6,MATCH(1,(A95 &gt;= Cleaned_Campaign_Metadata!B$2:B$6) *(A95 &lt;= Cleaned_Campaign_Metadata!C$2:C$6),0)),"")</f>
        <v/>
      </c>
      <c r="K95" s="157">
        <v>28509</v>
      </c>
    </row>
    <row r="96" spans="1:11" x14ac:dyDescent="0.3">
      <c r="A96" s="126">
        <v>45607</v>
      </c>
      <c r="B96" s="106" t="s">
        <v>34</v>
      </c>
      <c r="C96" s="160">
        <v>9656</v>
      </c>
      <c r="D96" s="160">
        <v>1024</v>
      </c>
      <c r="E96" s="160">
        <v>615820</v>
      </c>
      <c r="F96" s="107">
        <v>8.7252768666168681</v>
      </c>
      <c r="G96" s="108">
        <f t="shared" si="1"/>
        <v>8.7252768666168684E-2</v>
      </c>
      <c r="H96" s="164">
        <v>8632</v>
      </c>
      <c r="I96" s="108">
        <v>1.401708291383846E-2</v>
      </c>
      <c r="J96" s="108" t="str" cm="1">
        <f t="array" ref="J96">IFERROR(INDEX(Cleaned_Campaign_Metadata!A$2:A$6,MATCH(1,(A96 &gt;= Cleaned_Campaign_Metadata!B$2:B$6) *(A96 &lt;= Cleaned_Campaign_Metadata!C$2:C$6),0)),"")</f>
        <v/>
      </c>
      <c r="K96" s="156">
        <v>58998</v>
      </c>
    </row>
    <row r="97" spans="1:11" x14ac:dyDescent="0.3">
      <c r="A97" s="126">
        <v>45607</v>
      </c>
      <c r="B97" s="106" t="s">
        <v>13</v>
      </c>
      <c r="C97" s="160">
        <v>5795</v>
      </c>
      <c r="D97" s="160">
        <v>575</v>
      </c>
      <c r="E97" s="160">
        <v>625922</v>
      </c>
      <c r="F97" s="107">
        <v>3.0908004511744269</v>
      </c>
      <c r="G97" s="108">
        <f t="shared" si="1"/>
        <v>3.0908004511744268E-2</v>
      </c>
      <c r="H97" s="164">
        <v>5220</v>
      </c>
      <c r="I97" s="108">
        <v>8.3396972785746461E-3</v>
      </c>
      <c r="J97" s="108" t="str" cm="1">
        <f t="array" ref="J97">IFERROR(INDEX(Cleaned_Campaign_Metadata!A$2:A$6,MATCH(1,(A97 &gt;= Cleaned_Campaign_Metadata!B$2:B$6) *(A97 &lt;= Cleaned_Campaign_Metadata!C$2:C$6),0)),"")</f>
        <v/>
      </c>
      <c r="K97" s="156">
        <v>55657</v>
      </c>
    </row>
    <row r="98" spans="1:11" x14ac:dyDescent="0.3">
      <c r="A98" s="126">
        <v>45614</v>
      </c>
      <c r="B98" s="106" t="s">
        <v>20</v>
      </c>
      <c r="C98" s="160">
        <v>5798</v>
      </c>
      <c r="D98" s="160">
        <v>592</v>
      </c>
      <c r="E98" s="160">
        <v>631128</v>
      </c>
      <c r="F98" s="107">
        <v>1.6774727155188811</v>
      </c>
      <c r="G98" s="108">
        <f t="shared" si="1"/>
        <v>1.6774727155188809E-2</v>
      </c>
      <c r="H98" s="164">
        <v>5206</v>
      </c>
      <c r="I98" s="108">
        <v>8.2487229214992831E-3</v>
      </c>
      <c r="J98" s="108" t="str" cm="1">
        <f t="array" ref="J98">IFERROR(INDEX(Cleaned_Campaign_Metadata!A$2:A$6,MATCH(1,(A98 &gt;= Cleaned_Campaign_Metadata!B$2:B$6) *(A98 &lt;= Cleaned_Campaign_Metadata!C$2:C$6),0)),"")</f>
        <v/>
      </c>
      <c r="K98" s="156">
        <v>13471</v>
      </c>
    </row>
    <row r="99" spans="1:11" x14ac:dyDescent="0.3">
      <c r="A99" s="126">
        <v>45614</v>
      </c>
      <c r="B99" s="106" t="s">
        <v>17</v>
      </c>
      <c r="C99" s="160">
        <v>3355</v>
      </c>
      <c r="D99" s="160">
        <v>176</v>
      </c>
      <c r="E99" s="160">
        <v>640691</v>
      </c>
      <c r="F99" s="107">
        <v>12.426427091999111</v>
      </c>
      <c r="G99" s="108">
        <f t="shared" si="1"/>
        <v>0.12426427091999111</v>
      </c>
      <c r="H99" s="164">
        <v>3179</v>
      </c>
      <c r="I99" s="108">
        <v>4.9618302738761748E-3</v>
      </c>
      <c r="J99" s="108" t="str" cm="1">
        <f t="array" ref="J99">IFERROR(INDEX(Cleaned_Campaign_Metadata!A$2:A$6,MATCH(1,(A99 &gt;= Cleaned_Campaign_Metadata!B$2:B$6) *(A99 &lt;= Cleaned_Campaign_Metadata!C$2:C$6),0)),"")</f>
        <v/>
      </c>
      <c r="K99" s="156">
        <v>40268</v>
      </c>
    </row>
    <row r="100" spans="1:11" x14ac:dyDescent="0.3">
      <c r="A100" s="127">
        <v>45614</v>
      </c>
      <c r="B100" s="109" t="s">
        <v>17</v>
      </c>
      <c r="C100" s="161">
        <v>6887</v>
      </c>
      <c r="D100" s="161">
        <v>418</v>
      </c>
      <c r="E100" s="161">
        <v>647160</v>
      </c>
      <c r="F100" s="110">
        <v>20.240280610668151</v>
      </c>
      <c r="G100" s="111">
        <f t="shared" si="1"/>
        <v>0.20240280610668152</v>
      </c>
      <c r="H100" s="165">
        <v>6469</v>
      </c>
      <c r="I100" s="111">
        <v>9.9959824463811114E-3</v>
      </c>
      <c r="J100" s="108" t="str" cm="1">
        <f t="array" ref="J100">IFERROR(INDEX(Cleaned_Campaign_Metadata!A$2:A$6,MATCH(1,(A100 &gt;= Cleaned_Campaign_Metadata!B$2:B$6) *(A100 &lt;= Cleaned_Campaign_Metadata!C$2:C$6),0)),"")</f>
        <v/>
      </c>
      <c r="K100" s="157">
        <v>18329</v>
      </c>
    </row>
    <row r="101" spans="1:11" x14ac:dyDescent="0.3">
      <c r="A101" s="127">
        <v>45614</v>
      </c>
      <c r="B101" s="109" t="s">
        <v>34</v>
      </c>
      <c r="C101" s="161">
        <v>7036</v>
      </c>
      <c r="D101" s="161">
        <v>652</v>
      </c>
      <c r="E101" s="161">
        <v>637512</v>
      </c>
      <c r="F101" s="110">
        <v>3.5705994553828009</v>
      </c>
      <c r="G101" s="111">
        <f t="shared" si="1"/>
        <v>3.5705994553828009E-2</v>
      </c>
      <c r="H101" s="165">
        <v>6384</v>
      </c>
      <c r="I101" s="111">
        <v>1.0013929149568949E-2</v>
      </c>
      <c r="J101" s="108" t="str" cm="1">
        <f t="array" ref="J101">IFERROR(INDEX(Cleaned_Campaign_Metadata!A$2:A$6,MATCH(1,(A101 &gt;= Cleaned_Campaign_Metadata!B$2:B$6) *(A101 &lt;= Cleaned_Campaign_Metadata!C$2:C$6),0)),"")</f>
        <v/>
      </c>
      <c r="K101" s="157">
        <v>51796</v>
      </c>
    </row>
    <row r="102" spans="1:11" x14ac:dyDescent="0.3">
      <c r="A102" s="127">
        <v>45621</v>
      </c>
      <c r="B102" s="109" t="s">
        <v>20</v>
      </c>
      <c r="C102" s="161">
        <v>8961</v>
      </c>
      <c r="D102" s="161">
        <v>476</v>
      </c>
      <c r="E102" s="161">
        <v>655645</v>
      </c>
      <c r="F102" s="110">
        <v>15.458517947974901</v>
      </c>
      <c r="G102" s="111">
        <f t="shared" si="1"/>
        <v>0.15458517947974901</v>
      </c>
      <c r="H102" s="165">
        <v>8485</v>
      </c>
      <c r="I102" s="111">
        <v>1.2941454598143812E-2</v>
      </c>
      <c r="J102" s="108" t="str" cm="1">
        <f t="array" ref="J102">IFERROR(INDEX(Cleaned_Campaign_Metadata!A$2:A$6,MATCH(1,(A102 &gt;= Cleaned_Campaign_Metadata!B$2:B$6) *(A102 &lt;= Cleaned_Campaign_Metadata!C$2:C$6),0)),"")</f>
        <v/>
      </c>
      <c r="K102" s="157">
        <v>44865</v>
      </c>
    </row>
    <row r="103" spans="1:11" x14ac:dyDescent="0.3">
      <c r="A103" s="126">
        <v>45621</v>
      </c>
      <c r="B103" s="106" t="s">
        <v>20</v>
      </c>
      <c r="C103" s="160">
        <v>6827</v>
      </c>
      <c r="D103" s="160">
        <v>775</v>
      </c>
      <c r="E103" s="160">
        <v>661697</v>
      </c>
      <c r="F103" s="107">
        <v>15.96622018839439</v>
      </c>
      <c r="G103" s="108">
        <f t="shared" si="1"/>
        <v>0.15966220188394389</v>
      </c>
      <c r="H103" s="164">
        <v>6052</v>
      </c>
      <c r="I103" s="108">
        <v>9.1461802003031598E-3</v>
      </c>
      <c r="J103" s="108" t="str" cm="1">
        <f t="array" ref="J103">IFERROR(INDEX(Cleaned_Campaign_Metadata!A$2:A$6,MATCH(1,(A103 &gt;= Cleaned_Campaign_Metadata!B$2:B$6) *(A103 &lt;= Cleaned_Campaign_Metadata!C$2:C$6),0)),"")</f>
        <v/>
      </c>
      <c r="K103" s="156">
        <v>56850</v>
      </c>
    </row>
    <row r="104" spans="1:11" x14ac:dyDescent="0.3">
      <c r="A104" s="126">
        <v>45621</v>
      </c>
      <c r="B104" s="106" t="s">
        <v>17</v>
      </c>
      <c r="C104" s="160">
        <v>9737</v>
      </c>
      <c r="D104" s="160">
        <v>792</v>
      </c>
      <c r="E104" s="160">
        <v>670642</v>
      </c>
      <c r="F104" s="107">
        <v>5.301785453341723</v>
      </c>
      <c r="G104" s="108">
        <f t="shared" si="1"/>
        <v>5.301785453341723E-2</v>
      </c>
      <c r="H104" s="164">
        <v>8945</v>
      </c>
      <c r="I104" s="108">
        <v>1.3337965710468476E-2</v>
      </c>
      <c r="J104" s="108" t="str" cm="1">
        <f t="array" ref="J104">IFERROR(INDEX(Cleaned_Campaign_Metadata!A$2:A$6,MATCH(1,(A104 &gt;= Cleaned_Campaign_Metadata!B$2:B$6) *(A104 &lt;= Cleaned_Campaign_Metadata!C$2:C$6),0)),"")</f>
        <v/>
      </c>
      <c r="K104" s="156">
        <v>56698</v>
      </c>
    </row>
    <row r="105" spans="1:11" x14ac:dyDescent="0.3">
      <c r="A105" s="127">
        <v>45621</v>
      </c>
      <c r="B105" s="109" t="s">
        <v>13</v>
      </c>
      <c r="C105" s="161">
        <v>5719</v>
      </c>
      <c r="D105" s="161">
        <v>576</v>
      </c>
      <c r="E105" s="161">
        <v>675785</v>
      </c>
      <c r="F105" s="110">
        <v>10.21656296011305</v>
      </c>
      <c r="G105" s="111">
        <f t="shared" si="1"/>
        <v>0.1021656296011305</v>
      </c>
      <c r="H105" s="165">
        <v>5143</v>
      </c>
      <c r="I105" s="111">
        <v>7.6104086358827145E-3</v>
      </c>
      <c r="J105" s="108" t="str" cm="1">
        <f t="array" ref="J105">IFERROR(INDEX(Cleaned_Campaign_Metadata!A$2:A$6,MATCH(1,(A105 &gt;= Cleaned_Campaign_Metadata!B$2:B$6) *(A105 &lt;= Cleaned_Campaign_Metadata!C$2:C$6),0)),"")</f>
        <v/>
      </c>
      <c r="K105" s="157">
        <v>38272</v>
      </c>
    </row>
    <row r="106" spans="1:11" x14ac:dyDescent="0.3">
      <c r="A106" s="127">
        <v>45628</v>
      </c>
      <c r="B106" s="109" t="s">
        <v>20</v>
      </c>
      <c r="C106" s="161">
        <v>1593</v>
      </c>
      <c r="D106" s="161">
        <v>224</v>
      </c>
      <c r="E106" s="161">
        <v>677154</v>
      </c>
      <c r="F106" s="110">
        <v>4.1495730660972248</v>
      </c>
      <c r="G106" s="111">
        <f t="shared" si="1"/>
        <v>4.1495730660972251E-2</v>
      </c>
      <c r="H106" s="165">
        <v>1369</v>
      </c>
      <c r="I106" s="111">
        <v>2.0216966893793729E-3</v>
      </c>
      <c r="J106" s="108" t="str" cm="1">
        <f t="array" ref="J106">IFERROR(INDEX(Cleaned_Campaign_Metadata!A$2:A$6,MATCH(1,(A106 &gt;= Cleaned_Campaign_Metadata!B$2:B$6) *(A106 &lt;= Cleaned_Campaign_Metadata!C$2:C$6),0)),"")</f>
        <v/>
      </c>
      <c r="K106" s="157">
        <v>52845</v>
      </c>
    </row>
    <row r="107" spans="1:11" x14ac:dyDescent="0.3">
      <c r="A107" s="126">
        <v>45628</v>
      </c>
      <c r="B107" s="106" t="s">
        <v>20</v>
      </c>
      <c r="C107" s="160">
        <v>8394</v>
      </c>
      <c r="D107" s="160">
        <v>764</v>
      </c>
      <c r="E107" s="160">
        <v>690186</v>
      </c>
      <c r="F107" s="107">
        <v>6.3556780346167558</v>
      </c>
      <c r="G107" s="108">
        <f t="shared" si="1"/>
        <v>6.355678034616756E-2</v>
      </c>
      <c r="H107" s="164">
        <v>7630</v>
      </c>
      <c r="I107" s="108">
        <v>1.1054990973447738E-2</v>
      </c>
      <c r="J107" s="108" t="str" cm="1">
        <f t="array" ref="J107">IFERROR(INDEX(Cleaned_Campaign_Metadata!A$2:A$6,MATCH(1,(A107 &gt;= Cleaned_Campaign_Metadata!B$2:B$6) *(A107 &lt;= Cleaned_Campaign_Metadata!C$2:C$6),0)),"")</f>
        <v/>
      </c>
      <c r="K107" s="156">
        <v>42373</v>
      </c>
    </row>
    <row r="108" spans="1:11" x14ac:dyDescent="0.3">
      <c r="A108" s="127">
        <v>45628</v>
      </c>
      <c r="B108" s="109" t="s">
        <v>17</v>
      </c>
      <c r="C108" s="161">
        <v>5839</v>
      </c>
      <c r="D108" s="161">
        <v>437</v>
      </c>
      <c r="E108" s="161">
        <v>682556</v>
      </c>
      <c r="F108" s="110">
        <v>17.44750613869045</v>
      </c>
      <c r="G108" s="111">
        <f t="shared" si="1"/>
        <v>0.1744750613869045</v>
      </c>
      <c r="H108" s="165">
        <v>5402</v>
      </c>
      <c r="I108" s="111">
        <v>7.9143689309009082E-3</v>
      </c>
      <c r="J108" s="108" t="str" cm="1">
        <f t="array" ref="J108">IFERROR(INDEX(Cleaned_Campaign_Metadata!A$2:A$6,MATCH(1,(A108 &gt;= Cleaned_Campaign_Metadata!B$2:B$6) *(A108 &lt;= Cleaned_Campaign_Metadata!C$2:C$6),0)),"")</f>
        <v/>
      </c>
      <c r="K108" s="157">
        <v>16397</v>
      </c>
    </row>
    <row r="109" spans="1:11" x14ac:dyDescent="0.3">
      <c r="A109" s="126">
        <v>45628</v>
      </c>
      <c r="B109" s="106" t="s">
        <v>13</v>
      </c>
      <c r="C109" s="160">
        <v>4493</v>
      </c>
      <c r="D109" s="160">
        <v>564</v>
      </c>
      <c r="E109" s="160">
        <v>694115</v>
      </c>
      <c r="F109" s="107">
        <v>16.625487131094989</v>
      </c>
      <c r="G109" s="108">
        <f t="shared" si="1"/>
        <v>0.16625487131094988</v>
      </c>
      <c r="H109" s="164">
        <v>3929</v>
      </c>
      <c r="I109" s="108">
        <v>5.660445315257558E-3</v>
      </c>
      <c r="J109" s="108" t="str" cm="1">
        <f t="array" ref="J109">IFERROR(INDEX(Cleaned_Campaign_Metadata!A$2:A$6,MATCH(1,(A109 &gt;= Cleaned_Campaign_Metadata!B$2:B$6) *(A109 &lt;= Cleaned_Campaign_Metadata!C$2:C$6),0)),"")</f>
        <v/>
      </c>
      <c r="K109" s="156">
        <v>45525</v>
      </c>
    </row>
    <row r="110" spans="1:11" x14ac:dyDescent="0.3">
      <c r="A110" s="127">
        <v>45635</v>
      </c>
      <c r="B110" s="109" t="s">
        <v>20</v>
      </c>
      <c r="C110" s="161">
        <v>3672</v>
      </c>
      <c r="D110" s="161">
        <v>211</v>
      </c>
      <c r="E110" s="161">
        <v>704218</v>
      </c>
      <c r="F110" s="110">
        <v>12.35057894004413</v>
      </c>
      <c r="G110" s="111">
        <f t="shared" si="1"/>
        <v>0.1235057894004413</v>
      </c>
      <c r="H110" s="165">
        <v>3461</v>
      </c>
      <c r="I110" s="111">
        <v>4.9146713091684675E-3</v>
      </c>
      <c r="J110" s="108" t="str" cm="1">
        <f t="array" ref="J110">IFERROR(INDEX(Cleaned_Campaign_Metadata!A$2:A$6,MATCH(1,(A110 &gt;= Cleaned_Campaign_Metadata!B$2:B$6) *(A110 &lt;= Cleaned_Campaign_Metadata!C$2:C$6),0)),"")</f>
        <v/>
      </c>
      <c r="K110" s="157">
        <v>28284</v>
      </c>
    </row>
    <row r="111" spans="1:11" x14ac:dyDescent="0.3">
      <c r="A111" s="126">
        <v>45635</v>
      </c>
      <c r="B111" s="106" t="s">
        <v>17</v>
      </c>
      <c r="C111" s="160">
        <v>1016</v>
      </c>
      <c r="D111" s="160">
        <v>67</v>
      </c>
      <c r="E111" s="160">
        <v>709957</v>
      </c>
      <c r="F111" s="107">
        <v>20.774215903216671</v>
      </c>
      <c r="G111" s="108">
        <f t="shared" si="1"/>
        <v>0.20774215903216672</v>
      </c>
      <c r="H111" s="164">
        <v>949</v>
      </c>
      <c r="I111" s="108">
        <v>1.3367006734210664E-3</v>
      </c>
      <c r="J111" s="108" t="str" cm="1">
        <f t="array" ref="J111">IFERROR(INDEX(Cleaned_Campaign_Metadata!A$2:A$6,MATCH(1,(A111 &gt;= Cleaned_Campaign_Metadata!B$2:B$6) *(A111 &lt;= Cleaned_Campaign_Metadata!C$2:C$6),0)),"")</f>
        <v/>
      </c>
      <c r="K111" s="156">
        <v>33284</v>
      </c>
    </row>
    <row r="112" spans="1:11" x14ac:dyDescent="0.3">
      <c r="A112" s="126">
        <v>45635</v>
      </c>
      <c r="B112" s="106" t="s">
        <v>34</v>
      </c>
      <c r="C112" s="160">
        <v>7164</v>
      </c>
      <c r="D112" s="160">
        <v>522</v>
      </c>
      <c r="E112" s="160">
        <v>700757</v>
      </c>
      <c r="F112" s="107">
        <v>13.449169969047761</v>
      </c>
      <c r="G112" s="108">
        <f t="shared" si="1"/>
        <v>0.13449169969047761</v>
      </c>
      <c r="H112" s="164">
        <v>6642</v>
      </c>
      <c r="I112" s="108">
        <v>9.4783213011072308E-3</v>
      </c>
      <c r="J112" s="108" t="str" cm="1">
        <f t="array" ref="J112">IFERROR(INDEX(Cleaned_Campaign_Metadata!A$2:A$6,MATCH(1,(A112 &gt;= Cleaned_Campaign_Metadata!B$2:B$6) *(A112 &lt;= Cleaned_Campaign_Metadata!C$2:C$6),0)),"")</f>
        <v/>
      </c>
      <c r="K112" s="156">
        <v>34570</v>
      </c>
    </row>
    <row r="113" spans="1:11" x14ac:dyDescent="0.3">
      <c r="A113" s="127">
        <v>45635</v>
      </c>
      <c r="B113" s="109" t="s">
        <v>13</v>
      </c>
      <c r="C113" s="161">
        <v>5200</v>
      </c>
      <c r="D113" s="161">
        <v>410</v>
      </c>
      <c r="E113" s="161">
        <v>709008</v>
      </c>
      <c r="F113" s="110">
        <v>12.913394489201821</v>
      </c>
      <c r="G113" s="111">
        <f t="shared" si="1"/>
        <v>0.12913394489201821</v>
      </c>
      <c r="H113" s="165">
        <v>4790</v>
      </c>
      <c r="I113" s="111">
        <v>6.7559181278631555E-3</v>
      </c>
      <c r="J113" s="108" t="str" cm="1">
        <f t="array" ref="J113">IFERROR(INDEX(Cleaned_Campaign_Metadata!A$2:A$6,MATCH(1,(A113 &gt;= Cleaned_Campaign_Metadata!B$2:B$6) *(A113 &lt;= Cleaned_Campaign_Metadata!C$2:C$6),0)),"")</f>
        <v/>
      </c>
      <c r="K113" s="157">
        <v>28994</v>
      </c>
    </row>
    <row r="114" spans="1:11" x14ac:dyDescent="0.3">
      <c r="A114" s="126">
        <v>45642</v>
      </c>
      <c r="B114" s="106" t="s">
        <v>20</v>
      </c>
      <c r="C114" s="160">
        <v>4191</v>
      </c>
      <c r="D114" s="160">
        <v>599</v>
      </c>
      <c r="E114" s="160">
        <v>713549</v>
      </c>
      <c r="F114" s="107">
        <v>11.56416728213479</v>
      </c>
      <c r="G114" s="108">
        <f t="shared" si="1"/>
        <v>0.11564167282134789</v>
      </c>
      <c r="H114" s="164">
        <v>3592</v>
      </c>
      <c r="I114" s="108">
        <v>5.033992059410076E-3</v>
      </c>
      <c r="J114" s="108" t="str" cm="1">
        <f t="array" ref="J114">IFERROR(INDEX(Cleaned_Campaign_Metadata!A$2:A$6,MATCH(1,(A114 &gt;= Cleaned_Campaign_Metadata!B$2:B$6) *(A114 &lt;= Cleaned_Campaign_Metadata!C$2:C$6),0)),"")</f>
        <v/>
      </c>
      <c r="K114" s="156">
        <v>27833</v>
      </c>
    </row>
    <row r="115" spans="1:11" x14ac:dyDescent="0.3">
      <c r="A115" s="127">
        <v>45642</v>
      </c>
      <c r="B115" s="109" t="s">
        <v>20</v>
      </c>
      <c r="C115" s="161">
        <v>1392</v>
      </c>
      <c r="D115" s="161">
        <v>182</v>
      </c>
      <c r="E115" s="161">
        <v>714759</v>
      </c>
      <c r="F115" s="110">
        <v>5.9603306848881932</v>
      </c>
      <c r="G115" s="111">
        <f t="shared" si="1"/>
        <v>5.9603306848881932E-2</v>
      </c>
      <c r="H115" s="165">
        <v>1210</v>
      </c>
      <c r="I115" s="111">
        <v>1.6928782988391892E-3</v>
      </c>
      <c r="J115" s="108" t="str" cm="1">
        <f t="array" ref="J115">IFERROR(INDEX(Cleaned_Campaign_Metadata!A$2:A$6,MATCH(1,(A115 &gt;= Cleaned_Campaign_Metadata!B$2:B$6) *(A115 &lt;= Cleaned_Campaign_Metadata!C$2:C$6),0)),"")</f>
        <v/>
      </c>
      <c r="K115" s="157">
        <v>35122</v>
      </c>
    </row>
    <row r="116" spans="1:11" x14ac:dyDescent="0.3">
      <c r="A116" s="127">
        <v>45642</v>
      </c>
      <c r="B116" s="109" t="s">
        <v>17</v>
      </c>
      <c r="C116" s="161">
        <v>9616</v>
      </c>
      <c r="D116" s="161">
        <v>1089</v>
      </c>
      <c r="E116" s="161">
        <v>723286</v>
      </c>
      <c r="F116" s="110">
        <v>19.25863351426683</v>
      </c>
      <c r="G116" s="111">
        <f t="shared" si="1"/>
        <v>0.19258633514266829</v>
      </c>
      <c r="H116" s="165">
        <v>8527</v>
      </c>
      <c r="I116" s="111">
        <v>1.178925072516266E-2</v>
      </c>
      <c r="J116" s="108" t="str" cm="1">
        <f t="array" ref="J116">IFERROR(INDEX(Cleaned_Campaign_Metadata!A$2:A$6,MATCH(1,(A116 &gt;= Cleaned_Campaign_Metadata!B$2:B$6) *(A116 &lt;= Cleaned_Campaign_Metadata!C$2:C$6),0)),"")</f>
        <v/>
      </c>
      <c r="K116" s="157">
        <v>15017</v>
      </c>
    </row>
    <row r="117" spans="1:11" x14ac:dyDescent="0.3">
      <c r="A117" s="127">
        <v>45642</v>
      </c>
      <c r="B117" s="109" t="s">
        <v>34</v>
      </c>
      <c r="C117" s="161">
        <v>7272</v>
      </c>
      <c r="D117" s="161">
        <v>997</v>
      </c>
      <c r="E117" s="161">
        <v>729561</v>
      </c>
      <c r="F117" s="110">
        <v>13.428486445958599</v>
      </c>
      <c r="G117" s="111">
        <f t="shared" si="1"/>
        <v>0.13428486445958598</v>
      </c>
      <c r="H117" s="165">
        <v>6275</v>
      </c>
      <c r="I117" s="111">
        <v>8.6010628309353167E-3</v>
      </c>
      <c r="J117" s="108" t="str" cm="1">
        <f t="array" ref="J117">IFERROR(INDEX(Cleaned_Campaign_Metadata!A$2:A$6,MATCH(1,(A117 &gt;= Cleaned_Campaign_Metadata!B$2:B$6) *(A117 &lt;= Cleaned_Campaign_Metadata!C$2:C$6),0)),"")</f>
        <v/>
      </c>
      <c r="K117" s="157">
        <v>26370</v>
      </c>
    </row>
    <row r="118" spans="1:11" x14ac:dyDescent="0.3">
      <c r="A118" s="126">
        <v>45649</v>
      </c>
      <c r="B118" s="106" t="s">
        <v>20</v>
      </c>
      <c r="C118" s="160">
        <v>4631</v>
      </c>
      <c r="D118" s="160">
        <v>317</v>
      </c>
      <c r="E118" s="160">
        <v>735242</v>
      </c>
      <c r="F118" s="107">
        <v>1.381177897889402</v>
      </c>
      <c r="G118" s="108">
        <f t="shared" si="1"/>
        <v>1.381177897889402E-2</v>
      </c>
      <c r="H118" s="164">
        <v>4314</v>
      </c>
      <c r="I118" s="108">
        <v>5.8674558852731479E-3</v>
      </c>
      <c r="J118" s="108" t="str" cm="1">
        <f t="array" ref="J118">IFERROR(INDEX(Cleaned_Campaign_Metadata!A$2:A$6,MATCH(1,(A118 &gt;= Cleaned_Campaign_Metadata!B$2:B$6) *(A118 &lt;= Cleaned_Campaign_Metadata!C$2:C$6),0)),"")</f>
        <v/>
      </c>
      <c r="K118" s="156">
        <v>17999</v>
      </c>
    </row>
    <row r="119" spans="1:11" x14ac:dyDescent="0.3">
      <c r="A119" s="126">
        <v>45649</v>
      </c>
      <c r="B119" s="106" t="s">
        <v>17</v>
      </c>
      <c r="C119" s="160">
        <v>1571</v>
      </c>
      <c r="D119" s="160">
        <v>204</v>
      </c>
      <c r="E119" s="160">
        <v>730928</v>
      </c>
      <c r="F119" s="107">
        <v>19.449384891535139</v>
      </c>
      <c r="G119" s="108">
        <f t="shared" si="1"/>
        <v>0.1944938489153514</v>
      </c>
      <c r="H119" s="164">
        <v>1367</v>
      </c>
      <c r="I119" s="108">
        <v>1.8702252479040344E-3</v>
      </c>
      <c r="J119" s="108" t="str" cm="1">
        <f t="array" ref="J119">IFERROR(INDEX(Cleaned_Campaign_Metadata!A$2:A$6,MATCH(1,(A119 &gt;= Cleaned_Campaign_Metadata!B$2:B$6) *(A119 &lt;= Cleaned_Campaign_Metadata!C$2:C$6),0)),"")</f>
        <v/>
      </c>
      <c r="K119" s="156">
        <v>39252</v>
      </c>
    </row>
    <row r="120" spans="1:11" x14ac:dyDescent="0.3">
      <c r="A120" s="127">
        <v>45649</v>
      </c>
      <c r="B120" s="109" t="s">
        <v>17</v>
      </c>
      <c r="C120" s="161">
        <v>7172</v>
      </c>
      <c r="D120" s="161">
        <v>998</v>
      </c>
      <c r="E120" s="161">
        <v>741416</v>
      </c>
      <c r="F120" s="110">
        <v>18.0667803230575</v>
      </c>
      <c r="G120" s="111">
        <f t="shared" si="1"/>
        <v>0.18066780323057499</v>
      </c>
      <c r="H120" s="165">
        <v>6174</v>
      </c>
      <c r="I120" s="111">
        <v>8.32730882527488E-3</v>
      </c>
      <c r="J120" s="108" t="str" cm="1">
        <f t="array" ref="J120">IFERROR(INDEX(Cleaned_Campaign_Metadata!A$2:A$6,MATCH(1,(A120 &gt;= Cleaned_Campaign_Metadata!B$2:B$6) *(A120 &lt;= Cleaned_Campaign_Metadata!C$2:C$6),0)),"")</f>
        <v/>
      </c>
      <c r="K120" s="157">
        <v>32436</v>
      </c>
    </row>
    <row r="121" spans="1:11" x14ac:dyDescent="0.3">
      <c r="A121" s="126">
        <v>45649</v>
      </c>
      <c r="B121" s="106" t="s">
        <v>13</v>
      </c>
      <c r="C121" s="160">
        <v>8177</v>
      </c>
      <c r="D121" s="160">
        <v>849</v>
      </c>
      <c r="E121" s="160">
        <v>748744</v>
      </c>
      <c r="F121" s="107">
        <v>10.34986590877523</v>
      </c>
      <c r="G121" s="108">
        <f t="shared" si="1"/>
        <v>0.1034986590877523</v>
      </c>
      <c r="H121" s="164">
        <v>7328</v>
      </c>
      <c r="I121" s="108">
        <v>9.7870567243276748E-3</v>
      </c>
      <c r="J121" s="108" t="str" cm="1">
        <f t="array" ref="J121">IFERROR(INDEX(Cleaned_Campaign_Metadata!A$2:A$6,MATCH(1,(A121 &gt;= Cleaned_Campaign_Metadata!B$2:B$6) *(A121 &lt;= Cleaned_Campaign_Metadata!C$2:C$6),0)),"")</f>
        <v/>
      </c>
      <c r="K121" s="156">
        <v>52963</v>
      </c>
    </row>
    <row r="122" spans="1:11" x14ac:dyDescent="0.3">
      <c r="A122" s="127">
        <v>45656</v>
      </c>
      <c r="B122" s="109" t="s">
        <v>20</v>
      </c>
      <c r="C122" s="161">
        <v>4897</v>
      </c>
      <c r="D122" s="161">
        <v>683</v>
      </c>
      <c r="E122" s="161">
        <v>761158</v>
      </c>
      <c r="F122" s="110">
        <v>15.06231294947961</v>
      </c>
      <c r="G122" s="111">
        <f t="shared" si="1"/>
        <v>0.15062312949479609</v>
      </c>
      <c r="H122" s="165">
        <v>4214</v>
      </c>
      <c r="I122" s="111">
        <v>5.5363012672795921E-3</v>
      </c>
      <c r="J122" s="108" t="str" cm="1">
        <f t="array" ref="J122">IFERROR(INDEX(Cleaned_Campaign_Metadata!A$2:A$6,MATCH(1,(A122 &gt;= Cleaned_Campaign_Metadata!B$2:B$6) *(A122 &lt;= Cleaned_Campaign_Metadata!C$2:C$6),0)),"")</f>
        <v>Apple Watch Ultra 2 Launch</v>
      </c>
      <c r="K122" s="157">
        <v>58201</v>
      </c>
    </row>
    <row r="123" spans="1:11" x14ac:dyDescent="0.3">
      <c r="A123" s="126">
        <v>45656</v>
      </c>
      <c r="B123" s="106" t="s">
        <v>17</v>
      </c>
      <c r="C123" s="160">
        <v>9433</v>
      </c>
      <c r="D123" s="160">
        <v>1233</v>
      </c>
      <c r="E123" s="160">
        <v>756944</v>
      </c>
      <c r="F123" s="107">
        <v>11.391727789638329</v>
      </c>
      <c r="G123" s="108">
        <f t="shared" si="1"/>
        <v>0.1139172778963833</v>
      </c>
      <c r="H123" s="164">
        <v>8200</v>
      </c>
      <c r="I123" s="108">
        <v>1.0833033883616226E-2</v>
      </c>
      <c r="J123" s="108" t="str" cm="1">
        <f t="array" ref="J123">IFERROR(INDEX(Cleaned_Campaign_Metadata!A$2:A$6,MATCH(1,(A123 &gt;= Cleaned_Campaign_Metadata!B$2:B$6) *(A123 &lt;= Cleaned_Campaign_Metadata!C$2:C$6),0)),"")</f>
        <v>Apple Watch Ultra 2 Launch</v>
      </c>
      <c r="K123" s="156">
        <v>12096</v>
      </c>
    </row>
    <row r="124" spans="1:11" x14ac:dyDescent="0.3">
      <c r="A124" s="127">
        <v>45656</v>
      </c>
      <c r="B124" s="109" t="s">
        <v>17</v>
      </c>
      <c r="C124" s="161">
        <v>9123</v>
      </c>
      <c r="D124" s="161">
        <v>746</v>
      </c>
      <c r="E124" s="161">
        <v>769535</v>
      </c>
      <c r="F124" s="110">
        <v>6.3086149427901264</v>
      </c>
      <c r="G124" s="111">
        <f t="shared" si="1"/>
        <v>6.3086149427901264E-2</v>
      </c>
      <c r="H124" s="165">
        <v>8377</v>
      </c>
      <c r="I124" s="111">
        <v>1.0885794668208723E-2</v>
      </c>
      <c r="J124" s="108" t="str" cm="1">
        <f t="array" ref="J124">IFERROR(INDEX(Cleaned_Campaign_Metadata!A$2:A$6,MATCH(1,(A124 &gt;= Cleaned_Campaign_Metadata!B$2:B$6) *(A124 &lt;= Cleaned_Campaign_Metadata!C$2:C$6),0)),"")</f>
        <v>Apple Watch Ultra 2 Launch</v>
      </c>
      <c r="K124" s="157">
        <v>35279</v>
      </c>
    </row>
    <row r="125" spans="1:11" x14ac:dyDescent="0.3">
      <c r="A125" s="126">
        <v>45656</v>
      </c>
      <c r="B125" s="106" t="s">
        <v>34</v>
      </c>
      <c r="C125" s="160">
        <v>3279</v>
      </c>
      <c r="D125" s="160">
        <v>200</v>
      </c>
      <c r="E125" s="160">
        <v>772614</v>
      </c>
      <c r="F125" s="107">
        <v>5.0212654702089274</v>
      </c>
      <c r="G125" s="108">
        <f t="shared" si="1"/>
        <v>5.0212654702089271E-2</v>
      </c>
      <c r="H125" s="164">
        <v>3079</v>
      </c>
      <c r="I125" s="108">
        <v>3.9851724146857288E-3</v>
      </c>
      <c r="J125" s="108" t="str" cm="1">
        <f t="array" ref="J125">IFERROR(INDEX(Cleaned_Campaign_Metadata!A$2:A$6,MATCH(1,(A125 &gt;= Cleaned_Campaign_Metadata!B$2:B$6) *(A125 &lt;= Cleaned_Campaign_Metadata!C$2:C$6),0)),"")</f>
        <v>Apple Watch Ultra 2 Launch</v>
      </c>
      <c r="K125" s="156">
        <v>53363</v>
      </c>
    </row>
    <row r="126" spans="1:11" x14ac:dyDescent="0.3">
      <c r="A126" s="126">
        <v>45663</v>
      </c>
      <c r="B126" s="106" t="s">
        <v>17</v>
      </c>
      <c r="C126" s="160">
        <v>9980</v>
      </c>
      <c r="D126" s="160">
        <v>726</v>
      </c>
      <c r="E126" s="160">
        <v>781868</v>
      </c>
      <c r="F126" s="107">
        <v>4.0220344099003924</v>
      </c>
      <c r="G126" s="108">
        <f t="shared" si="1"/>
        <v>4.0220344099003921E-2</v>
      </c>
      <c r="H126" s="164">
        <v>9254</v>
      </c>
      <c r="I126" s="108">
        <v>1.1835757442432739E-2</v>
      </c>
      <c r="J126" s="108" t="str" cm="1">
        <f t="array" ref="J126">IFERROR(INDEX(Cleaned_Campaign_Metadata!A$2:A$6,MATCH(1,(A126 &gt;= Cleaned_Campaign_Metadata!B$2:B$6) *(A126 &lt;= Cleaned_Campaign_Metadata!C$2:C$6),0)),"")</f>
        <v>Apple Watch Ultra 2 Launch</v>
      </c>
      <c r="K126" s="156">
        <v>58709</v>
      </c>
    </row>
    <row r="127" spans="1:11" x14ac:dyDescent="0.3">
      <c r="A127" s="127">
        <v>45663</v>
      </c>
      <c r="B127" s="109" t="s">
        <v>34</v>
      </c>
      <c r="C127" s="161">
        <v>8451</v>
      </c>
      <c r="D127" s="161">
        <v>783</v>
      </c>
      <c r="E127" s="161">
        <v>789536</v>
      </c>
      <c r="F127" s="110">
        <v>12.407287318121019</v>
      </c>
      <c r="G127" s="111">
        <f t="shared" si="1"/>
        <v>0.1240728731812102</v>
      </c>
      <c r="H127" s="165">
        <v>7668</v>
      </c>
      <c r="I127" s="111">
        <v>9.7120333968305442E-3</v>
      </c>
      <c r="J127" s="108" t="str" cm="1">
        <f t="array" ref="J127">IFERROR(INDEX(Cleaned_Campaign_Metadata!A$2:A$6,MATCH(1,(A127 &gt;= Cleaned_Campaign_Metadata!B$2:B$6) *(A127 &lt;= Cleaned_Campaign_Metadata!C$2:C$6),0)),"")</f>
        <v>Apple Watch Ultra 2 Launch</v>
      </c>
      <c r="K127" s="157">
        <v>36201</v>
      </c>
    </row>
    <row r="128" spans="1:11" x14ac:dyDescent="0.3">
      <c r="A128" s="126">
        <v>45663</v>
      </c>
      <c r="B128" s="106" t="s">
        <v>34</v>
      </c>
      <c r="C128" s="160">
        <v>1775</v>
      </c>
      <c r="D128" s="160">
        <v>241</v>
      </c>
      <c r="E128" s="160">
        <v>799671</v>
      </c>
      <c r="F128" s="107">
        <v>8.1379717408784362</v>
      </c>
      <c r="G128" s="108">
        <f t="shared" si="1"/>
        <v>8.1379717408784358E-2</v>
      </c>
      <c r="H128" s="164">
        <v>1534</v>
      </c>
      <c r="I128" s="108">
        <v>1.918288896308607E-3</v>
      </c>
      <c r="J128" s="108" t="str" cm="1">
        <f t="array" ref="J128">IFERROR(INDEX(Cleaned_Campaign_Metadata!A$2:A$6,MATCH(1,(A128 &gt;= Cleaned_Campaign_Metadata!B$2:B$6) *(A128 &lt;= Cleaned_Campaign_Metadata!C$2:C$6),0)),"")</f>
        <v>Apple Watch Ultra 2 Launch</v>
      </c>
      <c r="K128" s="156">
        <v>39309</v>
      </c>
    </row>
    <row r="129" spans="1:11" x14ac:dyDescent="0.3">
      <c r="A129" s="127">
        <v>45663</v>
      </c>
      <c r="B129" s="109" t="s">
        <v>13</v>
      </c>
      <c r="C129" s="161">
        <v>9906</v>
      </c>
      <c r="D129" s="161">
        <v>1305</v>
      </c>
      <c r="E129" s="161">
        <v>798137</v>
      </c>
      <c r="F129" s="110">
        <v>9.1811305577864442</v>
      </c>
      <c r="G129" s="111">
        <f t="shared" si="1"/>
        <v>9.1811305577864447E-2</v>
      </c>
      <c r="H129" s="165">
        <v>8601</v>
      </c>
      <c r="I129" s="111">
        <v>1.0776345414383746E-2</v>
      </c>
      <c r="J129" s="108" t="str" cm="1">
        <f t="array" ref="J129">IFERROR(INDEX(Cleaned_Campaign_Metadata!A$2:A$6,MATCH(1,(A129 &gt;= Cleaned_Campaign_Metadata!B$2:B$6) *(A129 &lt;= Cleaned_Campaign_Metadata!C$2:C$6),0)),"")</f>
        <v>Apple Watch Ultra 2 Launch</v>
      </c>
      <c r="K129" s="157">
        <v>29715</v>
      </c>
    </row>
    <row r="130" spans="1:11" x14ac:dyDescent="0.3">
      <c r="A130" s="126">
        <v>45670</v>
      </c>
      <c r="B130" s="106" t="s">
        <v>20</v>
      </c>
      <c r="C130" s="160">
        <v>3247</v>
      </c>
      <c r="D130" s="160">
        <v>328</v>
      </c>
      <c r="E130" s="160">
        <v>810061</v>
      </c>
      <c r="F130" s="107">
        <v>13.941172331466399</v>
      </c>
      <c r="G130" s="108">
        <f t="shared" ref="G130:G193" si="2">F130/100</f>
        <v>0.139411723314664</v>
      </c>
      <c r="H130" s="164">
        <v>2919</v>
      </c>
      <c r="I130" s="108">
        <v>3.6034323341081723E-3</v>
      </c>
      <c r="J130" s="108" t="str" cm="1">
        <f t="array" ref="J130">IFERROR(INDEX(Cleaned_Campaign_Metadata!A$2:A$6,MATCH(1,(A130 &gt;= Cleaned_Campaign_Metadata!B$2:B$6) *(A130 &lt;= Cleaned_Campaign_Metadata!C$2:C$6),0)),"")</f>
        <v/>
      </c>
      <c r="K130" s="156">
        <v>15105</v>
      </c>
    </row>
    <row r="131" spans="1:11" x14ac:dyDescent="0.3">
      <c r="A131" s="127">
        <v>45670</v>
      </c>
      <c r="B131" s="109" t="s">
        <v>17</v>
      </c>
      <c r="C131" s="161">
        <v>7869</v>
      </c>
      <c r="D131" s="161">
        <v>398</v>
      </c>
      <c r="E131" s="161">
        <v>807142</v>
      </c>
      <c r="F131" s="110">
        <v>15.211945357818079</v>
      </c>
      <c r="G131" s="111">
        <f t="shared" si="2"/>
        <v>0.1521194535781808</v>
      </c>
      <c r="H131" s="165">
        <v>7471</v>
      </c>
      <c r="I131" s="111">
        <v>9.2561160241940079E-3</v>
      </c>
      <c r="J131" s="108" t="str" cm="1">
        <f t="array" ref="J131">IFERROR(INDEX(Cleaned_Campaign_Metadata!A$2:A$6,MATCH(1,(A131 &gt;= Cleaned_Campaign_Metadata!B$2:B$6) *(A131 &lt;= Cleaned_Campaign_Metadata!C$2:C$6),0)),"")</f>
        <v/>
      </c>
      <c r="K131" s="157">
        <v>25078</v>
      </c>
    </row>
    <row r="132" spans="1:11" x14ac:dyDescent="0.3">
      <c r="A132" s="127">
        <v>45670</v>
      </c>
      <c r="B132" s="109" t="s">
        <v>34</v>
      </c>
      <c r="C132" s="161">
        <v>8088</v>
      </c>
      <c r="D132" s="161">
        <v>742</v>
      </c>
      <c r="E132" s="161">
        <v>817407</v>
      </c>
      <c r="F132" s="110">
        <v>14.664542877660701</v>
      </c>
      <c r="G132" s="111">
        <f t="shared" si="2"/>
        <v>0.146645428776607</v>
      </c>
      <c r="H132" s="165">
        <v>7346</v>
      </c>
      <c r="I132" s="111">
        <v>8.9869550909155421E-3</v>
      </c>
      <c r="J132" s="108" t="str" cm="1">
        <f t="array" ref="J132">IFERROR(INDEX(Cleaned_Campaign_Metadata!A$2:A$6,MATCH(1,(A132 &gt;= Cleaned_Campaign_Metadata!B$2:B$6) *(A132 &lt;= Cleaned_Campaign_Metadata!C$2:C$6),0)),"")</f>
        <v/>
      </c>
      <c r="K132" s="157">
        <v>39312</v>
      </c>
    </row>
    <row r="133" spans="1:11" x14ac:dyDescent="0.3">
      <c r="A133" s="126">
        <v>45670</v>
      </c>
      <c r="B133" s="106" t="s">
        <v>13</v>
      </c>
      <c r="C133" s="160">
        <v>1078</v>
      </c>
      <c r="D133" s="160">
        <v>77</v>
      </c>
      <c r="E133" s="160">
        <v>818408</v>
      </c>
      <c r="F133" s="107">
        <v>18.236747441373989</v>
      </c>
      <c r="G133" s="108">
        <f t="shared" si="2"/>
        <v>0.18236747441373991</v>
      </c>
      <c r="H133" s="164">
        <v>1001</v>
      </c>
      <c r="I133" s="108">
        <v>1.2231063234963489E-3</v>
      </c>
      <c r="J133" s="108" t="str" cm="1">
        <f t="array" ref="J133">IFERROR(INDEX(Cleaned_Campaign_Metadata!A$2:A$6,MATCH(1,(A133 &gt;= Cleaned_Campaign_Metadata!B$2:B$6) *(A133 &lt;= Cleaned_Campaign_Metadata!C$2:C$6),0)),"")</f>
        <v/>
      </c>
      <c r="K133" s="156">
        <v>12839</v>
      </c>
    </row>
    <row r="134" spans="1:11" x14ac:dyDescent="0.3">
      <c r="A134" s="126">
        <v>45677</v>
      </c>
      <c r="B134" s="106" t="s">
        <v>34</v>
      </c>
      <c r="C134" s="160">
        <v>9080</v>
      </c>
      <c r="D134" s="160">
        <v>562</v>
      </c>
      <c r="E134" s="160">
        <v>826926</v>
      </c>
      <c r="F134" s="107">
        <v>7.1083748727213809</v>
      </c>
      <c r="G134" s="108">
        <f t="shared" si="2"/>
        <v>7.1083748727213805E-2</v>
      </c>
      <c r="H134" s="164">
        <v>8518</v>
      </c>
      <c r="I134" s="108">
        <v>1.0300800797169276E-2</v>
      </c>
      <c r="J134" s="108" t="str" cm="1">
        <f t="array" ref="J134">IFERROR(INDEX(Cleaned_Campaign_Metadata!A$2:A$6,MATCH(1,(A134 &gt;= Cleaned_Campaign_Metadata!B$2:B$6) *(A134 &lt;= Cleaned_Campaign_Metadata!C$2:C$6),0)),"")</f>
        <v/>
      </c>
      <c r="K134" s="156">
        <v>13384</v>
      </c>
    </row>
    <row r="135" spans="1:11" x14ac:dyDescent="0.3">
      <c r="A135" s="127">
        <v>45677</v>
      </c>
      <c r="B135" s="109" t="s">
        <v>34</v>
      </c>
      <c r="C135" s="161">
        <v>8099</v>
      </c>
      <c r="D135" s="161">
        <v>678</v>
      </c>
      <c r="E135" s="161">
        <v>834347</v>
      </c>
      <c r="F135" s="110">
        <v>7.6464588474579518</v>
      </c>
      <c r="G135" s="111">
        <f t="shared" si="2"/>
        <v>7.6464588474579515E-2</v>
      </c>
      <c r="H135" s="165">
        <v>7421</v>
      </c>
      <c r="I135" s="111">
        <v>8.8943808751035247E-3</v>
      </c>
      <c r="J135" s="108" t="str" cm="1">
        <f t="array" ref="J135">IFERROR(INDEX(Cleaned_Campaign_Metadata!A$2:A$6,MATCH(1,(A135 &gt;= Cleaned_Campaign_Metadata!B$2:B$6) *(A135 &lt;= Cleaned_Campaign_Metadata!C$2:C$6),0)),"")</f>
        <v/>
      </c>
      <c r="K135" s="157">
        <v>53619</v>
      </c>
    </row>
    <row r="136" spans="1:11" x14ac:dyDescent="0.3">
      <c r="A136" s="126">
        <v>45677</v>
      </c>
      <c r="B136" s="106" t="s">
        <v>34</v>
      </c>
      <c r="C136" s="160">
        <v>4926</v>
      </c>
      <c r="D136" s="160">
        <v>710</v>
      </c>
      <c r="E136" s="160">
        <v>838563</v>
      </c>
      <c r="F136" s="107">
        <v>12.96217457722318</v>
      </c>
      <c r="G136" s="108">
        <f t="shared" si="2"/>
        <v>0.12962174577223182</v>
      </c>
      <c r="H136" s="164">
        <v>4216</v>
      </c>
      <c r="I136" s="108">
        <v>5.0276484891415433E-3</v>
      </c>
      <c r="J136" s="108" t="str" cm="1">
        <f t="array" ref="J136">IFERROR(INDEX(Cleaned_Campaign_Metadata!A$2:A$6,MATCH(1,(A136 &gt;= Cleaned_Campaign_Metadata!B$2:B$6) *(A136 &lt;= Cleaned_Campaign_Metadata!C$2:C$6),0)),"")</f>
        <v/>
      </c>
      <c r="K136" s="156">
        <v>52821</v>
      </c>
    </row>
    <row r="137" spans="1:11" x14ac:dyDescent="0.3">
      <c r="A137" s="127">
        <v>45677</v>
      </c>
      <c r="B137" s="109" t="s">
        <v>13</v>
      </c>
      <c r="C137" s="161">
        <v>8340</v>
      </c>
      <c r="D137" s="161">
        <v>686</v>
      </c>
      <c r="E137" s="161">
        <v>846217</v>
      </c>
      <c r="F137" s="110">
        <v>7.201344336027284</v>
      </c>
      <c r="G137" s="111">
        <f t="shared" si="2"/>
        <v>7.2013443360272836E-2</v>
      </c>
      <c r="H137" s="165">
        <v>7654</v>
      </c>
      <c r="I137" s="111">
        <v>9.0449612806171465E-3</v>
      </c>
      <c r="J137" s="108" t="str" cm="1">
        <f t="array" ref="J137">IFERROR(INDEX(Cleaned_Campaign_Metadata!A$2:A$6,MATCH(1,(A137 &gt;= Cleaned_Campaign_Metadata!B$2:B$6) *(A137 &lt;= Cleaned_Campaign_Metadata!C$2:C$6),0)),"")</f>
        <v/>
      </c>
      <c r="K137" s="157">
        <v>23493</v>
      </c>
    </row>
    <row r="138" spans="1:11" x14ac:dyDescent="0.3">
      <c r="A138" s="127">
        <v>45684</v>
      </c>
      <c r="B138" s="109" t="s">
        <v>20</v>
      </c>
      <c r="C138" s="161">
        <v>4271</v>
      </c>
      <c r="D138" s="161">
        <v>628</v>
      </c>
      <c r="E138" s="161">
        <v>868909</v>
      </c>
      <c r="F138" s="110">
        <v>11.124410036033691</v>
      </c>
      <c r="G138" s="111">
        <f t="shared" si="2"/>
        <v>0.11124410036033691</v>
      </c>
      <c r="H138" s="165">
        <v>3643</v>
      </c>
      <c r="I138" s="111">
        <v>4.1926139561219876E-3</v>
      </c>
      <c r="J138" s="108" t="str" cm="1">
        <f t="array" ref="J138">IFERROR(INDEX(Cleaned_Campaign_Metadata!A$2:A$6,MATCH(1,(A138 &gt;= Cleaned_Campaign_Metadata!B$2:B$6) *(A138 &lt;= Cleaned_Campaign_Metadata!C$2:C$6),0)),"")</f>
        <v/>
      </c>
      <c r="K138" s="157">
        <v>47051</v>
      </c>
    </row>
    <row r="139" spans="1:11" x14ac:dyDescent="0.3">
      <c r="A139" s="126">
        <v>45684</v>
      </c>
      <c r="B139" s="106" t="s">
        <v>17</v>
      </c>
      <c r="C139" s="160">
        <v>8083</v>
      </c>
      <c r="D139" s="160">
        <v>823</v>
      </c>
      <c r="E139" s="160">
        <v>853477</v>
      </c>
      <c r="F139" s="107">
        <v>4.6300017457998282</v>
      </c>
      <c r="G139" s="108">
        <f t="shared" si="2"/>
        <v>4.6300017457998284E-2</v>
      </c>
      <c r="H139" s="164">
        <v>7260</v>
      </c>
      <c r="I139" s="108">
        <v>8.5063803711172073E-3</v>
      </c>
      <c r="J139" s="108" t="str" cm="1">
        <f t="array" ref="J139">IFERROR(INDEX(Cleaned_Campaign_Metadata!A$2:A$6,MATCH(1,(A139 &gt;= Cleaned_Campaign_Metadata!B$2:B$6) *(A139 &lt;= Cleaned_Campaign_Metadata!C$2:C$6),0)),"")</f>
        <v/>
      </c>
      <c r="K139" s="156">
        <v>27069</v>
      </c>
    </row>
    <row r="140" spans="1:11" x14ac:dyDescent="0.3">
      <c r="A140" s="127">
        <v>45684</v>
      </c>
      <c r="B140" s="109" t="s">
        <v>34</v>
      </c>
      <c r="C140" s="161">
        <v>7230</v>
      </c>
      <c r="D140" s="161">
        <v>869</v>
      </c>
      <c r="E140" s="161">
        <v>859838</v>
      </c>
      <c r="F140" s="110">
        <v>7.0117859410726204</v>
      </c>
      <c r="G140" s="111">
        <f t="shared" si="2"/>
        <v>7.0117859410726208E-2</v>
      </c>
      <c r="H140" s="165">
        <v>6361</v>
      </c>
      <c r="I140" s="111">
        <v>7.397905186791E-3</v>
      </c>
      <c r="J140" s="108" t="str" cm="1">
        <f t="array" ref="J140">IFERROR(INDEX(Cleaned_Campaign_Metadata!A$2:A$6,MATCH(1,(A140 &gt;= Cleaned_Campaign_Metadata!B$2:B$6) *(A140 &lt;= Cleaned_Campaign_Metadata!C$2:C$6),0)),"")</f>
        <v/>
      </c>
      <c r="K140" s="157">
        <v>56907</v>
      </c>
    </row>
    <row r="141" spans="1:11" x14ac:dyDescent="0.3">
      <c r="A141" s="126">
        <v>45684</v>
      </c>
      <c r="B141" s="106" t="s">
        <v>34</v>
      </c>
      <c r="C141" s="160">
        <v>5940</v>
      </c>
      <c r="D141" s="160">
        <v>512</v>
      </c>
      <c r="E141" s="160">
        <v>865266</v>
      </c>
      <c r="F141" s="107">
        <v>15.7972230504839</v>
      </c>
      <c r="G141" s="108">
        <f t="shared" si="2"/>
        <v>0.157972230504839</v>
      </c>
      <c r="H141" s="164">
        <v>5428</v>
      </c>
      <c r="I141" s="108">
        <v>6.2732154042803023E-3</v>
      </c>
      <c r="J141" s="108" t="str" cm="1">
        <f t="array" ref="J141">IFERROR(INDEX(Cleaned_Campaign_Metadata!A$2:A$6,MATCH(1,(A141 &gt;= Cleaned_Campaign_Metadata!B$2:B$6) *(A141 &lt;= Cleaned_Campaign_Metadata!C$2:C$6),0)),"")</f>
        <v/>
      </c>
      <c r="K141" s="156">
        <v>17531</v>
      </c>
    </row>
    <row r="142" spans="1:11" x14ac:dyDescent="0.3">
      <c r="A142" s="127">
        <v>45691</v>
      </c>
      <c r="B142" s="109" t="s">
        <v>34</v>
      </c>
      <c r="C142" s="161">
        <v>8788</v>
      </c>
      <c r="D142" s="161">
        <v>660</v>
      </c>
      <c r="E142" s="161">
        <v>880842</v>
      </c>
      <c r="F142" s="110">
        <v>3.7175793161543158</v>
      </c>
      <c r="G142" s="111">
        <f t="shared" si="2"/>
        <v>3.7175793161543159E-2</v>
      </c>
      <c r="H142" s="165">
        <v>8128</v>
      </c>
      <c r="I142" s="111">
        <v>9.2275345635199051E-3</v>
      </c>
      <c r="J142" s="108" t="str" cm="1">
        <f t="array" ref="J142">IFERROR(INDEX(Cleaned_Campaign_Metadata!A$2:A$6,MATCH(1,(A142 &gt;= Cleaned_Campaign_Metadata!B$2:B$6) *(A142 &lt;= Cleaned_Campaign_Metadata!C$2:C$6),0)),"")</f>
        <v/>
      </c>
      <c r="K142" s="157">
        <v>17710</v>
      </c>
    </row>
    <row r="143" spans="1:11" x14ac:dyDescent="0.3">
      <c r="A143" s="126">
        <v>45691</v>
      </c>
      <c r="B143" s="106" t="s">
        <v>34</v>
      </c>
      <c r="C143" s="160">
        <v>8650</v>
      </c>
      <c r="D143" s="160">
        <v>692</v>
      </c>
      <c r="E143" s="160">
        <v>897442</v>
      </c>
      <c r="F143" s="107">
        <v>7.6673478620345374</v>
      </c>
      <c r="G143" s="108">
        <f t="shared" si="2"/>
        <v>7.6673478620345376E-2</v>
      </c>
      <c r="H143" s="164">
        <v>7958</v>
      </c>
      <c r="I143" s="108">
        <v>8.8674254157928862E-3</v>
      </c>
      <c r="J143" s="108" t="str" cm="1">
        <f t="array" ref="J143">IFERROR(INDEX(Cleaned_Campaign_Metadata!A$2:A$6,MATCH(1,(A143 &gt;= Cleaned_Campaign_Metadata!B$2:B$6) *(A143 &lt;= Cleaned_Campaign_Metadata!C$2:C$6),0)),"")</f>
        <v/>
      </c>
      <c r="K143" s="156">
        <v>23975</v>
      </c>
    </row>
    <row r="144" spans="1:11" x14ac:dyDescent="0.3">
      <c r="A144" s="126">
        <v>45691</v>
      </c>
      <c r="B144" s="106" t="s">
        <v>13</v>
      </c>
      <c r="C144" s="160">
        <v>4456</v>
      </c>
      <c r="D144" s="160">
        <v>651</v>
      </c>
      <c r="E144" s="160">
        <v>872714</v>
      </c>
      <c r="F144" s="107">
        <v>9.5052903929580594</v>
      </c>
      <c r="G144" s="108">
        <f t="shared" si="2"/>
        <v>9.5052903929580601E-2</v>
      </c>
      <c r="H144" s="164">
        <v>3805</v>
      </c>
      <c r="I144" s="108">
        <v>4.3599621410908961E-3</v>
      </c>
      <c r="J144" s="108" t="str" cm="1">
        <f t="array" ref="J144">IFERROR(INDEX(Cleaned_Campaign_Metadata!A$2:A$6,MATCH(1,(A144 &gt;= Cleaned_Campaign_Metadata!B$2:B$6) *(A144 &lt;= Cleaned_Campaign_Metadata!C$2:C$6),0)),"")</f>
        <v/>
      </c>
      <c r="K144" s="156">
        <v>17736</v>
      </c>
    </row>
    <row r="145" spans="1:11" x14ac:dyDescent="0.3">
      <c r="A145" s="127">
        <v>45691</v>
      </c>
      <c r="B145" s="109" t="s">
        <v>13</v>
      </c>
      <c r="C145" s="161">
        <v>9599</v>
      </c>
      <c r="D145" s="161">
        <v>957</v>
      </c>
      <c r="E145" s="161">
        <v>889484</v>
      </c>
      <c r="F145" s="110">
        <v>8.768004820772493</v>
      </c>
      <c r="G145" s="111">
        <f t="shared" si="2"/>
        <v>8.7680048207724931E-2</v>
      </c>
      <c r="H145" s="165">
        <v>8642</v>
      </c>
      <c r="I145" s="111">
        <v>9.7157453085159485E-3</v>
      </c>
      <c r="J145" s="108" t="str" cm="1">
        <f t="array" ref="J145">IFERROR(INDEX(Cleaned_Campaign_Metadata!A$2:A$6,MATCH(1,(A145 &gt;= Cleaned_Campaign_Metadata!B$2:B$6) *(A145 &lt;= Cleaned_Campaign_Metadata!C$2:C$6),0)),"")</f>
        <v/>
      </c>
      <c r="K145" s="157">
        <v>11619</v>
      </c>
    </row>
    <row r="146" spans="1:11" x14ac:dyDescent="0.3">
      <c r="A146" s="127">
        <v>45698</v>
      </c>
      <c r="B146" s="109" t="s">
        <v>17</v>
      </c>
      <c r="C146" s="161">
        <v>3711</v>
      </c>
      <c r="D146" s="161">
        <v>291</v>
      </c>
      <c r="E146" s="161">
        <v>900862</v>
      </c>
      <c r="F146" s="110">
        <v>14.24879726306582</v>
      </c>
      <c r="G146" s="111">
        <f t="shared" si="2"/>
        <v>0.14248797263065818</v>
      </c>
      <c r="H146" s="165">
        <v>3420</v>
      </c>
      <c r="I146" s="111">
        <v>3.7963639269943676E-3</v>
      </c>
      <c r="J146" s="108" t="str" cm="1">
        <f t="array" ref="J146">IFERROR(INDEX(Cleaned_Campaign_Metadata!A$2:A$6,MATCH(1,(A146 &gt;= Cleaned_Campaign_Metadata!B$2:B$6) *(A146 &lt;= Cleaned_Campaign_Metadata!C$2:C$6),0)),"")</f>
        <v/>
      </c>
      <c r="K146" s="157">
        <v>55603</v>
      </c>
    </row>
    <row r="147" spans="1:11" x14ac:dyDescent="0.3">
      <c r="A147" s="126">
        <v>45698</v>
      </c>
      <c r="B147" s="106" t="s">
        <v>17</v>
      </c>
      <c r="C147" s="160">
        <v>2668</v>
      </c>
      <c r="D147" s="160">
        <v>143</v>
      </c>
      <c r="E147" s="160">
        <v>903387</v>
      </c>
      <c r="F147" s="107">
        <v>15.903372530266649</v>
      </c>
      <c r="G147" s="108">
        <f t="shared" si="2"/>
        <v>0.15903372530266649</v>
      </c>
      <c r="H147" s="164">
        <v>2525</v>
      </c>
      <c r="I147" s="108">
        <v>2.795036900021807E-3</v>
      </c>
      <c r="J147" s="108" t="str" cm="1">
        <f t="array" ref="J147">IFERROR(INDEX(Cleaned_Campaign_Metadata!A$2:A$6,MATCH(1,(A147 &gt;= Cleaned_Campaign_Metadata!B$2:B$6) *(A147 &lt;= Cleaned_Campaign_Metadata!C$2:C$6),0)),"")</f>
        <v/>
      </c>
      <c r="K147" s="156">
        <v>33252</v>
      </c>
    </row>
    <row r="148" spans="1:11" x14ac:dyDescent="0.3">
      <c r="A148" s="127">
        <v>45698</v>
      </c>
      <c r="B148" s="109" t="s">
        <v>17</v>
      </c>
      <c r="C148" s="161">
        <v>7420</v>
      </c>
      <c r="D148" s="161">
        <v>743</v>
      </c>
      <c r="E148" s="161">
        <v>911084</v>
      </c>
      <c r="F148" s="110">
        <v>10.593534734448189</v>
      </c>
      <c r="G148" s="111">
        <f t="shared" si="2"/>
        <v>0.1059353473444819</v>
      </c>
      <c r="H148" s="165">
        <v>6677</v>
      </c>
      <c r="I148" s="111">
        <v>7.3286327056561193E-3</v>
      </c>
      <c r="J148" s="108" t="str" cm="1">
        <f t="array" ref="J148">IFERROR(INDEX(Cleaned_Campaign_Metadata!A$2:A$6,MATCH(1,(A148 &gt;= Cleaned_Campaign_Metadata!B$2:B$6) *(A148 &lt;= Cleaned_Campaign_Metadata!C$2:C$6),0)),"")</f>
        <v/>
      </c>
      <c r="K148" s="157">
        <v>11431</v>
      </c>
    </row>
    <row r="149" spans="1:11" x14ac:dyDescent="0.3">
      <c r="A149" s="127">
        <v>45698</v>
      </c>
      <c r="B149" s="109" t="s">
        <v>34</v>
      </c>
      <c r="C149" s="161">
        <v>1147</v>
      </c>
      <c r="D149" s="161">
        <v>127</v>
      </c>
      <c r="E149" s="161">
        <v>904407</v>
      </c>
      <c r="F149" s="110">
        <v>1.3997016829812241</v>
      </c>
      <c r="G149" s="111">
        <f t="shared" si="2"/>
        <v>1.3997016829812241E-2</v>
      </c>
      <c r="H149" s="165">
        <v>1020</v>
      </c>
      <c r="I149" s="111">
        <v>1.1278108196862695E-3</v>
      </c>
      <c r="J149" s="108" t="str" cm="1">
        <f t="array" ref="J149">IFERROR(INDEX(Cleaned_Campaign_Metadata!A$2:A$6,MATCH(1,(A149 &gt;= Cleaned_Campaign_Metadata!B$2:B$6) *(A149 &lt;= Cleaned_Campaign_Metadata!C$2:C$6),0)),"")</f>
        <v/>
      </c>
      <c r="K149" s="157">
        <v>25261</v>
      </c>
    </row>
    <row r="150" spans="1:11" x14ac:dyDescent="0.3">
      <c r="A150" s="126">
        <v>45705</v>
      </c>
      <c r="B150" s="106" t="s">
        <v>20</v>
      </c>
      <c r="C150" s="160">
        <v>6330</v>
      </c>
      <c r="D150" s="160">
        <v>891</v>
      </c>
      <c r="E150" s="160">
        <v>922914</v>
      </c>
      <c r="F150" s="107">
        <v>14.789893749580139</v>
      </c>
      <c r="G150" s="108">
        <f t="shared" si="2"/>
        <v>0.14789893749580141</v>
      </c>
      <c r="H150" s="164">
        <v>5439</v>
      </c>
      <c r="I150" s="108">
        <v>5.8932901657142486E-3</v>
      </c>
      <c r="J150" s="108" t="str" cm="1">
        <f t="array" ref="J150">IFERROR(INDEX(Cleaned_Campaign_Metadata!A$2:A$6,MATCH(1,(A150 &gt;= Cleaned_Campaign_Metadata!B$2:B$6) *(A150 &lt;= Cleaned_Campaign_Metadata!C$2:C$6),0)),"")</f>
        <v/>
      </c>
      <c r="K150" s="156">
        <v>37037</v>
      </c>
    </row>
    <row r="151" spans="1:11" x14ac:dyDescent="0.3">
      <c r="A151" s="127">
        <v>45705</v>
      </c>
      <c r="B151" s="109" t="s">
        <v>20</v>
      </c>
      <c r="C151" s="161">
        <v>6510</v>
      </c>
      <c r="D151" s="161">
        <v>481</v>
      </c>
      <c r="E151" s="161">
        <v>928943</v>
      </c>
      <c r="F151" s="110">
        <v>2.3800168578696428</v>
      </c>
      <c r="G151" s="111">
        <f t="shared" si="2"/>
        <v>2.3800168578696428E-2</v>
      </c>
      <c r="H151" s="165">
        <v>6029</v>
      </c>
      <c r="I151" s="111">
        <v>6.4901721634158397E-3</v>
      </c>
      <c r="J151" s="108" t="str" cm="1">
        <f t="array" ref="J151">IFERROR(INDEX(Cleaned_Campaign_Metadata!A$2:A$6,MATCH(1,(A151 &gt;= Cleaned_Campaign_Metadata!B$2:B$6) *(A151 &lt;= Cleaned_Campaign_Metadata!C$2:C$6),0)),"")</f>
        <v/>
      </c>
      <c r="K151" s="157">
        <v>19557</v>
      </c>
    </row>
    <row r="152" spans="1:11" x14ac:dyDescent="0.3">
      <c r="A152" s="126">
        <v>45705</v>
      </c>
      <c r="B152" s="106" t="s">
        <v>17</v>
      </c>
      <c r="C152" s="160">
        <v>5531</v>
      </c>
      <c r="D152" s="160">
        <v>430</v>
      </c>
      <c r="E152" s="160">
        <v>917475</v>
      </c>
      <c r="F152" s="107">
        <v>2.7289026948963189</v>
      </c>
      <c r="G152" s="108">
        <f t="shared" si="2"/>
        <v>2.728902694896319E-2</v>
      </c>
      <c r="H152" s="164">
        <v>5101</v>
      </c>
      <c r="I152" s="108">
        <v>5.5598245183792472E-3</v>
      </c>
      <c r="J152" s="108" t="str" cm="1">
        <f t="array" ref="J152">IFERROR(INDEX(Cleaned_Campaign_Metadata!A$2:A$6,MATCH(1,(A152 &gt;= Cleaned_Campaign_Metadata!B$2:B$6) *(A152 &lt;= Cleaned_Campaign_Metadata!C$2:C$6),0)),"")</f>
        <v/>
      </c>
      <c r="K152" s="156">
        <v>47481</v>
      </c>
    </row>
    <row r="153" spans="1:11" x14ac:dyDescent="0.3">
      <c r="A153" s="126">
        <v>45705</v>
      </c>
      <c r="B153" s="106" t="s">
        <v>34</v>
      </c>
      <c r="C153" s="160">
        <v>1365</v>
      </c>
      <c r="D153" s="160">
        <v>75</v>
      </c>
      <c r="E153" s="160">
        <v>912374</v>
      </c>
      <c r="F153" s="107">
        <v>9.2688963078737441</v>
      </c>
      <c r="G153" s="108">
        <f t="shared" si="2"/>
        <v>9.2688963078737446E-2</v>
      </c>
      <c r="H153" s="164">
        <v>1290</v>
      </c>
      <c r="I153" s="108">
        <v>1.4138938637006315E-3</v>
      </c>
      <c r="J153" s="108" t="str" cm="1">
        <f t="array" ref="J153">IFERROR(INDEX(Cleaned_Campaign_Metadata!A$2:A$6,MATCH(1,(A153 &gt;= Cleaned_Campaign_Metadata!B$2:B$6) *(A153 &lt;= Cleaned_Campaign_Metadata!C$2:C$6),0)),"")</f>
        <v/>
      </c>
      <c r="K153" s="156">
        <v>19067</v>
      </c>
    </row>
    <row r="154" spans="1:11" x14ac:dyDescent="0.3">
      <c r="A154" s="126">
        <v>45712</v>
      </c>
      <c r="B154" s="106" t="s">
        <v>20</v>
      </c>
      <c r="C154" s="160">
        <v>9754</v>
      </c>
      <c r="D154" s="160">
        <v>629</v>
      </c>
      <c r="E154" s="160">
        <v>938068</v>
      </c>
      <c r="F154" s="107">
        <v>3.4123325814333292</v>
      </c>
      <c r="G154" s="108">
        <f t="shared" si="2"/>
        <v>3.4123325814333291E-2</v>
      </c>
      <c r="H154" s="164">
        <v>9125</v>
      </c>
      <c r="I154" s="108">
        <v>9.7274398018054129E-3</v>
      </c>
      <c r="J154" s="108" t="str" cm="1">
        <f t="array" ref="J154">IFERROR(INDEX(Cleaned_Campaign_Metadata!A$2:A$6,MATCH(1,(A154 &gt;= Cleaned_Campaign_Metadata!B$2:B$6) *(A154 &lt;= Cleaned_Campaign_Metadata!C$2:C$6),0)),"")</f>
        <v/>
      </c>
      <c r="K154" s="156">
        <v>19435</v>
      </c>
    </row>
    <row r="155" spans="1:11" x14ac:dyDescent="0.3">
      <c r="A155" s="127">
        <v>45712</v>
      </c>
      <c r="B155" s="109" t="s">
        <v>20</v>
      </c>
      <c r="C155" s="161">
        <v>6439</v>
      </c>
      <c r="D155" s="161">
        <v>477</v>
      </c>
      <c r="E155" s="161">
        <v>959389</v>
      </c>
      <c r="F155" s="110">
        <v>7.4744446725989153</v>
      </c>
      <c r="G155" s="111">
        <f t="shared" si="2"/>
        <v>7.474444672598915E-2</v>
      </c>
      <c r="H155" s="165">
        <v>5962</v>
      </c>
      <c r="I155" s="111">
        <v>6.2143718554204808E-3</v>
      </c>
      <c r="J155" s="108" t="str" cm="1">
        <f t="array" ref="J155">IFERROR(INDEX(Cleaned_Campaign_Metadata!A$2:A$6,MATCH(1,(A155 &gt;= Cleaned_Campaign_Metadata!B$2:B$6) *(A155 &lt;= Cleaned_Campaign_Metadata!C$2:C$6),0)),"")</f>
        <v/>
      </c>
      <c r="K155" s="157">
        <v>44742</v>
      </c>
    </row>
    <row r="156" spans="1:11" x14ac:dyDescent="0.3">
      <c r="A156" s="126">
        <v>45712</v>
      </c>
      <c r="B156" s="106" t="s">
        <v>13</v>
      </c>
      <c r="C156" s="160">
        <v>9964</v>
      </c>
      <c r="D156" s="160">
        <v>985</v>
      </c>
      <c r="E156" s="160">
        <v>947047</v>
      </c>
      <c r="F156" s="107">
        <v>1.9837452629066989</v>
      </c>
      <c r="G156" s="108">
        <f t="shared" si="2"/>
        <v>1.9837452629066988E-2</v>
      </c>
      <c r="H156" s="164">
        <v>8979</v>
      </c>
      <c r="I156" s="108">
        <v>9.4810500429228957E-3</v>
      </c>
      <c r="J156" s="108" t="str" cm="1">
        <f t="array" ref="J156">IFERROR(INDEX(Cleaned_Campaign_Metadata!A$2:A$6,MATCH(1,(A156 &gt;= Cleaned_Campaign_Metadata!B$2:B$6) *(A156 &lt;= Cleaned_Campaign_Metadata!C$2:C$6),0)),"")</f>
        <v/>
      </c>
      <c r="K156" s="156">
        <v>47766</v>
      </c>
    </row>
    <row r="157" spans="1:11" x14ac:dyDescent="0.3">
      <c r="A157" s="127">
        <v>45712</v>
      </c>
      <c r="B157" s="109" t="s">
        <v>13</v>
      </c>
      <c r="C157" s="161">
        <v>7493</v>
      </c>
      <c r="D157" s="161">
        <v>1113</v>
      </c>
      <c r="E157" s="161">
        <v>953427</v>
      </c>
      <c r="F157" s="110">
        <v>15.684892498324469</v>
      </c>
      <c r="G157" s="111">
        <f t="shared" si="2"/>
        <v>0.15684892498324468</v>
      </c>
      <c r="H157" s="165">
        <v>6380</v>
      </c>
      <c r="I157" s="111">
        <v>6.6916502259743013E-3</v>
      </c>
      <c r="J157" s="108" t="str" cm="1">
        <f t="array" ref="J157">IFERROR(INDEX(Cleaned_Campaign_Metadata!A$2:A$6,MATCH(1,(A157 &gt;= Cleaned_Campaign_Metadata!B$2:B$6) *(A157 &lt;= Cleaned_Campaign_Metadata!C$2:C$6),0)),"")</f>
        <v/>
      </c>
      <c r="K157" s="157">
        <v>10162</v>
      </c>
    </row>
    <row r="158" spans="1:11" x14ac:dyDescent="0.3">
      <c r="A158" s="127">
        <v>45719</v>
      </c>
      <c r="B158" s="109" t="s">
        <v>17</v>
      </c>
      <c r="C158" s="161">
        <v>8504</v>
      </c>
      <c r="D158" s="161">
        <v>1072</v>
      </c>
      <c r="E158" s="161">
        <v>973452</v>
      </c>
      <c r="F158" s="110">
        <v>6.5651927367759271</v>
      </c>
      <c r="G158" s="111">
        <f t="shared" si="2"/>
        <v>6.5651927367759266E-2</v>
      </c>
      <c r="H158" s="165">
        <v>7432</v>
      </c>
      <c r="I158" s="111">
        <v>7.6346856342171983E-3</v>
      </c>
      <c r="J158" s="108" t="str" cm="1">
        <f t="array" ref="J158">IFERROR(INDEX(Cleaned_Campaign_Metadata!A$2:A$6,MATCH(1,(A158 &gt;= Cleaned_Campaign_Metadata!B$2:B$6) *(A158 &lt;= Cleaned_Campaign_Metadata!C$2:C$6),0)),"")</f>
        <v>Sustainability Awareness Drive</v>
      </c>
      <c r="K158" s="157">
        <v>18461</v>
      </c>
    </row>
    <row r="159" spans="1:11" x14ac:dyDescent="0.3">
      <c r="A159" s="127">
        <v>45719</v>
      </c>
      <c r="B159" s="109" t="s">
        <v>34</v>
      </c>
      <c r="C159" s="161">
        <v>2246</v>
      </c>
      <c r="D159" s="161">
        <v>165</v>
      </c>
      <c r="E159" s="161">
        <v>975533</v>
      </c>
      <c r="F159" s="110">
        <v>2.9062061457685191</v>
      </c>
      <c r="G159" s="111">
        <f t="shared" si="2"/>
        <v>2.9062061457685192E-2</v>
      </c>
      <c r="H159" s="165">
        <v>2081</v>
      </c>
      <c r="I159" s="111">
        <v>2.1331928289458173E-3</v>
      </c>
      <c r="J159" s="108" t="str" cm="1">
        <f t="array" ref="J159">IFERROR(INDEX(Cleaned_Campaign_Metadata!A$2:A$6,MATCH(1,(A159 &gt;= Cleaned_Campaign_Metadata!B$2:B$6) *(A159 &lt;= Cleaned_Campaign_Metadata!C$2:C$6),0)),"")</f>
        <v>Sustainability Awareness Drive</v>
      </c>
      <c r="K159" s="157">
        <v>27015</v>
      </c>
    </row>
    <row r="160" spans="1:11" x14ac:dyDescent="0.3">
      <c r="A160" s="126">
        <v>45719</v>
      </c>
      <c r="B160" s="106" t="s">
        <v>34</v>
      </c>
      <c r="C160" s="160">
        <v>4839</v>
      </c>
      <c r="D160" s="160">
        <v>594</v>
      </c>
      <c r="E160" s="160">
        <v>979778</v>
      </c>
      <c r="F160" s="107">
        <v>2.5803804535313102</v>
      </c>
      <c r="G160" s="108">
        <f t="shared" si="2"/>
        <v>2.5803804535313103E-2</v>
      </c>
      <c r="H160" s="164">
        <v>4245</v>
      </c>
      <c r="I160" s="108">
        <v>4.3326141227910814E-3</v>
      </c>
      <c r="J160" s="108" t="str" cm="1">
        <f t="array" ref="J160">IFERROR(INDEX(Cleaned_Campaign_Metadata!A$2:A$6,MATCH(1,(A160 &gt;= Cleaned_Campaign_Metadata!B$2:B$6) *(A160 &lt;= Cleaned_Campaign_Metadata!C$2:C$6),0)),"")</f>
        <v>Sustainability Awareness Drive</v>
      </c>
      <c r="K160" s="156">
        <v>42591</v>
      </c>
    </row>
    <row r="161" spans="1:11" x14ac:dyDescent="0.3">
      <c r="A161" s="126">
        <v>45719</v>
      </c>
      <c r="B161" s="106" t="s">
        <v>13</v>
      </c>
      <c r="C161" s="160">
        <v>7511</v>
      </c>
      <c r="D161" s="160">
        <v>880</v>
      </c>
      <c r="E161" s="160">
        <v>966020</v>
      </c>
      <c r="F161" s="107">
        <v>4.6083932009689246</v>
      </c>
      <c r="G161" s="108">
        <f t="shared" si="2"/>
        <v>4.6083932009689244E-2</v>
      </c>
      <c r="H161" s="164">
        <v>6631</v>
      </c>
      <c r="I161" s="108">
        <v>6.8642471170369144E-3</v>
      </c>
      <c r="J161" s="108" t="str" cm="1">
        <f t="array" ref="J161">IFERROR(INDEX(Cleaned_Campaign_Metadata!A$2:A$6,MATCH(1,(A161 &gt;= Cleaned_Campaign_Metadata!B$2:B$6) *(A161 &lt;= Cleaned_Campaign_Metadata!C$2:C$6),0)),"")</f>
        <v>Sustainability Awareness Drive</v>
      </c>
      <c r="K161" s="156">
        <v>29675</v>
      </c>
    </row>
    <row r="162" spans="1:11" x14ac:dyDescent="0.3">
      <c r="A162" s="126">
        <v>45726</v>
      </c>
      <c r="B162" s="106" t="s">
        <v>20</v>
      </c>
      <c r="C162" s="160">
        <v>3376</v>
      </c>
      <c r="D162" s="160">
        <v>382</v>
      </c>
      <c r="E162" s="160">
        <v>991495</v>
      </c>
      <c r="F162" s="107">
        <v>3.8694093263203548</v>
      </c>
      <c r="G162" s="108">
        <f t="shared" si="2"/>
        <v>3.8694093263203548E-2</v>
      </c>
      <c r="H162" s="164">
        <v>2994</v>
      </c>
      <c r="I162" s="108">
        <v>3.0196823988018094E-3</v>
      </c>
      <c r="J162" s="108" t="str" cm="1">
        <f t="array" ref="J162">IFERROR(INDEX(Cleaned_Campaign_Metadata!A$2:A$6,MATCH(1,(A162 &gt;= Cleaned_Campaign_Metadata!B$2:B$6) *(A162 &lt;= Cleaned_Campaign_Metadata!C$2:C$6),0)),"")</f>
        <v>Sustainability Awareness Drive</v>
      </c>
      <c r="K162" s="156">
        <v>44782</v>
      </c>
    </row>
    <row r="163" spans="1:11" x14ac:dyDescent="0.3">
      <c r="A163" s="126">
        <v>45726</v>
      </c>
      <c r="B163" s="106" t="s">
        <v>17</v>
      </c>
      <c r="C163" s="160">
        <v>2827</v>
      </c>
      <c r="D163" s="160">
        <v>292</v>
      </c>
      <c r="E163" s="160">
        <v>997585</v>
      </c>
      <c r="F163" s="107">
        <v>2.4004972007397871</v>
      </c>
      <c r="G163" s="108">
        <f t="shared" si="2"/>
        <v>2.400497200739787E-2</v>
      </c>
      <c r="H163" s="164">
        <v>2535</v>
      </c>
      <c r="I163" s="108">
        <v>2.5411368454818384E-3</v>
      </c>
      <c r="J163" s="108" t="str" cm="1">
        <f t="array" ref="J163">IFERROR(INDEX(Cleaned_Campaign_Metadata!A$2:A$6,MATCH(1,(A163 &gt;= Cleaned_Campaign_Metadata!B$2:B$6) *(A163 &lt;= Cleaned_Campaign_Metadata!C$2:C$6),0)),"")</f>
        <v>Sustainability Awareness Drive</v>
      </c>
      <c r="K163" s="156">
        <v>17896</v>
      </c>
    </row>
    <row r="164" spans="1:11" x14ac:dyDescent="0.3">
      <c r="A164" s="127">
        <v>45726</v>
      </c>
      <c r="B164" s="109" t="s">
        <v>34</v>
      </c>
      <c r="C164" s="161">
        <v>9551</v>
      </c>
      <c r="D164" s="161">
        <v>828</v>
      </c>
      <c r="E164" s="161">
        <v>988501</v>
      </c>
      <c r="F164" s="110">
        <v>1.525036393488727</v>
      </c>
      <c r="G164" s="111">
        <f t="shared" si="2"/>
        <v>1.5250363934887269E-2</v>
      </c>
      <c r="H164" s="165">
        <v>8723</v>
      </c>
      <c r="I164" s="111">
        <v>8.8244726105487E-3</v>
      </c>
      <c r="J164" s="108" t="str" cm="1">
        <f t="array" ref="J164">IFERROR(INDEX(Cleaned_Campaign_Metadata!A$2:A$6,MATCH(1,(A164 &gt;= Cleaned_Campaign_Metadata!B$2:B$6) *(A164 &lt;= Cleaned_Campaign_Metadata!C$2:C$6),0)),"")</f>
        <v>Sustainability Awareness Drive</v>
      </c>
      <c r="K164" s="157">
        <v>38047</v>
      </c>
    </row>
    <row r="165" spans="1:11" x14ac:dyDescent="0.3">
      <c r="A165" s="127">
        <v>45726</v>
      </c>
      <c r="B165" s="109" t="s">
        <v>13</v>
      </c>
      <c r="C165" s="161">
        <v>4009</v>
      </c>
      <c r="D165" s="161">
        <v>454</v>
      </c>
      <c r="E165" s="161">
        <v>995050</v>
      </c>
      <c r="F165" s="110">
        <v>2.1106477061454201</v>
      </c>
      <c r="G165" s="111">
        <f t="shared" si="2"/>
        <v>2.1106477061454201E-2</v>
      </c>
      <c r="H165" s="165">
        <v>3555</v>
      </c>
      <c r="I165" s="111">
        <v>3.5726847897090599E-3</v>
      </c>
      <c r="J165" s="108" t="str" cm="1">
        <f t="array" ref="J165">IFERROR(INDEX(Cleaned_Campaign_Metadata!A$2:A$6,MATCH(1,(A165 &gt;= Cleaned_Campaign_Metadata!B$2:B$6) *(A165 &lt;= Cleaned_Campaign_Metadata!C$2:C$6),0)),"")</f>
        <v>Sustainability Awareness Drive</v>
      </c>
      <c r="K165" s="157">
        <v>19833</v>
      </c>
    </row>
    <row r="166" spans="1:11" x14ac:dyDescent="0.3">
      <c r="A166" s="127">
        <v>45733</v>
      </c>
      <c r="B166" s="109" t="s">
        <v>20</v>
      </c>
      <c r="C166" s="161">
        <v>9569</v>
      </c>
      <c r="D166" s="161">
        <v>1277</v>
      </c>
      <c r="E166" s="161">
        <v>1013386</v>
      </c>
      <c r="F166" s="110">
        <v>12.45517502708741</v>
      </c>
      <c r="G166" s="111">
        <f t="shared" si="2"/>
        <v>0.1245517502708741</v>
      </c>
      <c r="H166" s="165">
        <v>8292</v>
      </c>
      <c r="I166" s="111">
        <v>8.1824694637581338E-3</v>
      </c>
      <c r="J166" s="108" t="str" cm="1">
        <f t="array" ref="J166">IFERROR(INDEX(Cleaned_Campaign_Metadata!A$2:A$6,MATCH(1,(A166 &gt;= Cleaned_Campaign_Metadata!B$2:B$6) *(A166 &lt;= Cleaned_Campaign_Metadata!C$2:C$6),0)),"")</f>
        <v>Sustainability Awareness Drive</v>
      </c>
      <c r="K166" s="157">
        <v>59733</v>
      </c>
    </row>
    <row r="167" spans="1:11" x14ac:dyDescent="0.3">
      <c r="A167" s="127">
        <v>45733</v>
      </c>
      <c r="B167" s="109" t="s">
        <v>17</v>
      </c>
      <c r="C167" s="161">
        <v>7979</v>
      </c>
      <c r="D167" s="161">
        <v>470</v>
      </c>
      <c r="E167" s="161">
        <v>1005094</v>
      </c>
      <c r="F167" s="110">
        <v>10.43086517280971</v>
      </c>
      <c r="G167" s="111">
        <f t="shared" si="2"/>
        <v>0.1043086517280971</v>
      </c>
      <c r="H167" s="165">
        <v>7509</v>
      </c>
      <c r="I167" s="111">
        <v>7.4709430162750948E-3</v>
      </c>
      <c r="J167" s="108" t="str" cm="1">
        <f t="array" ref="J167">IFERROR(INDEX(Cleaned_Campaign_Metadata!A$2:A$6,MATCH(1,(A167 &gt;= Cleaned_Campaign_Metadata!B$2:B$6) *(A167 &lt;= Cleaned_Campaign_Metadata!C$2:C$6),0)),"")</f>
        <v>Sustainability Awareness Drive</v>
      </c>
      <c r="K167" s="157">
        <v>42972</v>
      </c>
    </row>
    <row r="168" spans="1:11" x14ac:dyDescent="0.3">
      <c r="A168" s="126">
        <v>45733</v>
      </c>
      <c r="B168" s="106" t="s">
        <v>17</v>
      </c>
      <c r="C168" s="160">
        <v>5285</v>
      </c>
      <c r="D168" s="160">
        <v>433</v>
      </c>
      <c r="E168" s="160">
        <v>1018238</v>
      </c>
      <c r="F168" s="107">
        <v>8.7022876773406619</v>
      </c>
      <c r="G168" s="108">
        <f t="shared" si="2"/>
        <v>8.7022876773406616E-2</v>
      </c>
      <c r="H168" s="164">
        <v>4852</v>
      </c>
      <c r="I168" s="108">
        <v>4.7650942117658151E-3</v>
      </c>
      <c r="J168" s="108" t="str" cm="1">
        <f t="array" ref="J168">IFERROR(INDEX(Cleaned_Campaign_Metadata!A$2:A$6,MATCH(1,(A168 &gt;= Cleaned_Campaign_Metadata!B$2:B$6) *(A168 &lt;= Cleaned_Campaign_Metadata!C$2:C$6),0)),"")</f>
        <v>Sustainability Awareness Drive</v>
      </c>
      <c r="K168" s="156">
        <v>51800</v>
      </c>
    </row>
    <row r="169" spans="1:11" x14ac:dyDescent="0.3">
      <c r="A169" s="127">
        <v>45733</v>
      </c>
      <c r="B169" s="109" t="s">
        <v>17</v>
      </c>
      <c r="C169" s="161">
        <v>7910</v>
      </c>
      <c r="D169" s="161">
        <v>543</v>
      </c>
      <c r="E169" s="161">
        <v>1025605</v>
      </c>
      <c r="F169" s="110">
        <v>6.0590578244060822</v>
      </c>
      <c r="G169" s="111">
        <f t="shared" si="2"/>
        <v>6.0590578244060819E-2</v>
      </c>
      <c r="H169" s="165">
        <v>7367</v>
      </c>
      <c r="I169" s="111">
        <v>7.183077305590359E-3</v>
      </c>
      <c r="J169" s="108" t="str" cm="1">
        <f t="array" ref="J169">IFERROR(INDEX(Cleaned_Campaign_Metadata!A$2:A$6,MATCH(1,(A169 &gt;= Cleaned_Campaign_Metadata!B$2:B$6) *(A169 &lt;= Cleaned_Campaign_Metadata!C$2:C$6),0)),"")</f>
        <v>Sustainability Awareness Drive</v>
      </c>
      <c r="K169" s="157">
        <v>40508</v>
      </c>
    </row>
    <row r="170" spans="1:11" x14ac:dyDescent="0.3">
      <c r="A170" s="126">
        <v>45740</v>
      </c>
      <c r="B170" s="106" t="s">
        <v>17</v>
      </c>
      <c r="C170" s="160">
        <v>9561</v>
      </c>
      <c r="D170" s="160">
        <v>517</v>
      </c>
      <c r="E170" s="160">
        <v>1034649</v>
      </c>
      <c r="F170" s="107">
        <v>6.4086467971263694</v>
      </c>
      <c r="G170" s="108">
        <f t="shared" si="2"/>
        <v>6.4086467971263689E-2</v>
      </c>
      <c r="H170" s="164">
        <v>9044</v>
      </c>
      <c r="I170" s="108">
        <v>8.741128633961856E-3</v>
      </c>
      <c r="J170" s="108" t="str" cm="1">
        <f t="array" ref="J170">IFERROR(INDEX(Cleaned_Campaign_Metadata!A$2:A$6,MATCH(1,(A170 &gt;= Cleaned_Campaign_Metadata!B$2:B$6) *(A170 &lt;= Cleaned_Campaign_Metadata!C$2:C$6),0)),"")</f>
        <v>Sustainability Awareness Drive</v>
      </c>
      <c r="K170" s="156">
        <v>15347</v>
      </c>
    </row>
    <row r="171" spans="1:11" x14ac:dyDescent="0.3">
      <c r="A171" s="127">
        <v>45740</v>
      </c>
      <c r="B171" s="109" t="s">
        <v>17</v>
      </c>
      <c r="C171" s="161">
        <v>3196</v>
      </c>
      <c r="D171" s="161">
        <v>348</v>
      </c>
      <c r="E171" s="161">
        <v>1037497</v>
      </c>
      <c r="F171" s="110">
        <v>14.03040201562029</v>
      </c>
      <c r="G171" s="111">
        <f t="shared" si="2"/>
        <v>0.14030402015620289</v>
      </c>
      <c r="H171" s="165">
        <v>2848</v>
      </c>
      <c r="I171" s="111">
        <v>2.7450681785103955E-3</v>
      </c>
      <c r="J171" s="108" t="str" cm="1">
        <f t="array" ref="J171">IFERROR(INDEX(Cleaned_Campaign_Metadata!A$2:A$6,MATCH(1,(A171 &gt;= Cleaned_Campaign_Metadata!B$2:B$6) *(A171 &lt;= Cleaned_Campaign_Metadata!C$2:C$6),0)),"")</f>
        <v>Sustainability Awareness Drive</v>
      </c>
      <c r="K171" s="157">
        <v>40314</v>
      </c>
    </row>
    <row r="172" spans="1:11" x14ac:dyDescent="0.3">
      <c r="A172" s="126">
        <v>45740</v>
      </c>
      <c r="B172" s="106" t="s">
        <v>17</v>
      </c>
      <c r="C172" s="160">
        <v>9843</v>
      </c>
      <c r="D172" s="160">
        <v>508</v>
      </c>
      <c r="E172" s="160">
        <v>1051021</v>
      </c>
      <c r="F172" s="107">
        <v>4.2080986012648651</v>
      </c>
      <c r="G172" s="108">
        <f t="shared" si="2"/>
        <v>4.2080986012648654E-2</v>
      </c>
      <c r="H172" s="164">
        <v>9335</v>
      </c>
      <c r="I172" s="108">
        <v>8.8818396587699005E-3</v>
      </c>
      <c r="J172" s="108" t="str" cm="1">
        <f t="array" ref="J172">IFERROR(INDEX(Cleaned_Campaign_Metadata!A$2:A$6,MATCH(1,(A172 &gt;= Cleaned_Campaign_Metadata!B$2:B$6) *(A172 &lt;= Cleaned_Campaign_Metadata!C$2:C$6),0)),"")</f>
        <v>Sustainability Awareness Drive</v>
      </c>
      <c r="K172" s="156">
        <v>50785</v>
      </c>
    </row>
    <row r="173" spans="1:11" x14ac:dyDescent="0.3">
      <c r="A173" s="126">
        <v>45740</v>
      </c>
      <c r="B173" s="106" t="s">
        <v>13</v>
      </c>
      <c r="C173" s="160">
        <v>4747</v>
      </c>
      <c r="D173" s="160">
        <v>558</v>
      </c>
      <c r="E173" s="160">
        <v>1041686</v>
      </c>
      <c r="F173" s="107">
        <v>5.7680529449373434</v>
      </c>
      <c r="G173" s="108">
        <f t="shared" si="2"/>
        <v>5.7680529449373436E-2</v>
      </c>
      <c r="H173" s="164">
        <v>4189</v>
      </c>
      <c r="I173" s="108">
        <v>4.021365363458854E-3</v>
      </c>
      <c r="J173" s="108" t="str" cm="1">
        <f t="array" ref="J173">IFERROR(INDEX(Cleaned_Campaign_Metadata!A$2:A$6,MATCH(1,(A173 &gt;= Cleaned_Campaign_Metadata!B$2:B$6) *(A173 &lt;= Cleaned_Campaign_Metadata!C$2:C$6),0)),"")</f>
        <v>Sustainability Awareness Drive</v>
      </c>
      <c r="K173" s="156">
        <v>12643</v>
      </c>
    </row>
    <row r="174" spans="1:11" x14ac:dyDescent="0.3">
      <c r="A174" s="126">
        <v>45747</v>
      </c>
      <c r="B174" s="106" t="s">
        <v>20</v>
      </c>
      <c r="C174" s="160">
        <v>6607</v>
      </c>
      <c r="D174" s="160">
        <v>479</v>
      </c>
      <c r="E174" s="160">
        <v>1063421</v>
      </c>
      <c r="F174" s="107">
        <v>5.5892257158735816</v>
      </c>
      <c r="G174" s="108">
        <f t="shared" si="2"/>
        <v>5.5892257158735817E-2</v>
      </c>
      <c r="H174" s="164">
        <v>6128</v>
      </c>
      <c r="I174" s="108">
        <v>5.7625343114345116E-3</v>
      </c>
      <c r="J174" s="108" t="str" cm="1">
        <f t="array" ref="J174">IFERROR(INDEX(Cleaned_Campaign_Metadata!A$2:A$6,MATCH(1,(A174 &gt;= Cleaned_Campaign_Metadata!B$2:B$6) *(A174 &lt;= Cleaned_Campaign_Metadata!C$2:C$6),0)),"")</f>
        <v>Sustainability Awareness Drive</v>
      </c>
      <c r="K174" s="156">
        <v>48328</v>
      </c>
    </row>
    <row r="175" spans="1:11" x14ac:dyDescent="0.3">
      <c r="A175" s="127">
        <v>45747</v>
      </c>
      <c r="B175" s="109" t="s">
        <v>17</v>
      </c>
      <c r="C175" s="161">
        <v>1780</v>
      </c>
      <c r="D175" s="161">
        <v>120</v>
      </c>
      <c r="E175" s="161">
        <v>1066648</v>
      </c>
      <c r="F175" s="110">
        <v>13.86474263299608</v>
      </c>
      <c r="G175" s="111">
        <f t="shared" si="2"/>
        <v>0.1386474263299608</v>
      </c>
      <c r="H175" s="165">
        <v>1660</v>
      </c>
      <c r="I175" s="111">
        <v>1.55627723485161E-3</v>
      </c>
      <c r="J175" s="108" t="str" cm="1">
        <f t="array" ref="J175">IFERROR(INDEX(Cleaned_Campaign_Metadata!A$2:A$6,MATCH(1,(A175 &gt;= Cleaned_Campaign_Metadata!B$2:B$6) *(A175 &lt;= Cleaned_Campaign_Metadata!C$2:C$6),0)),"")</f>
        <v>Sustainability Awareness Drive</v>
      </c>
      <c r="K175" s="157">
        <v>57299</v>
      </c>
    </row>
    <row r="176" spans="1:11" x14ac:dyDescent="0.3">
      <c r="A176" s="126">
        <v>45747</v>
      </c>
      <c r="B176" s="106" t="s">
        <v>34</v>
      </c>
      <c r="C176" s="160">
        <v>6978</v>
      </c>
      <c r="D176" s="160">
        <v>706</v>
      </c>
      <c r="E176" s="160">
        <v>1057293</v>
      </c>
      <c r="F176" s="107">
        <v>5.057443868445171</v>
      </c>
      <c r="G176" s="108">
        <f t="shared" si="2"/>
        <v>5.057443868445171E-2</v>
      </c>
      <c r="H176" s="164">
        <v>6272</v>
      </c>
      <c r="I176" s="108">
        <v>5.9321304501212058E-3</v>
      </c>
      <c r="J176" s="108" t="str" cm="1">
        <f t="array" ref="J176">IFERROR(INDEX(Cleaned_Campaign_Metadata!A$2:A$6,MATCH(1,(A176 &gt;= Cleaned_Campaign_Metadata!B$2:B$6) *(A176 &lt;= Cleaned_Campaign_Metadata!C$2:C$6),0)),"")</f>
        <v>Sustainability Awareness Drive</v>
      </c>
      <c r="K176" s="156">
        <v>28681</v>
      </c>
    </row>
    <row r="177" spans="1:11" x14ac:dyDescent="0.3">
      <c r="A177" s="127">
        <v>45747</v>
      </c>
      <c r="B177" s="109" t="s">
        <v>13</v>
      </c>
      <c r="C177" s="161">
        <v>1769</v>
      </c>
      <c r="D177" s="161">
        <v>202</v>
      </c>
      <c r="E177" s="161">
        <v>1064988</v>
      </c>
      <c r="F177" s="110">
        <v>6.5457075572682513</v>
      </c>
      <c r="G177" s="111">
        <f t="shared" si="2"/>
        <v>6.5457075572682516E-2</v>
      </c>
      <c r="H177" s="165">
        <v>1567</v>
      </c>
      <c r="I177" s="111">
        <v>1.4713780812553757E-3</v>
      </c>
      <c r="J177" s="108" t="str" cm="1">
        <f t="array" ref="J177">IFERROR(INDEX(Cleaned_Campaign_Metadata!A$2:A$6,MATCH(1,(A177 &gt;= Cleaned_Campaign_Metadata!B$2:B$6) *(A177 &lt;= Cleaned_Campaign_Metadata!C$2:C$6),0)),"")</f>
        <v>Sustainability Awareness Drive</v>
      </c>
      <c r="K177" s="157">
        <v>25892</v>
      </c>
    </row>
    <row r="178" spans="1:11" x14ac:dyDescent="0.3">
      <c r="A178" s="127">
        <v>45754</v>
      </c>
      <c r="B178" s="109" t="s">
        <v>20</v>
      </c>
      <c r="C178" s="161">
        <v>1521</v>
      </c>
      <c r="D178" s="161">
        <v>96</v>
      </c>
      <c r="E178" s="161">
        <v>1087368</v>
      </c>
      <c r="F178" s="110">
        <v>12.709772588488899</v>
      </c>
      <c r="G178" s="111">
        <f t="shared" si="2"/>
        <v>0.12709772588488899</v>
      </c>
      <c r="H178" s="165">
        <v>1425</v>
      </c>
      <c r="I178" s="111">
        <v>1.3105038956452645E-3</v>
      </c>
      <c r="J178" s="108" t="str" cm="1">
        <f t="array" ref="J178">IFERROR(INDEX(Cleaned_Campaign_Metadata!A$2:A$6,MATCH(1,(A178 &gt;= Cleaned_Campaign_Metadata!B$2:B$6) *(A178 &lt;= Cleaned_Campaign_Metadata!C$2:C$6),0)),"")</f>
        <v/>
      </c>
      <c r="K178" s="157">
        <v>42262</v>
      </c>
    </row>
    <row r="179" spans="1:11" x14ac:dyDescent="0.3">
      <c r="A179" s="126">
        <v>45754</v>
      </c>
      <c r="B179" s="106" t="s">
        <v>17</v>
      </c>
      <c r="C179" s="160">
        <v>4983</v>
      </c>
      <c r="D179" s="160">
        <v>441</v>
      </c>
      <c r="E179" s="160">
        <v>1077624</v>
      </c>
      <c r="F179" s="107">
        <v>6.8954477628560609</v>
      </c>
      <c r="G179" s="108">
        <f t="shared" si="2"/>
        <v>6.8954477628560606E-2</v>
      </c>
      <c r="H179" s="164">
        <v>4542</v>
      </c>
      <c r="I179" s="108">
        <v>4.2148281775461569E-3</v>
      </c>
      <c r="J179" s="108" t="str" cm="1">
        <f t="array" ref="J179">IFERROR(INDEX(Cleaned_Campaign_Metadata!A$2:A$6,MATCH(1,(A179 &gt;= Cleaned_Campaign_Metadata!B$2:B$6) *(A179 &lt;= Cleaned_Campaign_Metadata!C$2:C$6),0)),"")</f>
        <v/>
      </c>
      <c r="K179" s="156">
        <v>46768</v>
      </c>
    </row>
    <row r="180" spans="1:11" x14ac:dyDescent="0.3">
      <c r="A180" s="127">
        <v>45754</v>
      </c>
      <c r="B180" s="109" t="s">
        <v>34</v>
      </c>
      <c r="C180" s="161">
        <v>9714</v>
      </c>
      <c r="D180" s="161">
        <v>1395</v>
      </c>
      <c r="E180" s="161">
        <v>1085943</v>
      </c>
      <c r="F180" s="110">
        <v>5.2243073531483697</v>
      </c>
      <c r="G180" s="111">
        <f t="shared" si="2"/>
        <v>5.2243073531483698E-2</v>
      </c>
      <c r="H180" s="165">
        <v>8319</v>
      </c>
      <c r="I180" s="111">
        <v>7.6606230713766746E-3</v>
      </c>
      <c r="J180" s="108" t="str" cm="1">
        <f t="array" ref="J180">IFERROR(INDEX(Cleaned_Campaign_Metadata!A$2:A$6,MATCH(1,(A180 &gt;= Cleaned_Campaign_Metadata!B$2:B$6) *(A180 &lt;= Cleaned_Campaign_Metadata!C$2:C$6),0)),"")</f>
        <v/>
      </c>
      <c r="K180" s="157">
        <v>40682</v>
      </c>
    </row>
    <row r="181" spans="1:11" x14ac:dyDescent="0.3">
      <c r="A181" s="126">
        <v>45754</v>
      </c>
      <c r="B181" s="106" t="s">
        <v>13</v>
      </c>
      <c r="C181" s="160">
        <v>7303</v>
      </c>
      <c r="D181" s="160">
        <v>869</v>
      </c>
      <c r="E181" s="160">
        <v>1073082</v>
      </c>
      <c r="F181" s="107">
        <v>8.1237966902808925</v>
      </c>
      <c r="G181" s="108">
        <f t="shared" si="2"/>
        <v>8.123796690280892E-2</v>
      </c>
      <c r="H181" s="164">
        <v>6434</v>
      </c>
      <c r="I181" s="108">
        <v>5.9958139266151145E-3</v>
      </c>
      <c r="J181" s="108" t="str" cm="1">
        <f t="array" ref="J181">IFERROR(INDEX(Cleaned_Campaign_Metadata!A$2:A$6,MATCH(1,(A181 &gt;= Cleaned_Campaign_Metadata!B$2:B$6) *(A181 &lt;= Cleaned_Campaign_Metadata!C$2:C$6),0)),"")</f>
        <v/>
      </c>
      <c r="K181" s="156">
        <v>27073</v>
      </c>
    </row>
    <row r="182" spans="1:11" x14ac:dyDescent="0.3">
      <c r="A182" s="127">
        <v>45761</v>
      </c>
      <c r="B182" s="109" t="s">
        <v>17</v>
      </c>
      <c r="C182" s="161">
        <v>8569</v>
      </c>
      <c r="D182" s="161">
        <v>720</v>
      </c>
      <c r="E182" s="161">
        <v>1095217</v>
      </c>
      <c r="F182" s="110">
        <v>9.589697749395782</v>
      </c>
      <c r="G182" s="111">
        <f t="shared" si="2"/>
        <v>9.5896977493957813E-2</v>
      </c>
      <c r="H182" s="165">
        <v>7849</v>
      </c>
      <c r="I182" s="111">
        <v>7.1666162961312686E-3</v>
      </c>
      <c r="J182" s="108" t="str" cm="1">
        <f t="array" ref="J182">IFERROR(INDEX(Cleaned_Campaign_Metadata!A$2:A$6,MATCH(1,(A182 &gt;= Cleaned_Campaign_Metadata!B$2:B$6) *(A182 &lt;= Cleaned_Campaign_Metadata!C$2:C$6),0)),"")</f>
        <v/>
      </c>
      <c r="K182" s="157">
        <v>41358</v>
      </c>
    </row>
    <row r="183" spans="1:11" x14ac:dyDescent="0.3">
      <c r="A183" s="126">
        <v>45761</v>
      </c>
      <c r="B183" s="106" t="s">
        <v>17</v>
      </c>
      <c r="C183" s="160">
        <v>6784</v>
      </c>
      <c r="D183" s="160">
        <v>416</v>
      </c>
      <c r="E183" s="160">
        <v>1101585</v>
      </c>
      <c r="F183" s="107">
        <v>9.3041390360253633</v>
      </c>
      <c r="G183" s="108">
        <f t="shared" si="2"/>
        <v>9.3041390360253634E-2</v>
      </c>
      <c r="H183" s="164">
        <v>6368</v>
      </c>
      <c r="I183" s="108">
        <v>5.7807613574985131E-3</v>
      </c>
      <c r="J183" s="108" t="str" cm="1">
        <f t="array" ref="J183">IFERROR(INDEX(Cleaned_Campaign_Metadata!A$2:A$6,MATCH(1,(A183 &gt;= Cleaned_Campaign_Metadata!B$2:B$6) *(A183 &lt;= Cleaned_Campaign_Metadata!C$2:C$6),0)),"")</f>
        <v/>
      </c>
      <c r="K183" s="156">
        <v>24289</v>
      </c>
    </row>
    <row r="184" spans="1:11" x14ac:dyDescent="0.3">
      <c r="A184" s="127">
        <v>45761</v>
      </c>
      <c r="B184" s="109" t="s">
        <v>17</v>
      </c>
      <c r="C184" s="161">
        <v>5583</v>
      </c>
      <c r="D184" s="161">
        <v>795</v>
      </c>
      <c r="E184" s="161">
        <v>1106373</v>
      </c>
      <c r="F184" s="110">
        <v>12.21550055903389</v>
      </c>
      <c r="G184" s="111">
        <f t="shared" si="2"/>
        <v>0.1221550055903389</v>
      </c>
      <c r="H184" s="165">
        <v>4788</v>
      </c>
      <c r="I184" s="111">
        <v>4.327654416729259E-3</v>
      </c>
      <c r="J184" s="108" t="str" cm="1">
        <f t="array" ref="J184">IFERROR(INDEX(Cleaned_Campaign_Metadata!A$2:A$6,MATCH(1,(A184 &gt;= Cleaned_Campaign_Metadata!B$2:B$6) *(A184 &lt;= Cleaned_Campaign_Metadata!C$2:C$6),0)),"")</f>
        <v/>
      </c>
      <c r="K184" s="157">
        <v>59823</v>
      </c>
    </row>
    <row r="185" spans="1:11" x14ac:dyDescent="0.3">
      <c r="A185" s="126">
        <v>45761</v>
      </c>
      <c r="B185" s="106" t="s">
        <v>17</v>
      </c>
      <c r="C185" s="160">
        <v>6946</v>
      </c>
      <c r="D185" s="160">
        <v>956</v>
      </c>
      <c r="E185" s="160">
        <v>1112363</v>
      </c>
      <c r="F185" s="107">
        <v>1.64146056637986</v>
      </c>
      <c r="G185" s="108">
        <f t="shared" si="2"/>
        <v>1.6414605663798602E-2</v>
      </c>
      <c r="H185" s="164">
        <v>5990</v>
      </c>
      <c r="I185" s="108">
        <v>5.3849327962185002E-3</v>
      </c>
      <c r="J185" s="108" t="str" cm="1">
        <f t="array" ref="J185">IFERROR(INDEX(Cleaned_Campaign_Metadata!A$2:A$6,MATCH(1,(A185 &gt;= Cleaned_Campaign_Metadata!B$2:B$6) *(A185 &lt;= Cleaned_Campaign_Metadata!C$2:C$6),0)),"")</f>
        <v/>
      </c>
      <c r="K185" s="156">
        <v>17927</v>
      </c>
    </row>
    <row r="186" spans="1:11" x14ac:dyDescent="0.3">
      <c r="A186" s="126">
        <v>45768</v>
      </c>
      <c r="B186" s="106" t="s">
        <v>20</v>
      </c>
      <c r="C186" s="160">
        <v>5941</v>
      </c>
      <c r="D186" s="160">
        <v>450</v>
      </c>
      <c r="E186" s="160">
        <v>1117854</v>
      </c>
      <c r="F186" s="107">
        <v>12.414411899944</v>
      </c>
      <c r="G186" s="108">
        <f t="shared" si="2"/>
        <v>0.12414411899944</v>
      </c>
      <c r="H186" s="164">
        <v>5491</v>
      </c>
      <c r="I186" s="108">
        <v>4.9120904876665469E-3</v>
      </c>
      <c r="J186" s="108" t="str" cm="1">
        <f t="array" ref="J186">IFERROR(INDEX(Cleaned_Campaign_Metadata!A$2:A$6,MATCH(1,(A186 &gt;= Cleaned_Campaign_Metadata!B$2:B$6) *(A186 &lt;= Cleaned_Campaign_Metadata!C$2:C$6),0)),"")</f>
        <v/>
      </c>
      <c r="K186" s="156">
        <v>58330</v>
      </c>
    </row>
    <row r="187" spans="1:11" x14ac:dyDescent="0.3">
      <c r="A187" s="127">
        <v>45768</v>
      </c>
      <c r="B187" s="109" t="s">
        <v>20</v>
      </c>
      <c r="C187" s="161">
        <v>7267</v>
      </c>
      <c r="D187" s="161">
        <v>842</v>
      </c>
      <c r="E187" s="161">
        <v>1124279</v>
      </c>
      <c r="F187" s="110">
        <v>2.2102165031989389</v>
      </c>
      <c r="G187" s="111">
        <f t="shared" si="2"/>
        <v>2.210216503198939E-2</v>
      </c>
      <c r="H187" s="165">
        <v>6425</v>
      </c>
      <c r="I187" s="111">
        <v>5.7147736460433753E-3</v>
      </c>
      <c r="J187" s="108" t="str" cm="1">
        <f t="array" ref="J187">IFERROR(INDEX(Cleaned_Campaign_Metadata!A$2:A$6,MATCH(1,(A187 &gt;= Cleaned_Campaign_Metadata!B$2:B$6) *(A187 &lt;= Cleaned_Campaign_Metadata!C$2:C$6),0)),"")</f>
        <v/>
      </c>
      <c r="K187" s="157">
        <v>11171</v>
      </c>
    </row>
    <row r="188" spans="1:11" x14ac:dyDescent="0.3">
      <c r="A188" s="126">
        <v>45768</v>
      </c>
      <c r="B188" s="106" t="s">
        <v>20</v>
      </c>
      <c r="C188" s="160">
        <v>3461</v>
      </c>
      <c r="D188" s="160">
        <v>365</v>
      </c>
      <c r="E188" s="160">
        <v>1134433</v>
      </c>
      <c r="F188" s="107">
        <v>10.23489267325616</v>
      </c>
      <c r="G188" s="108">
        <f t="shared" si="2"/>
        <v>0.1023489267325616</v>
      </c>
      <c r="H188" s="164">
        <v>3096</v>
      </c>
      <c r="I188" s="108">
        <v>2.7291166600407427E-3</v>
      </c>
      <c r="J188" s="108" t="str" cm="1">
        <f t="array" ref="J188">IFERROR(INDEX(Cleaned_Campaign_Metadata!A$2:A$6,MATCH(1,(A188 &gt;= Cleaned_Campaign_Metadata!B$2:B$6) *(A188 &lt;= Cleaned_Campaign_Metadata!C$2:C$6),0)),"")</f>
        <v/>
      </c>
      <c r="K188" s="156">
        <v>51903</v>
      </c>
    </row>
    <row r="189" spans="1:11" x14ac:dyDescent="0.3">
      <c r="A189" s="126">
        <v>45768</v>
      </c>
      <c r="B189" s="106" t="s">
        <v>34</v>
      </c>
      <c r="C189" s="160">
        <v>8128</v>
      </c>
      <c r="D189" s="160">
        <v>1070</v>
      </c>
      <c r="E189" s="160">
        <v>1131337</v>
      </c>
      <c r="F189" s="107">
        <v>8.1114645768679008</v>
      </c>
      <c r="G189" s="108">
        <f t="shared" si="2"/>
        <v>8.1114645768679008E-2</v>
      </c>
      <c r="H189" s="164">
        <v>7058</v>
      </c>
      <c r="I189" s="108">
        <v>6.2386362330587612E-3</v>
      </c>
      <c r="J189" s="108" t="str" cm="1">
        <f t="array" ref="J189">IFERROR(INDEX(Cleaned_Campaign_Metadata!A$2:A$6,MATCH(1,(A189 &gt;= Cleaned_Campaign_Metadata!B$2:B$6) *(A189 &lt;= Cleaned_Campaign_Metadata!C$2:C$6),0)),"")</f>
        <v/>
      </c>
      <c r="K189" s="156">
        <v>21918</v>
      </c>
    </row>
    <row r="190" spans="1:11" x14ac:dyDescent="0.3">
      <c r="A190" s="127">
        <v>45775</v>
      </c>
      <c r="B190" s="109" t="s">
        <v>17</v>
      </c>
      <c r="C190" s="161">
        <v>1685</v>
      </c>
      <c r="D190" s="161">
        <v>173</v>
      </c>
      <c r="E190" s="161">
        <v>1135945</v>
      </c>
      <c r="F190" s="110">
        <v>8.7776256772995165</v>
      </c>
      <c r="G190" s="111">
        <f t="shared" si="2"/>
        <v>8.7776256772995165E-2</v>
      </c>
      <c r="H190" s="165">
        <v>1512</v>
      </c>
      <c r="I190" s="111">
        <v>1.331050358952238E-3</v>
      </c>
      <c r="J190" s="108" t="str" cm="1">
        <f t="array" ref="J190">IFERROR(INDEX(Cleaned_Campaign_Metadata!A$2:A$6,MATCH(1,(A190 &gt;= Cleaned_Campaign_Metadata!B$2:B$6) *(A190 &lt;= Cleaned_Campaign_Metadata!C$2:C$6),0)),"")</f>
        <v/>
      </c>
      <c r="K190" s="157">
        <v>49110</v>
      </c>
    </row>
    <row r="191" spans="1:11" x14ac:dyDescent="0.3">
      <c r="A191" s="127">
        <v>45775</v>
      </c>
      <c r="B191" s="109" t="s">
        <v>34</v>
      </c>
      <c r="C191" s="161">
        <v>3160</v>
      </c>
      <c r="D191" s="161">
        <v>234</v>
      </c>
      <c r="E191" s="161">
        <v>1138871</v>
      </c>
      <c r="F191" s="110">
        <v>5.6959041015180816</v>
      </c>
      <c r="G191" s="111">
        <f t="shared" si="2"/>
        <v>5.6959041015180817E-2</v>
      </c>
      <c r="H191" s="165">
        <v>2926</v>
      </c>
      <c r="I191" s="111">
        <v>2.5692110871204906E-3</v>
      </c>
      <c r="J191" s="108" t="str" cm="1">
        <f t="array" ref="J191">IFERROR(INDEX(Cleaned_Campaign_Metadata!A$2:A$6,MATCH(1,(A191 &gt;= Cleaned_Campaign_Metadata!B$2:B$6) *(A191 &lt;= Cleaned_Campaign_Metadata!C$2:C$6),0)),"")</f>
        <v/>
      </c>
      <c r="K191" s="157">
        <v>21929</v>
      </c>
    </row>
    <row r="192" spans="1:11" x14ac:dyDescent="0.3">
      <c r="A192" s="126">
        <v>45775</v>
      </c>
      <c r="B192" s="106" t="s">
        <v>34</v>
      </c>
      <c r="C192" s="160">
        <v>8031</v>
      </c>
      <c r="D192" s="160">
        <v>476</v>
      </c>
      <c r="E192" s="160">
        <v>1146426</v>
      </c>
      <c r="F192" s="107">
        <v>11.940413075069831</v>
      </c>
      <c r="G192" s="108">
        <f t="shared" si="2"/>
        <v>0.11940413075069831</v>
      </c>
      <c r="H192" s="164">
        <v>7555</v>
      </c>
      <c r="I192" s="108">
        <v>6.5900459340594159E-3</v>
      </c>
      <c r="J192" s="108" t="str" cm="1">
        <f t="array" ref="J192">IFERROR(INDEX(Cleaned_Campaign_Metadata!A$2:A$6,MATCH(1,(A192 &gt;= Cleaned_Campaign_Metadata!B$2:B$6) *(A192 &lt;= Cleaned_Campaign_Metadata!C$2:C$6),0)),"")</f>
        <v/>
      </c>
      <c r="K192" s="156">
        <v>12539</v>
      </c>
    </row>
    <row r="193" spans="1:11" x14ac:dyDescent="0.3">
      <c r="A193" s="127">
        <v>45775</v>
      </c>
      <c r="B193" s="109" t="s">
        <v>34</v>
      </c>
      <c r="C193" s="161">
        <v>6341</v>
      </c>
      <c r="D193" s="161">
        <v>885</v>
      </c>
      <c r="E193" s="161">
        <v>1151882</v>
      </c>
      <c r="F193" s="110">
        <v>6.3457020771224837</v>
      </c>
      <c r="G193" s="111">
        <f t="shared" si="2"/>
        <v>6.3457020771224837E-2</v>
      </c>
      <c r="H193" s="165">
        <v>5456</v>
      </c>
      <c r="I193" s="111">
        <v>4.7365962832998515E-3</v>
      </c>
      <c r="J193" s="108" t="str" cm="1">
        <f t="array" ref="J193">IFERROR(INDEX(Cleaned_Campaign_Metadata!A$2:A$6,MATCH(1,(A193 &gt;= Cleaned_Campaign_Metadata!B$2:B$6) *(A193 &lt;= Cleaned_Campaign_Metadata!C$2:C$6),0)),"")</f>
        <v/>
      </c>
      <c r="K193" s="157">
        <v>46727</v>
      </c>
    </row>
    <row r="194" spans="1:11" x14ac:dyDescent="0.3">
      <c r="A194" s="127">
        <v>45782</v>
      </c>
      <c r="B194" s="109" t="s">
        <v>20</v>
      </c>
      <c r="C194" s="161">
        <v>8697</v>
      </c>
      <c r="D194" s="161">
        <v>738</v>
      </c>
      <c r="E194" s="161">
        <v>1168011</v>
      </c>
      <c r="F194" s="110">
        <v>3.8777032065622672</v>
      </c>
      <c r="G194" s="111">
        <f t="shared" ref="G194:G201" si="3">F194/100</f>
        <v>3.877703206562267E-2</v>
      </c>
      <c r="H194" s="165">
        <v>7959</v>
      </c>
      <c r="I194" s="111">
        <v>6.8141481544266276E-3</v>
      </c>
      <c r="J194" s="108" t="str" cm="1">
        <f t="array" ref="J194">IFERROR(INDEX(Cleaned_Campaign_Metadata!A$2:A$6,MATCH(1,(A194 &gt;= Cleaned_Campaign_Metadata!B$2:B$6) *(A194 &lt;= Cleaned_Campaign_Metadata!C$2:C$6),0)),"")</f>
        <v/>
      </c>
      <c r="K194" s="157">
        <v>30644</v>
      </c>
    </row>
    <row r="195" spans="1:11" x14ac:dyDescent="0.3">
      <c r="A195" s="126">
        <v>45782</v>
      </c>
      <c r="B195" s="106" t="s">
        <v>17</v>
      </c>
      <c r="C195" s="160">
        <v>1038</v>
      </c>
      <c r="D195" s="160">
        <v>145</v>
      </c>
      <c r="E195" s="160">
        <v>1152775</v>
      </c>
      <c r="F195" s="107">
        <v>11.093752033137431</v>
      </c>
      <c r="G195" s="108">
        <f t="shared" si="3"/>
        <v>0.11093752033137431</v>
      </c>
      <c r="H195" s="164">
        <v>893</v>
      </c>
      <c r="I195" s="108">
        <v>7.7465246904209403E-4</v>
      </c>
      <c r="J195" s="108" t="str" cm="1">
        <f t="array" ref="J195">IFERROR(INDEX(Cleaned_Campaign_Metadata!A$2:A$6,MATCH(1,(A195 &gt;= Cleaned_Campaign_Metadata!B$2:B$6) *(A195 &lt;= Cleaned_Campaign_Metadata!C$2:C$6),0)),"")</f>
        <v/>
      </c>
      <c r="K195" s="156">
        <v>55951</v>
      </c>
    </row>
    <row r="196" spans="1:11" x14ac:dyDescent="0.3">
      <c r="A196" s="127">
        <v>45782</v>
      </c>
      <c r="B196" s="109" t="s">
        <v>17</v>
      </c>
      <c r="C196" s="161">
        <v>2256</v>
      </c>
      <c r="D196" s="161">
        <v>189</v>
      </c>
      <c r="E196" s="161">
        <v>1160052</v>
      </c>
      <c r="F196" s="110">
        <v>2.8935771844710412</v>
      </c>
      <c r="G196" s="111">
        <f t="shared" si="3"/>
        <v>2.8935771844710412E-2</v>
      </c>
      <c r="H196" s="165">
        <v>2067</v>
      </c>
      <c r="I196" s="111">
        <v>1.7818166771834366E-3</v>
      </c>
      <c r="J196" s="108" t="str" cm="1">
        <f t="array" ref="J196">IFERROR(INDEX(Cleaned_Campaign_Metadata!A$2:A$6,MATCH(1,(A196 &gt;= Cleaned_Campaign_Metadata!B$2:B$6) *(A196 &lt;= Cleaned_Campaign_Metadata!C$2:C$6),0)),"")</f>
        <v/>
      </c>
      <c r="K196" s="157">
        <v>15432</v>
      </c>
    </row>
    <row r="197" spans="1:11" x14ac:dyDescent="0.3">
      <c r="A197" s="127">
        <v>45782</v>
      </c>
      <c r="B197" s="109" t="s">
        <v>13</v>
      </c>
      <c r="C197" s="161">
        <v>5875</v>
      </c>
      <c r="D197" s="161">
        <v>665</v>
      </c>
      <c r="E197" s="161">
        <v>1157985</v>
      </c>
      <c r="F197" s="110">
        <v>6.9871371390821126</v>
      </c>
      <c r="G197" s="111">
        <f t="shared" si="3"/>
        <v>6.9871371390821127E-2</v>
      </c>
      <c r="H197" s="165">
        <v>5210</v>
      </c>
      <c r="I197" s="111">
        <v>4.4991947218659999E-3</v>
      </c>
      <c r="J197" s="108" t="str" cm="1">
        <f t="array" ref="J197">IFERROR(INDEX(Cleaned_Campaign_Metadata!A$2:A$6,MATCH(1,(A197 &gt;= Cleaned_Campaign_Metadata!B$2:B$6) *(A197 &lt;= Cleaned_Campaign_Metadata!C$2:C$6),0)),"")</f>
        <v/>
      </c>
      <c r="K197" s="157">
        <v>32669</v>
      </c>
    </row>
    <row r="198" spans="1:11" x14ac:dyDescent="0.3">
      <c r="A198" s="126">
        <v>45789</v>
      </c>
      <c r="B198" s="106" t="s">
        <v>20</v>
      </c>
      <c r="C198" s="160">
        <v>3196</v>
      </c>
      <c r="D198" s="160">
        <v>391</v>
      </c>
      <c r="E198" s="160">
        <v>1170816</v>
      </c>
      <c r="F198" s="107">
        <v>7.2439221876024931</v>
      </c>
      <c r="G198" s="108">
        <f t="shared" si="3"/>
        <v>7.2439221876024931E-2</v>
      </c>
      <c r="H198" s="164">
        <v>2805</v>
      </c>
      <c r="I198" s="108">
        <v>2.3957650049196456E-3</v>
      </c>
      <c r="J198" s="108" t="str" cm="1">
        <f t="array" ref="J198">IFERROR(INDEX(Cleaned_Campaign_Metadata!A$2:A$6,MATCH(1,(A198 &gt;= Cleaned_Campaign_Metadata!B$2:B$6) *(A198 &lt;= Cleaned_Campaign_Metadata!C$2:C$6),0)),"")</f>
        <v/>
      </c>
      <c r="K198" s="156">
        <v>28745</v>
      </c>
    </row>
    <row r="199" spans="1:11" x14ac:dyDescent="0.3">
      <c r="A199" s="126">
        <v>45789</v>
      </c>
      <c r="B199" s="106" t="s">
        <v>17</v>
      </c>
      <c r="C199" s="160">
        <v>8165</v>
      </c>
      <c r="D199" s="160">
        <v>1140</v>
      </c>
      <c r="E199" s="160">
        <v>1177841</v>
      </c>
      <c r="F199" s="107">
        <v>9.095964565675672</v>
      </c>
      <c r="G199" s="108">
        <f t="shared" si="3"/>
        <v>9.0959645656756724E-2</v>
      </c>
      <c r="H199" s="164">
        <v>7025</v>
      </c>
      <c r="I199" s="108">
        <v>5.9643024822535473E-3</v>
      </c>
      <c r="J199" s="108" t="str" cm="1">
        <f t="array" ref="J199">IFERROR(INDEX(Cleaned_Campaign_Metadata!A$2:A$6,MATCH(1,(A199 &gt;= Cleaned_Campaign_Metadata!B$2:B$6) *(A199 &lt;= Cleaned_Campaign_Metadata!C$2:C$6),0)),"")</f>
        <v/>
      </c>
      <c r="K199" s="156">
        <v>38228</v>
      </c>
    </row>
    <row r="200" spans="1:11" x14ac:dyDescent="0.3">
      <c r="A200" s="127">
        <v>45789</v>
      </c>
      <c r="B200" s="109" t="s">
        <v>17</v>
      </c>
      <c r="C200" s="161">
        <v>1301</v>
      </c>
      <c r="D200" s="161">
        <v>180</v>
      </c>
      <c r="E200" s="161">
        <v>1178962</v>
      </c>
      <c r="F200" s="110">
        <v>5.2275645864752214</v>
      </c>
      <c r="G200" s="111">
        <f t="shared" si="3"/>
        <v>5.2275645864752217E-2</v>
      </c>
      <c r="H200" s="165">
        <v>1121</v>
      </c>
      <c r="I200" s="111">
        <v>9.5083641372665107E-4</v>
      </c>
      <c r="J200" s="108" t="str" cm="1">
        <f t="array" ref="J200">IFERROR(INDEX(Cleaned_Campaign_Metadata!A$2:A$6,MATCH(1,(A200 &gt;= Cleaned_Campaign_Metadata!B$2:B$6) *(A200 &lt;= Cleaned_Campaign_Metadata!C$2:C$6),0)),"")</f>
        <v/>
      </c>
      <c r="K200" s="157">
        <v>44521</v>
      </c>
    </row>
    <row r="201" spans="1:11" x14ac:dyDescent="0.3">
      <c r="A201" s="126">
        <v>45789</v>
      </c>
      <c r="B201" s="106" t="s">
        <v>34</v>
      </c>
      <c r="C201" s="160">
        <v>8527</v>
      </c>
      <c r="D201" s="160">
        <v>1091</v>
      </c>
      <c r="E201" s="160">
        <v>1186398</v>
      </c>
      <c r="F201" s="107">
        <v>1.676081719625286</v>
      </c>
      <c r="G201" s="108">
        <f t="shared" si="3"/>
        <v>1.6760817196252858E-2</v>
      </c>
      <c r="H201" s="164">
        <v>7436</v>
      </c>
      <c r="I201" s="108">
        <v>6.267711172810473E-3</v>
      </c>
      <c r="J201" s="108" t="str" cm="1">
        <f t="array" ref="J201">IFERROR(INDEX(Cleaned_Campaign_Metadata!A$2:A$6,MATCH(1,(A201 &gt;= Cleaned_Campaign_Metadata!B$2:B$6) *(A201 &lt;= Cleaned_Campaign_Metadata!C$2:C$6),0)),"")</f>
        <v/>
      </c>
      <c r="K201" s="156">
        <v>41703</v>
      </c>
    </row>
    <row r="202" spans="1:11" x14ac:dyDescent="0.3">
      <c r="A202" s="127"/>
      <c r="B202" s="109"/>
      <c r="C202" s="161"/>
      <c r="D202" s="161"/>
      <c r="E202" s="161"/>
      <c r="F202" s="118"/>
      <c r="G202" s="119"/>
      <c r="H202" s="165"/>
      <c r="I202" s="119"/>
      <c r="J202" s="119"/>
      <c r="K202" s="157"/>
    </row>
    <row r="203" spans="1:11" x14ac:dyDescent="0.3">
      <c r="A203" s="127"/>
      <c r="B203" s="109"/>
      <c r="C203" s="161"/>
      <c r="D203" s="161"/>
      <c r="E203" s="161"/>
      <c r="F203" s="118"/>
      <c r="G203" s="119"/>
      <c r="H203" s="165"/>
      <c r="I203" s="119"/>
      <c r="J203" s="119"/>
      <c r="K203" s="157"/>
    </row>
    <row r="204" spans="1:11" x14ac:dyDescent="0.3">
      <c r="A204" s="127"/>
      <c r="B204" s="109"/>
      <c r="C204" s="161"/>
      <c r="D204" s="161"/>
      <c r="E204" s="161"/>
      <c r="F204" s="118"/>
      <c r="G204" s="119"/>
      <c r="H204" s="165"/>
      <c r="I204" s="119"/>
      <c r="J204" s="119"/>
      <c r="K204" s="157"/>
    </row>
    <row r="205" spans="1:11" x14ac:dyDescent="0.3">
      <c r="A205" s="127"/>
      <c r="B205" s="109"/>
      <c r="C205" s="161"/>
      <c r="D205" s="161"/>
      <c r="E205" s="161"/>
      <c r="F205" s="118"/>
      <c r="G205" s="119"/>
      <c r="H205" s="165"/>
      <c r="I205" s="119"/>
      <c r="J205" s="119"/>
      <c r="K205" s="157"/>
    </row>
    <row r="206" spans="1:11" x14ac:dyDescent="0.3">
      <c r="A206" s="127"/>
      <c r="B206" s="109"/>
      <c r="C206" s="161"/>
      <c r="D206" s="161"/>
      <c r="E206" s="161"/>
      <c r="F206" s="118"/>
      <c r="G206" s="119"/>
      <c r="H206" s="165"/>
      <c r="I206" s="119"/>
      <c r="J206" s="119"/>
      <c r="K206" s="157"/>
    </row>
    <row r="207" spans="1:11" x14ac:dyDescent="0.3">
      <c r="A207" s="127"/>
      <c r="B207" s="109"/>
      <c r="C207" s="161"/>
      <c r="D207" s="161"/>
      <c r="E207" s="161"/>
      <c r="F207" s="118"/>
      <c r="G207" s="119"/>
      <c r="H207" s="165"/>
      <c r="I207" s="119"/>
      <c r="J207" s="119"/>
      <c r="K207" s="157"/>
    </row>
    <row r="208" spans="1:11" x14ac:dyDescent="0.3">
      <c r="A208" s="127"/>
      <c r="B208" s="109"/>
      <c r="C208" s="161"/>
      <c r="D208" s="161"/>
      <c r="E208" s="161"/>
      <c r="F208" s="118"/>
      <c r="G208" s="119"/>
      <c r="H208" s="165"/>
      <c r="I208" s="119"/>
      <c r="J208" s="119"/>
      <c r="K208" s="157"/>
    </row>
    <row r="209" spans="1:11" x14ac:dyDescent="0.3">
      <c r="A209" s="127"/>
      <c r="B209" s="109"/>
      <c r="C209" s="161"/>
      <c r="D209" s="161"/>
      <c r="E209" s="161"/>
      <c r="F209" s="118"/>
      <c r="G209" s="119"/>
      <c r="H209" s="165"/>
      <c r="I209" s="119"/>
      <c r="J209" s="119"/>
      <c r="K209" s="157"/>
    </row>
    <row r="210" spans="1:11" x14ac:dyDescent="0.3">
      <c r="A210" s="127"/>
      <c r="B210" s="109"/>
      <c r="C210" s="161"/>
      <c r="D210" s="161"/>
      <c r="E210" s="161"/>
      <c r="F210" s="118"/>
      <c r="G210" s="119"/>
      <c r="H210" s="165"/>
      <c r="I210" s="119"/>
      <c r="J210" s="119"/>
      <c r="K210" s="157"/>
    </row>
    <row r="211" spans="1:11" x14ac:dyDescent="0.3">
      <c r="A211" s="127"/>
      <c r="B211" s="109"/>
      <c r="C211" s="161"/>
      <c r="D211" s="161"/>
      <c r="E211" s="161"/>
      <c r="F211" s="118"/>
      <c r="G211" s="119"/>
      <c r="H211" s="165"/>
      <c r="I211" s="119"/>
      <c r="J211" s="119"/>
      <c r="K211" s="157"/>
    </row>
    <row r="212" spans="1:11" x14ac:dyDescent="0.3">
      <c r="A212" s="127"/>
      <c r="B212" s="109"/>
      <c r="C212" s="161"/>
      <c r="D212" s="161"/>
      <c r="E212" s="161"/>
      <c r="F212" s="118"/>
      <c r="G212" s="119"/>
      <c r="H212" s="165"/>
      <c r="I212" s="119"/>
      <c r="J212" s="119"/>
      <c r="K212" s="157"/>
    </row>
    <row r="213" spans="1:11" x14ac:dyDescent="0.3">
      <c r="A213" s="127"/>
      <c r="B213" s="109"/>
      <c r="C213" s="161"/>
      <c r="D213" s="161"/>
      <c r="E213" s="161"/>
      <c r="F213" s="118"/>
      <c r="G213" s="119"/>
      <c r="H213" s="165"/>
      <c r="I213" s="119"/>
      <c r="J213" s="119"/>
      <c r="K213" s="157"/>
    </row>
    <row r="214" spans="1:11" x14ac:dyDescent="0.3">
      <c r="A214" s="127"/>
      <c r="B214" s="109"/>
      <c r="C214" s="161"/>
      <c r="D214" s="161"/>
      <c r="E214" s="161"/>
      <c r="F214" s="118"/>
      <c r="G214" s="119"/>
      <c r="H214" s="165"/>
      <c r="I214" s="119"/>
      <c r="J214" s="119"/>
      <c r="K214" s="157"/>
    </row>
    <row r="215" spans="1:11" x14ac:dyDescent="0.3">
      <c r="A215" s="127"/>
      <c r="B215" s="109"/>
      <c r="C215" s="161"/>
      <c r="D215" s="161"/>
      <c r="E215" s="161"/>
      <c r="F215" s="118"/>
      <c r="G215" s="119"/>
      <c r="H215" s="165"/>
      <c r="I215" s="119"/>
      <c r="J215" s="119"/>
      <c r="K215" s="157"/>
    </row>
    <row r="216" spans="1:11" x14ac:dyDescent="0.3">
      <c r="A216" s="127"/>
      <c r="B216" s="109"/>
      <c r="C216" s="161"/>
      <c r="D216" s="161"/>
      <c r="E216" s="161"/>
      <c r="F216" s="118"/>
      <c r="G216" s="119"/>
      <c r="H216" s="165"/>
      <c r="I216" s="119"/>
      <c r="J216" s="119"/>
      <c r="K216" s="157"/>
    </row>
    <row r="217" spans="1:11" x14ac:dyDescent="0.3">
      <c r="A217" s="127"/>
      <c r="B217" s="109"/>
      <c r="C217" s="161"/>
      <c r="D217" s="161"/>
      <c r="E217" s="161"/>
      <c r="F217" s="118"/>
      <c r="G217" s="119"/>
      <c r="H217" s="165"/>
      <c r="I217" s="119"/>
      <c r="J217" s="119"/>
      <c r="K217" s="157"/>
    </row>
    <row r="218" spans="1:11" x14ac:dyDescent="0.3">
      <c r="A218" s="127"/>
      <c r="B218" s="109"/>
      <c r="C218" s="161"/>
      <c r="D218" s="161"/>
      <c r="E218" s="161"/>
      <c r="F218" s="118"/>
      <c r="G218" s="119"/>
      <c r="H218" s="165"/>
      <c r="I218" s="119"/>
      <c r="J218" s="119"/>
      <c r="K218" s="157"/>
    </row>
    <row r="219" spans="1:11" x14ac:dyDescent="0.3">
      <c r="A219" s="127"/>
      <c r="B219" s="109"/>
      <c r="C219" s="161"/>
      <c r="D219" s="161"/>
      <c r="E219" s="161"/>
      <c r="F219" s="118"/>
      <c r="G219" s="119"/>
      <c r="H219" s="165"/>
      <c r="I219" s="119"/>
      <c r="J219" s="119"/>
      <c r="K219" s="157"/>
    </row>
    <row r="220" spans="1:11" x14ac:dyDescent="0.3">
      <c r="A220" s="127"/>
      <c r="B220" s="109"/>
      <c r="C220" s="161"/>
      <c r="D220" s="161"/>
      <c r="E220" s="161"/>
      <c r="F220" s="118"/>
      <c r="G220" s="119"/>
      <c r="H220" s="165"/>
      <c r="I220" s="119"/>
      <c r="J220" s="119"/>
      <c r="K220" s="157"/>
    </row>
    <row r="221" spans="1:11" x14ac:dyDescent="0.3">
      <c r="A221" s="127"/>
      <c r="B221" s="109"/>
      <c r="C221" s="161"/>
      <c r="D221" s="161"/>
      <c r="E221" s="161"/>
      <c r="F221" s="118"/>
      <c r="G221" s="119"/>
      <c r="H221" s="165"/>
      <c r="I221" s="119"/>
      <c r="J221" s="119"/>
      <c r="K221" s="157"/>
    </row>
    <row r="222" spans="1:11" x14ac:dyDescent="0.3">
      <c r="A222" s="127"/>
      <c r="B222" s="109"/>
      <c r="C222" s="161"/>
      <c r="D222" s="161"/>
      <c r="E222" s="161"/>
      <c r="F222" s="118"/>
      <c r="G222" s="119"/>
      <c r="H222" s="165"/>
      <c r="I222" s="119"/>
      <c r="J222" s="119"/>
      <c r="K222" s="157"/>
    </row>
    <row r="223" spans="1:11" x14ac:dyDescent="0.3">
      <c r="A223" s="127"/>
      <c r="B223" s="109"/>
      <c r="C223" s="161"/>
      <c r="D223" s="161"/>
      <c r="E223" s="161"/>
      <c r="F223" s="118"/>
      <c r="G223" s="119"/>
      <c r="H223" s="165"/>
      <c r="I223" s="119"/>
      <c r="J223" s="119"/>
      <c r="K223" s="157"/>
    </row>
    <row r="224" spans="1:11" x14ac:dyDescent="0.3">
      <c r="A224" s="127"/>
      <c r="B224" s="109"/>
      <c r="C224" s="161"/>
      <c r="D224" s="161"/>
      <c r="E224" s="161"/>
      <c r="F224" s="118"/>
      <c r="G224" s="119"/>
      <c r="H224" s="165"/>
      <c r="I224" s="119"/>
      <c r="J224" s="119"/>
      <c r="K224" s="157"/>
    </row>
    <row r="225" spans="1:11" x14ac:dyDescent="0.3">
      <c r="A225" s="127"/>
      <c r="B225" s="109"/>
      <c r="C225" s="161"/>
      <c r="D225" s="161"/>
      <c r="E225" s="161"/>
      <c r="F225" s="118"/>
      <c r="G225" s="119"/>
      <c r="H225" s="165"/>
      <c r="I225" s="119"/>
      <c r="J225" s="119"/>
      <c r="K225" s="157"/>
    </row>
    <row r="226" spans="1:11" x14ac:dyDescent="0.3">
      <c r="A226" s="127"/>
      <c r="B226" s="109"/>
      <c r="C226" s="161"/>
      <c r="D226" s="161"/>
      <c r="E226" s="161"/>
      <c r="F226" s="118"/>
      <c r="G226" s="119"/>
      <c r="H226" s="165"/>
      <c r="I226" s="119"/>
      <c r="J226" s="119"/>
      <c r="K226" s="157"/>
    </row>
    <row r="227" spans="1:11" x14ac:dyDescent="0.3">
      <c r="A227" s="127"/>
      <c r="B227" s="109"/>
      <c r="C227" s="161"/>
      <c r="D227" s="161"/>
      <c r="E227" s="161"/>
      <c r="F227" s="118"/>
      <c r="G227" s="119"/>
      <c r="H227" s="165"/>
      <c r="I227" s="119"/>
      <c r="J227" s="119"/>
      <c r="K227" s="157"/>
    </row>
    <row r="228" spans="1:11" x14ac:dyDescent="0.3">
      <c r="A228" s="127"/>
      <c r="B228" s="109"/>
      <c r="C228" s="161"/>
      <c r="D228" s="161"/>
      <c r="E228" s="161"/>
      <c r="F228" s="118"/>
      <c r="G228" s="119"/>
      <c r="H228" s="165"/>
      <c r="I228" s="119"/>
      <c r="J228" s="119"/>
      <c r="K228" s="157"/>
    </row>
    <row r="229" spans="1:11" x14ac:dyDescent="0.3">
      <c r="A229" s="127"/>
      <c r="B229" s="109"/>
      <c r="C229" s="161"/>
      <c r="D229" s="161"/>
      <c r="E229" s="161"/>
      <c r="F229" s="118"/>
      <c r="G229" s="119"/>
      <c r="H229" s="165"/>
      <c r="I229" s="119"/>
      <c r="J229" s="119"/>
      <c r="K229" s="157"/>
    </row>
    <row r="230" spans="1:11" x14ac:dyDescent="0.3">
      <c r="A230" s="127"/>
      <c r="B230" s="109"/>
      <c r="C230" s="161"/>
      <c r="D230" s="161"/>
      <c r="E230" s="161"/>
      <c r="F230" s="118"/>
      <c r="G230" s="119"/>
      <c r="H230" s="165"/>
      <c r="I230" s="119"/>
      <c r="J230" s="119"/>
      <c r="K230" s="157"/>
    </row>
    <row r="231" spans="1:11" x14ac:dyDescent="0.3">
      <c r="A231" s="127"/>
      <c r="B231" s="109"/>
      <c r="C231" s="161"/>
      <c r="D231" s="161"/>
      <c r="E231" s="161"/>
      <c r="F231" s="118"/>
      <c r="G231" s="119"/>
      <c r="H231" s="165"/>
      <c r="I231" s="119"/>
      <c r="J231" s="119"/>
      <c r="K231" s="157"/>
    </row>
    <row r="232" spans="1:11" x14ac:dyDescent="0.3">
      <c r="A232" s="127"/>
      <c r="B232" s="109"/>
      <c r="C232" s="161"/>
      <c r="D232" s="161"/>
      <c r="E232" s="161"/>
      <c r="F232" s="118"/>
      <c r="G232" s="119"/>
      <c r="H232" s="165"/>
      <c r="I232" s="119"/>
      <c r="J232" s="119"/>
      <c r="K232" s="157"/>
    </row>
    <row r="233" spans="1:11" x14ac:dyDescent="0.3">
      <c r="A233" s="127"/>
      <c r="B233" s="109"/>
      <c r="C233" s="161"/>
      <c r="D233" s="161"/>
      <c r="E233" s="161"/>
      <c r="F233" s="118"/>
      <c r="G233" s="119"/>
      <c r="H233" s="165"/>
      <c r="I233" s="119"/>
      <c r="J233" s="119"/>
      <c r="K233" s="157"/>
    </row>
    <row r="234" spans="1:11" x14ac:dyDescent="0.3">
      <c r="A234" s="127"/>
      <c r="B234" s="109"/>
      <c r="C234" s="161"/>
      <c r="D234" s="161"/>
      <c r="E234" s="161"/>
      <c r="F234" s="118"/>
      <c r="G234" s="119"/>
      <c r="H234" s="165"/>
      <c r="I234" s="119"/>
      <c r="J234" s="119"/>
      <c r="K234" s="157"/>
    </row>
    <row r="235" spans="1:11" x14ac:dyDescent="0.3">
      <c r="A235" s="127"/>
      <c r="B235" s="109"/>
      <c r="C235" s="161"/>
      <c r="D235" s="161"/>
      <c r="E235" s="161"/>
      <c r="F235" s="118"/>
      <c r="G235" s="119"/>
      <c r="H235" s="165"/>
      <c r="I235" s="119"/>
      <c r="J235" s="119"/>
      <c r="K235" s="157"/>
    </row>
    <row r="236" spans="1:11" x14ac:dyDescent="0.3">
      <c r="A236" s="127"/>
      <c r="B236" s="109"/>
      <c r="C236" s="161"/>
      <c r="D236" s="161"/>
      <c r="E236" s="161"/>
      <c r="F236" s="118"/>
      <c r="G236" s="119"/>
      <c r="H236" s="165"/>
      <c r="I236" s="119"/>
      <c r="J236" s="119"/>
      <c r="K236" s="157"/>
    </row>
    <row r="237" spans="1:11" x14ac:dyDescent="0.3">
      <c r="A237" s="127"/>
      <c r="B237" s="109"/>
      <c r="C237" s="161"/>
      <c r="D237" s="161"/>
      <c r="E237" s="161"/>
      <c r="F237" s="118"/>
      <c r="G237" s="119"/>
      <c r="H237" s="165"/>
      <c r="I237" s="119"/>
      <c r="J237" s="119"/>
      <c r="K237" s="157"/>
    </row>
    <row r="238" spans="1:11" x14ac:dyDescent="0.3">
      <c r="A238" s="127"/>
      <c r="B238" s="109"/>
      <c r="C238" s="161"/>
      <c r="D238" s="161"/>
      <c r="E238" s="161"/>
      <c r="F238" s="118"/>
      <c r="G238" s="119"/>
      <c r="H238" s="165"/>
      <c r="I238" s="119"/>
      <c r="J238" s="119"/>
      <c r="K238" s="157"/>
    </row>
    <row r="239" spans="1:11" x14ac:dyDescent="0.3">
      <c r="A239" s="127"/>
      <c r="B239" s="109"/>
      <c r="C239" s="161"/>
      <c r="D239" s="161"/>
      <c r="E239" s="161"/>
      <c r="F239" s="118"/>
      <c r="G239" s="119"/>
      <c r="H239" s="165"/>
      <c r="I239" s="119"/>
      <c r="J239" s="119"/>
      <c r="K239" s="157"/>
    </row>
    <row r="240" spans="1:11" x14ac:dyDescent="0.3">
      <c r="A240" s="127"/>
      <c r="B240" s="109"/>
      <c r="C240" s="161"/>
      <c r="D240" s="161"/>
      <c r="E240" s="161"/>
      <c r="F240" s="118"/>
      <c r="G240" s="119"/>
      <c r="H240" s="165"/>
      <c r="I240" s="119"/>
      <c r="J240" s="119"/>
      <c r="K240" s="157"/>
    </row>
    <row r="241" spans="1:11" x14ac:dyDescent="0.3">
      <c r="A241" s="127"/>
      <c r="B241" s="109"/>
      <c r="C241" s="161"/>
      <c r="D241" s="161"/>
      <c r="E241" s="161"/>
      <c r="F241" s="118"/>
      <c r="G241" s="119"/>
      <c r="H241" s="165"/>
      <c r="I241" s="119"/>
      <c r="J241" s="119"/>
      <c r="K241" s="157"/>
    </row>
    <row r="242" spans="1:11" x14ac:dyDescent="0.3">
      <c r="A242" s="127"/>
      <c r="B242" s="109"/>
      <c r="C242" s="161"/>
      <c r="D242" s="161"/>
      <c r="E242" s="161"/>
      <c r="F242" s="118"/>
      <c r="G242" s="119"/>
      <c r="H242" s="165"/>
      <c r="I242" s="119"/>
      <c r="J242" s="119"/>
      <c r="K242" s="157"/>
    </row>
    <row r="243" spans="1:11" x14ac:dyDescent="0.3">
      <c r="A243" s="127"/>
      <c r="B243" s="109"/>
      <c r="C243" s="161"/>
      <c r="D243" s="161"/>
      <c r="E243" s="161"/>
      <c r="F243" s="118"/>
      <c r="G243" s="119"/>
      <c r="H243" s="165"/>
      <c r="I243" s="119"/>
      <c r="J243" s="119"/>
      <c r="K243" s="157"/>
    </row>
    <row r="244" spans="1:11" x14ac:dyDescent="0.3">
      <c r="A244" s="127"/>
      <c r="B244" s="109"/>
      <c r="C244" s="161"/>
      <c r="D244" s="161"/>
      <c r="E244" s="161"/>
      <c r="F244" s="118"/>
      <c r="G244" s="119"/>
      <c r="H244" s="165"/>
      <c r="I244" s="119"/>
      <c r="J244" s="119"/>
      <c r="K244" s="157"/>
    </row>
    <row r="245" spans="1:11" x14ac:dyDescent="0.3">
      <c r="A245" s="127"/>
      <c r="B245" s="109"/>
      <c r="C245" s="161"/>
      <c r="D245" s="161"/>
      <c r="E245" s="161"/>
      <c r="F245" s="118"/>
      <c r="G245" s="119"/>
      <c r="H245" s="165"/>
      <c r="I245" s="119"/>
      <c r="J245" s="119"/>
      <c r="K245" s="157"/>
    </row>
    <row r="246" spans="1:11" x14ac:dyDescent="0.3">
      <c r="A246" s="127"/>
      <c r="B246" s="109"/>
      <c r="C246" s="161"/>
      <c r="D246" s="161"/>
      <c r="E246" s="161"/>
      <c r="F246" s="118"/>
      <c r="G246" s="119"/>
      <c r="H246" s="165"/>
      <c r="I246" s="119"/>
      <c r="J246" s="119"/>
      <c r="K246" s="157"/>
    </row>
    <row r="247" spans="1:11" x14ac:dyDescent="0.3">
      <c r="A247" s="127"/>
      <c r="B247" s="109"/>
      <c r="C247" s="161"/>
      <c r="D247" s="161"/>
      <c r="E247" s="161"/>
      <c r="F247" s="118"/>
      <c r="G247" s="119"/>
      <c r="H247" s="165"/>
      <c r="I247" s="119"/>
      <c r="J247" s="119"/>
      <c r="K247" s="157"/>
    </row>
    <row r="248" spans="1:11" x14ac:dyDescent="0.3">
      <c r="A248" s="127"/>
      <c r="B248" s="109"/>
      <c r="C248" s="161"/>
      <c r="D248" s="161"/>
      <c r="E248" s="161"/>
      <c r="F248" s="118"/>
      <c r="G248" s="119"/>
      <c r="H248" s="165"/>
      <c r="I248" s="119"/>
      <c r="J248" s="119"/>
      <c r="K248" s="157"/>
    </row>
    <row r="249" spans="1:11" x14ac:dyDescent="0.3">
      <c r="A249" s="127"/>
      <c r="B249" s="109"/>
      <c r="C249" s="161"/>
      <c r="D249" s="161"/>
      <c r="E249" s="161"/>
      <c r="F249" s="118"/>
      <c r="G249" s="119"/>
      <c r="H249" s="165"/>
      <c r="I249" s="119"/>
      <c r="J249" s="119"/>
      <c r="K249" s="157"/>
    </row>
    <row r="250" spans="1:11" x14ac:dyDescent="0.3">
      <c r="A250" s="127"/>
      <c r="B250" s="109"/>
      <c r="C250" s="161"/>
      <c r="D250" s="161"/>
      <c r="E250" s="161"/>
      <c r="F250" s="118"/>
      <c r="G250" s="119"/>
      <c r="H250" s="165"/>
      <c r="I250" s="119"/>
      <c r="J250" s="119"/>
      <c r="K250" s="157"/>
    </row>
    <row r="251" spans="1:11" x14ac:dyDescent="0.3">
      <c r="A251" s="127"/>
      <c r="B251" s="109"/>
      <c r="C251" s="161"/>
      <c r="D251" s="161"/>
      <c r="E251" s="161"/>
      <c r="F251" s="118"/>
      <c r="G251" s="119"/>
      <c r="H251" s="165"/>
      <c r="I251" s="119"/>
      <c r="J251" s="119"/>
      <c r="K251" s="157"/>
    </row>
    <row r="252" spans="1:11" x14ac:dyDescent="0.3">
      <c r="A252" s="127"/>
      <c r="B252" s="109"/>
      <c r="C252" s="161"/>
      <c r="D252" s="161"/>
      <c r="E252" s="161"/>
      <c r="F252" s="118"/>
      <c r="G252" s="119"/>
      <c r="H252" s="165"/>
      <c r="I252" s="119"/>
      <c r="J252" s="119"/>
      <c r="K252" s="157"/>
    </row>
    <row r="253" spans="1:11" x14ac:dyDescent="0.3">
      <c r="A253" s="127"/>
      <c r="B253" s="109"/>
      <c r="C253" s="161"/>
      <c r="D253" s="161"/>
      <c r="E253" s="161"/>
      <c r="F253" s="118"/>
      <c r="G253" s="119"/>
      <c r="H253" s="165"/>
      <c r="I253" s="119"/>
      <c r="J253" s="119"/>
      <c r="K253" s="157"/>
    </row>
    <row r="254" spans="1:11" x14ac:dyDescent="0.3">
      <c r="A254" s="127"/>
      <c r="B254" s="109"/>
      <c r="C254" s="161"/>
      <c r="D254" s="161"/>
      <c r="E254" s="161"/>
      <c r="F254" s="118"/>
      <c r="G254" s="119"/>
      <c r="H254" s="165"/>
      <c r="I254" s="119"/>
      <c r="J254" s="119"/>
      <c r="K254" s="157"/>
    </row>
    <row r="255" spans="1:11" x14ac:dyDescent="0.3">
      <c r="A255" s="127"/>
      <c r="B255" s="109"/>
      <c r="C255" s="161"/>
      <c r="D255" s="161"/>
      <c r="E255" s="161"/>
      <c r="F255" s="118"/>
      <c r="G255" s="119"/>
      <c r="H255" s="165"/>
      <c r="I255" s="119"/>
      <c r="J255" s="119"/>
      <c r="K255" s="157"/>
    </row>
    <row r="256" spans="1:11" x14ac:dyDescent="0.3">
      <c r="A256" s="127"/>
      <c r="B256" s="109"/>
      <c r="C256" s="161"/>
      <c r="D256" s="161"/>
      <c r="E256" s="161"/>
      <c r="F256" s="118"/>
      <c r="G256" s="119"/>
      <c r="H256" s="165"/>
      <c r="I256" s="119"/>
      <c r="J256" s="119"/>
      <c r="K256" s="157"/>
    </row>
    <row r="257" spans="1:11" x14ac:dyDescent="0.3">
      <c r="A257" s="127"/>
      <c r="B257" s="109"/>
      <c r="C257" s="161"/>
      <c r="D257" s="161"/>
      <c r="E257" s="161"/>
      <c r="F257" s="118"/>
      <c r="G257" s="119"/>
      <c r="H257" s="165"/>
      <c r="I257" s="119"/>
      <c r="J257" s="119"/>
      <c r="K257" s="157"/>
    </row>
    <row r="258" spans="1:11" x14ac:dyDescent="0.3">
      <c r="A258" s="127"/>
      <c r="B258" s="109"/>
      <c r="C258" s="161"/>
      <c r="D258" s="161"/>
      <c r="E258" s="161"/>
      <c r="F258" s="118"/>
      <c r="G258" s="119"/>
      <c r="H258" s="165"/>
      <c r="I258" s="119"/>
      <c r="J258" s="119"/>
      <c r="K258" s="157"/>
    </row>
    <row r="259" spans="1:11" x14ac:dyDescent="0.3">
      <c r="A259" s="127"/>
      <c r="B259" s="109"/>
      <c r="C259" s="161"/>
      <c r="D259" s="161"/>
      <c r="E259" s="161"/>
      <c r="F259" s="118"/>
      <c r="G259" s="119"/>
      <c r="H259" s="165"/>
      <c r="I259" s="119"/>
      <c r="J259" s="119"/>
      <c r="K259" s="157"/>
    </row>
    <row r="260" spans="1:11" x14ac:dyDescent="0.3">
      <c r="A260" s="127"/>
      <c r="B260" s="109"/>
      <c r="C260" s="161"/>
      <c r="D260" s="161"/>
      <c r="E260" s="161"/>
      <c r="F260" s="118"/>
      <c r="G260" s="119"/>
      <c r="H260" s="165"/>
      <c r="I260" s="119"/>
      <c r="J260" s="119"/>
      <c r="K260" s="157"/>
    </row>
    <row r="261" spans="1:11" x14ac:dyDescent="0.3">
      <c r="A261" s="127"/>
      <c r="B261" s="109"/>
      <c r="C261" s="161"/>
      <c r="D261" s="161"/>
      <c r="E261" s="161"/>
      <c r="F261" s="118"/>
      <c r="G261" s="119"/>
      <c r="H261" s="165"/>
      <c r="I261" s="119"/>
      <c r="J261" s="119"/>
      <c r="K261" s="157"/>
    </row>
    <row r="262" spans="1:11" x14ac:dyDescent="0.3">
      <c r="A262" s="127"/>
      <c r="B262" s="109"/>
      <c r="C262" s="161"/>
      <c r="D262" s="161"/>
      <c r="E262" s="161"/>
      <c r="F262" s="118"/>
      <c r="G262" s="119"/>
      <c r="H262" s="165"/>
      <c r="I262" s="119"/>
      <c r="J262" s="119"/>
      <c r="K262" s="157"/>
    </row>
    <row r="263" spans="1:11" x14ac:dyDescent="0.3">
      <c r="A263" s="127"/>
      <c r="B263" s="109"/>
      <c r="C263" s="161"/>
      <c r="D263" s="161"/>
      <c r="E263" s="161"/>
      <c r="F263" s="118"/>
      <c r="G263" s="119"/>
      <c r="H263" s="165"/>
      <c r="I263" s="119"/>
      <c r="J263" s="119"/>
      <c r="K263" s="157"/>
    </row>
    <row r="264" spans="1:11" x14ac:dyDescent="0.3">
      <c r="A264" s="127"/>
      <c r="B264" s="109"/>
      <c r="C264" s="161"/>
      <c r="D264" s="161"/>
      <c r="E264" s="161"/>
      <c r="F264" s="118"/>
      <c r="G264" s="119"/>
      <c r="H264" s="165"/>
      <c r="I264" s="119"/>
      <c r="J264" s="119"/>
      <c r="K264" s="157"/>
    </row>
    <row r="265" spans="1:11" x14ac:dyDescent="0.3">
      <c r="A265" s="127"/>
      <c r="B265" s="109"/>
      <c r="C265" s="161"/>
      <c r="D265" s="161"/>
      <c r="E265" s="161"/>
      <c r="F265" s="118"/>
      <c r="G265" s="119"/>
      <c r="H265" s="165"/>
      <c r="I265" s="119"/>
      <c r="J265" s="119"/>
      <c r="K265" s="157"/>
    </row>
    <row r="266" spans="1:11" x14ac:dyDescent="0.3">
      <c r="A266" s="127"/>
      <c r="B266" s="109"/>
      <c r="C266" s="161"/>
      <c r="D266" s="161"/>
      <c r="E266" s="161"/>
      <c r="F266" s="118"/>
      <c r="G266" s="119"/>
      <c r="H266" s="165"/>
      <c r="I266" s="119"/>
      <c r="J266" s="119"/>
      <c r="K266" s="157"/>
    </row>
    <row r="267" spans="1:11" x14ac:dyDescent="0.3">
      <c r="A267" s="127"/>
      <c r="B267" s="109"/>
      <c r="C267" s="161"/>
      <c r="D267" s="161"/>
      <c r="E267" s="161"/>
      <c r="F267" s="118"/>
      <c r="G267" s="119"/>
      <c r="H267" s="165"/>
      <c r="I267" s="119"/>
      <c r="J267" s="119"/>
      <c r="K267" s="157"/>
    </row>
    <row r="268" spans="1:11" x14ac:dyDescent="0.3">
      <c r="A268" s="127"/>
      <c r="B268" s="109"/>
      <c r="C268" s="161"/>
      <c r="D268" s="161"/>
      <c r="E268" s="161"/>
      <c r="F268" s="118"/>
      <c r="G268" s="119"/>
      <c r="H268" s="165"/>
      <c r="I268" s="119"/>
      <c r="J268" s="119"/>
      <c r="K268" s="157"/>
    </row>
    <row r="269" spans="1:11" x14ac:dyDescent="0.3">
      <c r="A269" s="127"/>
      <c r="B269" s="109"/>
      <c r="C269" s="161"/>
      <c r="D269" s="161"/>
      <c r="E269" s="161"/>
      <c r="F269" s="118"/>
      <c r="G269" s="119"/>
      <c r="H269" s="165"/>
      <c r="I269" s="119"/>
      <c r="J269" s="119"/>
      <c r="K269" s="157"/>
    </row>
    <row r="270" spans="1:11" x14ac:dyDescent="0.3">
      <c r="A270" s="127"/>
      <c r="B270" s="109"/>
      <c r="C270" s="161"/>
      <c r="D270" s="161"/>
      <c r="E270" s="161"/>
      <c r="F270" s="118"/>
      <c r="G270" s="119"/>
      <c r="H270" s="165"/>
      <c r="I270" s="119"/>
      <c r="J270" s="119"/>
      <c r="K270" s="157"/>
    </row>
    <row r="271" spans="1:11" x14ac:dyDescent="0.3">
      <c r="A271" s="127"/>
      <c r="B271" s="109"/>
      <c r="C271" s="161"/>
      <c r="D271" s="161"/>
      <c r="E271" s="161"/>
      <c r="F271" s="118"/>
      <c r="G271" s="119"/>
      <c r="H271" s="165"/>
      <c r="I271" s="119"/>
      <c r="J271" s="119"/>
      <c r="K271" s="157"/>
    </row>
    <row r="272" spans="1:11" x14ac:dyDescent="0.3">
      <c r="A272" s="127"/>
      <c r="B272" s="109"/>
      <c r="C272" s="161"/>
      <c r="D272" s="161"/>
      <c r="E272" s="161"/>
      <c r="F272" s="118"/>
      <c r="G272" s="119"/>
      <c r="H272" s="165"/>
      <c r="I272" s="119"/>
      <c r="J272" s="119"/>
      <c r="K272" s="157"/>
    </row>
    <row r="273" spans="1:11" x14ac:dyDescent="0.3">
      <c r="A273" s="127"/>
      <c r="B273" s="109"/>
      <c r="C273" s="161"/>
      <c r="D273" s="161"/>
      <c r="E273" s="161"/>
      <c r="F273" s="118"/>
      <c r="G273" s="119"/>
      <c r="H273" s="165"/>
      <c r="I273" s="119"/>
      <c r="J273" s="119"/>
      <c r="K273" s="157"/>
    </row>
    <row r="274" spans="1:11" x14ac:dyDescent="0.3">
      <c r="A274" s="127"/>
      <c r="B274" s="109"/>
      <c r="C274" s="161"/>
      <c r="D274" s="161"/>
      <c r="E274" s="161"/>
      <c r="F274" s="118"/>
      <c r="G274" s="119"/>
      <c r="H274" s="165"/>
      <c r="I274" s="119"/>
      <c r="J274" s="119"/>
      <c r="K274" s="157"/>
    </row>
    <row r="275" spans="1:11" x14ac:dyDescent="0.3">
      <c r="A275" s="127"/>
      <c r="B275" s="109"/>
      <c r="C275" s="161"/>
      <c r="D275" s="161"/>
      <c r="E275" s="161"/>
      <c r="F275" s="118"/>
      <c r="G275" s="119"/>
      <c r="H275" s="165"/>
      <c r="I275" s="119"/>
      <c r="J275" s="119"/>
      <c r="K275" s="157"/>
    </row>
    <row r="276" spans="1:11" x14ac:dyDescent="0.3">
      <c r="A276" s="127"/>
      <c r="B276" s="109"/>
      <c r="C276" s="161"/>
      <c r="D276" s="161"/>
      <c r="E276" s="161"/>
      <c r="F276" s="118"/>
      <c r="G276" s="119"/>
      <c r="H276" s="165"/>
      <c r="I276" s="119"/>
      <c r="J276" s="119"/>
      <c r="K276" s="157"/>
    </row>
    <row r="277" spans="1:11" x14ac:dyDescent="0.3">
      <c r="A277" s="127"/>
      <c r="B277" s="109"/>
      <c r="C277" s="161"/>
      <c r="D277" s="161"/>
      <c r="E277" s="161"/>
      <c r="F277" s="118"/>
      <c r="G277" s="119"/>
      <c r="H277" s="165"/>
      <c r="I277" s="119"/>
      <c r="J277" s="119"/>
      <c r="K277" s="157"/>
    </row>
    <row r="278" spans="1:11" x14ac:dyDescent="0.3">
      <c r="A278" s="127"/>
      <c r="B278" s="109"/>
      <c r="C278" s="161"/>
      <c r="D278" s="161"/>
      <c r="E278" s="161"/>
      <c r="F278" s="118"/>
      <c r="G278" s="119"/>
      <c r="H278" s="165"/>
      <c r="I278" s="119"/>
      <c r="J278" s="119"/>
      <c r="K278" s="157"/>
    </row>
    <row r="279" spans="1:11" x14ac:dyDescent="0.3">
      <c r="A279" s="127"/>
      <c r="B279" s="109"/>
      <c r="C279" s="161"/>
      <c r="D279" s="161"/>
      <c r="E279" s="161"/>
      <c r="F279" s="118"/>
      <c r="G279" s="119"/>
      <c r="H279" s="165"/>
      <c r="I279" s="119"/>
      <c r="J279" s="119"/>
      <c r="K279" s="157"/>
    </row>
    <row r="280" spans="1:11" x14ac:dyDescent="0.3">
      <c r="A280" s="127"/>
      <c r="B280" s="109"/>
      <c r="C280" s="161"/>
      <c r="D280" s="161"/>
      <c r="E280" s="161"/>
      <c r="F280" s="118"/>
      <c r="G280" s="119"/>
      <c r="H280" s="165"/>
      <c r="I280" s="119"/>
      <c r="J280" s="119"/>
      <c r="K280" s="157"/>
    </row>
    <row r="281" spans="1:11" x14ac:dyDescent="0.3">
      <c r="A281" s="127"/>
      <c r="B281" s="109"/>
      <c r="C281" s="161"/>
      <c r="D281" s="161"/>
      <c r="E281" s="161"/>
      <c r="F281" s="118"/>
      <c r="G281" s="119"/>
      <c r="H281" s="165"/>
      <c r="I281" s="119"/>
      <c r="J281" s="119"/>
      <c r="K281" s="157"/>
    </row>
    <row r="282" spans="1:11" x14ac:dyDescent="0.3">
      <c r="A282" s="127"/>
      <c r="B282" s="109"/>
      <c r="C282" s="161"/>
      <c r="D282" s="161"/>
      <c r="E282" s="161"/>
      <c r="F282" s="118"/>
      <c r="G282" s="119"/>
      <c r="H282" s="165"/>
      <c r="I282" s="119"/>
      <c r="J282" s="119"/>
      <c r="K282" s="157"/>
    </row>
    <row r="283" spans="1:11" x14ac:dyDescent="0.3">
      <c r="A283" s="127"/>
      <c r="B283" s="109"/>
      <c r="C283" s="161"/>
      <c r="D283" s="161"/>
      <c r="E283" s="161"/>
      <c r="F283" s="118"/>
      <c r="G283" s="119"/>
      <c r="H283" s="165"/>
      <c r="I283" s="119"/>
      <c r="J283" s="119"/>
      <c r="K283" s="157"/>
    </row>
    <row r="284" spans="1:11" x14ac:dyDescent="0.3">
      <c r="A284" s="127"/>
      <c r="B284" s="109"/>
      <c r="C284" s="161"/>
      <c r="D284" s="161"/>
      <c r="E284" s="161"/>
      <c r="F284" s="118"/>
      <c r="G284" s="119"/>
      <c r="H284" s="165"/>
      <c r="I284" s="119"/>
      <c r="J284" s="119"/>
      <c r="K284" s="157"/>
    </row>
    <row r="285" spans="1:11" x14ac:dyDescent="0.3">
      <c r="A285" s="127"/>
      <c r="B285" s="109"/>
      <c r="C285" s="161"/>
      <c r="D285" s="161"/>
      <c r="E285" s="161"/>
      <c r="F285" s="118"/>
      <c r="G285" s="119"/>
      <c r="H285" s="165"/>
      <c r="I285" s="119"/>
      <c r="J285" s="119"/>
      <c r="K285" s="157"/>
    </row>
    <row r="286" spans="1:11" x14ac:dyDescent="0.3">
      <c r="A286" s="127"/>
      <c r="B286" s="109"/>
      <c r="C286" s="161"/>
      <c r="D286" s="161"/>
      <c r="E286" s="161"/>
      <c r="F286" s="118"/>
      <c r="G286" s="119"/>
      <c r="H286" s="165"/>
      <c r="I286" s="119"/>
      <c r="J286" s="119"/>
      <c r="K286" s="157"/>
    </row>
    <row r="287" spans="1:11" x14ac:dyDescent="0.3">
      <c r="A287" s="127"/>
      <c r="B287" s="109"/>
      <c r="C287" s="161"/>
      <c r="D287" s="161"/>
      <c r="E287" s="161"/>
      <c r="F287" s="118"/>
      <c r="G287" s="119"/>
      <c r="H287" s="165"/>
      <c r="I287" s="119"/>
      <c r="J287" s="119"/>
      <c r="K287" s="157"/>
    </row>
    <row r="288" spans="1:11" x14ac:dyDescent="0.3">
      <c r="A288" s="127"/>
      <c r="B288" s="109"/>
      <c r="C288" s="161"/>
      <c r="D288" s="161"/>
      <c r="E288" s="161"/>
      <c r="F288" s="118"/>
      <c r="G288" s="119"/>
      <c r="H288" s="165"/>
      <c r="I288" s="119"/>
      <c r="J288" s="119"/>
      <c r="K288" s="157"/>
    </row>
    <row r="289" spans="1:11" x14ac:dyDescent="0.3">
      <c r="A289" s="127"/>
      <c r="B289" s="109"/>
      <c r="C289" s="161"/>
      <c r="D289" s="161"/>
      <c r="E289" s="161"/>
      <c r="F289" s="118"/>
      <c r="G289" s="119"/>
      <c r="H289" s="165"/>
      <c r="I289" s="119"/>
      <c r="J289" s="119"/>
      <c r="K289" s="157"/>
    </row>
    <row r="290" spans="1:11" x14ac:dyDescent="0.3">
      <c r="A290" s="127"/>
      <c r="B290" s="109"/>
      <c r="C290" s="161"/>
      <c r="D290" s="161"/>
      <c r="E290" s="161"/>
      <c r="F290" s="118"/>
      <c r="G290" s="119"/>
      <c r="H290" s="165"/>
      <c r="I290" s="119"/>
      <c r="J290" s="119"/>
      <c r="K290" s="157"/>
    </row>
    <row r="291" spans="1:11" x14ac:dyDescent="0.3">
      <c r="A291" s="127"/>
      <c r="B291" s="109"/>
      <c r="C291" s="161"/>
      <c r="D291" s="161"/>
      <c r="E291" s="161"/>
      <c r="F291" s="118"/>
      <c r="G291" s="119"/>
      <c r="H291" s="165"/>
      <c r="I291" s="119"/>
      <c r="J291" s="119"/>
      <c r="K291" s="157"/>
    </row>
    <row r="292" spans="1:11" x14ac:dyDescent="0.3">
      <c r="A292" s="127"/>
      <c r="B292" s="109"/>
      <c r="C292" s="161"/>
      <c r="D292" s="161"/>
      <c r="E292" s="161"/>
      <c r="F292" s="118"/>
      <c r="G292" s="119"/>
      <c r="H292" s="165"/>
      <c r="I292" s="119"/>
      <c r="J292" s="119"/>
      <c r="K292" s="157"/>
    </row>
    <row r="293" spans="1:11" x14ac:dyDescent="0.3">
      <c r="A293" s="127"/>
      <c r="B293" s="109"/>
      <c r="C293" s="161"/>
      <c r="D293" s="161"/>
      <c r="E293" s="161"/>
      <c r="F293" s="118"/>
      <c r="G293" s="119"/>
      <c r="H293" s="165"/>
      <c r="I293" s="119"/>
      <c r="J293" s="119"/>
      <c r="K293" s="157"/>
    </row>
    <row r="294" spans="1:11" x14ac:dyDescent="0.3">
      <c r="A294" s="127"/>
      <c r="B294" s="109"/>
      <c r="C294" s="161"/>
      <c r="D294" s="161"/>
      <c r="E294" s="161"/>
      <c r="F294" s="118"/>
      <c r="G294" s="119"/>
      <c r="H294" s="165"/>
      <c r="I294" s="119"/>
      <c r="J294" s="119"/>
      <c r="K294" s="157"/>
    </row>
    <row r="295" spans="1:11" x14ac:dyDescent="0.3">
      <c r="A295" s="127"/>
      <c r="B295" s="109"/>
      <c r="C295" s="161"/>
      <c r="D295" s="161"/>
      <c r="E295" s="161"/>
      <c r="F295" s="118"/>
      <c r="G295" s="119"/>
      <c r="H295" s="165"/>
      <c r="I295" s="119"/>
      <c r="J295" s="119"/>
      <c r="K295" s="157"/>
    </row>
    <row r="296" spans="1:11" x14ac:dyDescent="0.3">
      <c r="A296" s="127"/>
      <c r="B296" s="109"/>
      <c r="C296" s="161"/>
      <c r="D296" s="161"/>
      <c r="E296" s="161"/>
      <c r="F296" s="118"/>
      <c r="G296" s="119"/>
      <c r="H296" s="165"/>
      <c r="I296" s="119"/>
      <c r="J296" s="119"/>
      <c r="K296" s="157"/>
    </row>
    <row r="297" spans="1:11" x14ac:dyDescent="0.3">
      <c r="A297" s="127"/>
      <c r="B297" s="109"/>
      <c r="C297" s="161"/>
      <c r="D297" s="161"/>
      <c r="E297" s="161"/>
      <c r="F297" s="118"/>
      <c r="G297" s="119"/>
      <c r="H297" s="165"/>
      <c r="I297" s="119"/>
      <c r="J297" s="119"/>
      <c r="K297" s="157"/>
    </row>
    <row r="298" spans="1:11" x14ac:dyDescent="0.3">
      <c r="A298" s="127"/>
      <c r="B298" s="109"/>
      <c r="C298" s="161"/>
      <c r="D298" s="161"/>
      <c r="E298" s="161"/>
      <c r="F298" s="118"/>
      <c r="G298" s="119"/>
      <c r="H298" s="165"/>
      <c r="I298" s="119"/>
      <c r="J298" s="119"/>
      <c r="K298" s="157"/>
    </row>
    <row r="299" spans="1:11" x14ac:dyDescent="0.3">
      <c r="A299" s="127"/>
      <c r="B299" s="109"/>
      <c r="C299" s="161"/>
      <c r="D299" s="161"/>
      <c r="E299" s="161"/>
      <c r="F299" s="118"/>
      <c r="G299" s="119"/>
      <c r="H299" s="165"/>
      <c r="I299" s="119"/>
      <c r="J299" s="119"/>
      <c r="K299" s="157"/>
    </row>
    <row r="300" spans="1:11" x14ac:dyDescent="0.3">
      <c r="A300" s="127"/>
      <c r="B300" s="109"/>
      <c r="C300" s="161"/>
      <c r="D300" s="161"/>
      <c r="E300" s="161"/>
      <c r="F300" s="118"/>
      <c r="G300" s="119"/>
      <c r="H300" s="165"/>
      <c r="I300" s="119"/>
      <c r="J300" s="119"/>
      <c r="K300" s="157"/>
    </row>
    <row r="301" spans="1:11" x14ac:dyDescent="0.3">
      <c r="A301" s="127"/>
      <c r="B301" s="109"/>
      <c r="C301" s="161"/>
      <c r="D301" s="161"/>
      <c r="E301" s="161"/>
      <c r="F301" s="118"/>
      <c r="G301" s="119"/>
      <c r="H301" s="165"/>
      <c r="I301" s="119"/>
      <c r="J301" s="119"/>
      <c r="K301" s="157"/>
    </row>
    <row r="302" spans="1:11" x14ac:dyDescent="0.3">
      <c r="A302" s="127"/>
      <c r="B302" s="109"/>
      <c r="C302" s="161"/>
      <c r="D302" s="161"/>
      <c r="E302" s="161"/>
      <c r="F302" s="118"/>
      <c r="G302" s="119"/>
      <c r="H302" s="165"/>
      <c r="I302" s="119"/>
      <c r="J302" s="119"/>
      <c r="K302" s="157"/>
    </row>
    <row r="303" spans="1:11" x14ac:dyDescent="0.3">
      <c r="A303" s="127"/>
      <c r="B303" s="109"/>
      <c r="C303" s="161"/>
      <c r="D303" s="161"/>
      <c r="E303" s="161"/>
      <c r="F303" s="118"/>
      <c r="G303" s="119"/>
      <c r="H303" s="165"/>
      <c r="I303" s="119"/>
      <c r="J303" s="119"/>
      <c r="K303" s="157"/>
    </row>
    <row r="304" spans="1:11" x14ac:dyDescent="0.3">
      <c r="A304" s="127"/>
      <c r="B304" s="109"/>
      <c r="C304" s="161"/>
      <c r="D304" s="161"/>
      <c r="E304" s="161"/>
      <c r="F304" s="118"/>
      <c r="G304" s="119"/>
      <c r="H304" s="165"/>
      <c r="I304" s="119"/>
      <c r="J304" s="119"/>
      <c r="K304" s="157"/>
    </row>
    <row r="305" spans="1:11" x14ac:dyDescent="0.3">
      <c r="A305" s="127"/>
      <c r="B305" s="109"/>
      <c r="C305" s="161"/>
      <c r="D305" s="161"/>
      <c r="E305" s="161"/>
      <c r="F305" s="118"/>
      <c r="G305" s="119"/>
      <c r="H305" s="165"/>
      <c r="I305" s="119"/>
      <c r="J305" s="119"/>
      <c r="K305" s="157"/>
    </row>
    <row r="306" spans="1:11" x14ac:dyDescent="0.3">
      <c r="A306" s="127"/>
      <c r="B306" s="109"/>
      <c r="C306" s="161"/>
      <c r="D306" s="161"/>
      <c r="E306" s="161"/>
      <c r="F306" s="118"/>
      <c r="G306" s="119"/>
      <c r="H306" s="165"/>
      <c r="I306" s="119"/>
      <c r="J306" s="119"/>
      <c r="K306" s="157"/>
    </row>
    <row r="307" spans="1:11" x14ac:dyDescent="0.3">
      <c r="A307" s="127"/>
      <c r="B307" s="109"/>
      <c r="C307" s="161"/>
      <c r="D307" s="161"/>
      <c r="E307" s="161"/>
      <c r="F307" s="118"/>
      <c r="G307" s="119"/>
      <c r="H307" s="165"/>
      <c r="I307" s="119"/>
      <c r="J307" s="119"/>
      <c r="K307" s="157"/>
    </row>
    <row r="308" spans="1:11" x14ac:dyDescent="0.3">
      <c r="A308" s="127"/>
      <c r="B308" s="109"/>
      <c r="C308" s="161"/>
      <c r="D308" s="161"/>
      <c r="E308" s="161"/>
      <c r="F308" s="118"/>
      <c r="G308" s="119"/>
      <c r="H308" s="165"/>
      <c r="I308" s="119"/>
      <c r="J308" s="119"/>
      <c r="K308" s="157"/>
    </row>
    <row r="309" spans="1:11" x14ac:dyDescent="0.3">
      <c r="A309" s="127"/>
      <c r="B309" s="109"/>
      <c r="C309" s="161"/>
      <c r="D309" s="161"/>
      <c r="E309" s="161"/>
      <c r="F309" s="118"/>
      <c r="G309" s="119"/>
      <c r="H309" s="165"/>
      <c r="I309" s="119"/>
      <c r="J309" s="119"/>
      <c r="K309" s="157"/>
    </row>
    <row r="310" spans="1:11" x14ac:dyDescent="0.3">
      <c r="A310" s="127"/>
      <c r="B310" s="109"/>
      <c r="C310" s="161"/>
      <c r="D310" s="161"/>
      <c r="E310" s="161"/>
      <c r="F310" s="118"/>
      <c r="G310" s="119"/>
      <c r="H310" s="165"/>
      <c r="I310" s="119"/>
      <c r="J310" s="119"/>
      <c r="K310" s="157"/>
    </row>
    <row r="311" spans="1:11" x14ac:dyDescent="0.3">
      <c r="A311" s="127"/>
      <c r="B311" s="109"/>
      <c r="C311" s="161"/>
      <c r="D311" s="161"/>
      <c r="E311" s="161"/>
      <c r="F311" s="118"/>
      <c r="G311" s="119"/>
      <c r="H311" s="165"/>
      <c r="I311" s="119"/>
      <c r="J311" s="119"/>
      <c r="K311" s="157"/>
    </row>
    <row r="312" spans="1:11" x14ac:dyDescent="0.3">
      <c r="A312" s="127"/>
      <c r="B312" s="109"/>
      <c r="C312" s="161"/>
      <c r="D312" s="161"/>
      <c r="E312" s="161"/>
      <c r="F312" s="118"/>
      <c r="G312" s="119"/>
      <c r="H312" s="165"/>
      <c r="I312" s="119"/>
      <c r="J312" s="119"/>
      <c r="K312" s="157"/>
    </row>
    <row r="313" spans="1:11" x14ac:dyDescent="0.3">
      <c r="A313" s="127"/>
      <c r="B313" s="109"/>
      <c r="C313" s="161"/>
      <c r="D313" s="161"/>
      <c r="E313" s="161"/>
      <c r="F313" s="118"/>
      <c r="G313" s="119"/>
      <c r="H313" s="165"/>
      <c r="I313" s="119"/>
      <c r="J313" s="119"/>
      <c r="K313" s="157"/>
    </row>
    <row r="314" spans="1:11" x14ac:dyDescent="0.3">
      <c r="A314" s="127"/>
      <c r="B314" s="109"/>
      <c r="C314" s="161"/>
      <c r="D314" s="161"/>
      <c r="E314" s="161"/>
      <c r="F314" s="118"/>
      <c r="G314" s="119"/>
      <c r="H314" s="165"/>
      <c r="I314" s="119"/>
      <c r="J314" s="119"/>
      <c r="K314" s="157"/>
    </row>
    <row r="315" spans="1:11" x14ac:dyDescent="0.3">
      <c r="A315" s="127"/>
      <c r="B315" s="109"/>
      <c r="C315" s="161"/>
      <c r="D315" s="161"/>
      <c r="E315" s="161"/>
      <c r="F315" s="118"/>
      <c r="G315" s="119"/>
      <c r="H315" s="165"/>
      <c r="I315" s="119"/>
      <c r="J315" s="119"/>
      <c r="K315" s="157"/>
    </row>
    <row r="316" spans="1:11" x14ac:dyDescent="0.3">
      <c r="A316" s="127"/>
      <c r="B316" s="109"/>
      <c r="C316" s="161"/>
      <c r="D316" s="161"/>
      <c r="E316" s="161"/>
      <c r="F316" s="118"/>
      <c r="G316" s="119"/>
      <c r="H316" s="165"/>
      <c r="I316" s="119"/>
      <c r="J316" s="119"/>
      <c r="K316" s="157"/>
    </row>
    <row r="317" spans="1:11" x14ac:dyDescent="0.3">
      <c r="A317" s="127"/>
      <c r="B317" s="109"/>
      <c r="C317" s="161"/>
      <c r="D317" s="161"/>
      <c r="E317" s="161"/>
      <c r="F317" s="118"/>
      <c r="G317" s="119"/>
      <c r="H317" s="165"/>
      <c r="I317" s="119"/>
      <c r="J317" s="119"/>
      <c r="K317" s="157"/>
    </row>
    <row r="318" spans="1:11" x14ac:dyDescent="0.3">
      <c r="A318" s="127"/>
      <c r="B318" s="109"/>
      <c r="C318" s="161"/>
      <c r="D318" s="161"/>
      <c r="E318" s="161"/>
      <c r="F318" s="118"/>
      <c r="G318" s="119"/>
      <c r="H318" s="165"/>
      <c r="I318" s="119"/>
      <c r="J318" s="119"/>
      <c r="K318" s="157"/>
    </row>
    <row r="319" spans="1:11" x14ac:dyDescent="0.3">
      <c r="A319" s="127"/>
      <c r="B319" s="109"/>
      <c r="C319" s="161"/>
      <c r="D319" s="161"/>
      <c r="E319" s="161"/>
      <c r="F319" s="118"/>
      <c r="G319" s="119"/>
      <c r="H319" s="165"/>
      <c r="I319" s="119"/>
      <c r="J319" s="119"/>
      <c r="K319" s="157"/>
    </row>
    <row r="320" spans="1:11" x14ac:dyDescent="0.3">
      <c r="A320" s="127"/>
      <c r="B320" s="109"/>
      <c r="C320" s="161"/>
      <c r="D320" s="161"/>
      <c r="E320" s="161"/>
      <c r="F320" s="118"/>
      <c r="G320" s="119"/>
      <c r="H320" s="165"/>
      <c r="I320" s="119"/>
      <c r="J320" s="119"/>
      <c r="K320" s="157"/>
    </row>
    <row r="321" spans="1:11" x14ac:dyDescent="0.3">
      <c r="A321" s="127"/>
      <c r="B321" s="109"/>
      <c r="C321" s="161"/>
      <c r="D321" s="161"/>
      <c r="E321" s="161"/>
      <c r="F321" s="118"/>
      <c r="G321" s="119"/>
      <c r="H321" s="165"/>
      <c r="I321" s="119"/>
      <c r="J321" s="119"/>
      <c r="K321" s="157"/>
    </row>
    <row r="322" spans="1:11" x14ac:dyDescent="0.3">
      <c r="A322" s="127"/>
      <c r="B322" s="109"/>
      <c r="C322" s="161"/>
      <c r="D322" s="161"/>
      <c r="E322" s="161"/>
      <c r="F322" s="118"/>
      <c r="G322" s="119"/>
      <c r="H322" s="165"/>
      <c r="I322" s="119"/>
      <c r="J322" s="119"/>
      <c r="K322" s="157"/>
    </row>
    <row r="323" spans="1:11" x14ac:dyDescent="0.3">
      <c r="A323" s="127"/>
      <c r="B323" s="109"/>
      <c r="C323" s="161"/>
      <c r="D323" s="161"/>
      <c r="E323" s="161"/>
      <c r="F323" s="118"/>
      <c r="G323" s="119"/>
      <c r="H323" s="165"/>
      <c r="I323" s="119"/>
      <c r="J323" s="119"/>
      <c r="K323" s="157"/>
    </row>
    <row r="324" spans="1:11" x14ac:dyDescent="0.3">
      <c r="A324" s="127"/>
      <c r="B324" s="109"/>
      <c r="C324" s="161"/>
      <c r="D324" s="161"/>
      <c r="E324" s="161"/>
      <c r="F324" s="118"/>
      <c r="G324" s="119"/>
      <c r="H324" s="165"/>
      <c r="I324" s="119"/>
      <c r="J324" s="119"/>
      <c r="K324" s="157"/>
    </row>
    <row r="325" spans="1:11" x14ac:dyDescent="0.3">
      <c r="A325" s="127"/>
      <c r="B325" s="109"/>
      <c r="C325" s="161"/>
      <c r="D325" s="161"/>
      <c r="E325" s="161"/>
      <c r="F325" s="118"/>
      <c r="G325" s="119"/>
      <c r="H325" s="165"/>
      <c r="I325" s="119"/>
      <c r="J325" s="119"/>
      <c r="K325" s="157"/>
    </row>
    <row r="326" spans="1:11" x14ac:dyDescent="0.3">
      <c r="A326" s="127"/>
      <c r="B326" s="109"/>
      <c r="C326" s="161"/>
      <c r="D326" s="161"/>
      <c r="E326" s="161"/>
      <c r="F326" s="118"/>
      <c r="G326" s="119"/>
      <c r="H326" s="165"/>
      <c r="I326" s="119"/>
      <c r="J326" s="119"/>
      <c r="K326" s="157"/>
    </row>
    <row r="327" spans="1:11" x14ac:dyDescent="0.3">
      <c r="A327" s="127"/>
      <c r="B327" s="109"/>
      <c r="C327" s="161"/>
      <c r="D327" s="161"/>
      <c r="E327" s="161"/>
      <c r="F327" s="118"/>
      <c r="G327" s="119"/>
      <c r="H327" s="165"/>
      <c r="I327" s="119"/>
      <c r="J327" s="119"/>
      <c r="K327" s="157"/>
    </row>
    <row r="328" spans="1:11" x14ac:dyDescent="0.3">
      <c r="A328" s="127"/>
      <c r="B328" s="109"/>
      <c r="C328" s="161"/>
      <c r="D328" s="161"/>
      <c r="E328" s="161"/>
      <c r="F328" s="118"/>
      <c r="G328" s="119"/>
      <c r="H328" s="165"/>
      <c r="I328" s="119"/>
      <c r="J328" s="119"/>
      <c r="K328" s="157"/>
    </row>
    <row r="329" spans="1:11" x14ac:dyDescent="0.3">
      <c r="A329" s="127"/>
      <c r="B329" s="109"/>
      <c r="C329" s="161"/>
      <c r="D329" s="161"/>
      <c r="E329" s="161"/>
      <c r="F329" s="118"/>
      <c r="G329" s="119"/>
      <c r="H329" s="165"/>
      <c r="I329" s="119"/>
      <c r="J329" s="119"/>
      <c r="K329" s="157"/>
    </row>
    <row r="330" spans="1:11" x14ac:dyDescent="0.3">
      <c r="A330" s="127"/>
      <c r="B330" s="109"/>
      <c r="C330" s="161"/>
      <c r="D330" s="161"/>
      <c r="E330" s="161"/>
      <c r="F330" s="118"/>
      <c r="G330" s="119"/>
      <c r="H330" s="165"/>
      <c r="I330" s="119"/>
      <c r="J330" s="119"/>
      <c r="K330" s="157"/>
    </row>
    <row r="331" spans="1:11" x14ac:dyDescent="0.3">
      <c r="A331" s="127"/>
      <c r="B331" s="109"/>
      <c r="C331" s="161"/>
      <c r="D331" s="161"/>
      <c r="E331" s="161"/>
      <c r="F331" s="118"/>
      <c r="G331" s="119"/>
      <c r="H331" s="165"/>
      <c r="I331" s="119"/>
      <c r="J331" s="119"/>
      <c r="K331" s="157"/>
    </row>
    <row r="332" spans="1:11" x14ac:dyDescent="0.3">
      <c r="A332" s="127"/>
      <c r="B332" s="109"/>
      <c r="C332" s="161"/>
      <c r="D332" s="161"/>
      <c r="E332" s="161"/>
      <c r="F332" s="118"/>
      <c r="G332" s="119"/>
      <c r="H332" s="165"/>
      <c r="I332" s="119"/>
      <c r="J332" s="119"/>
      <c r="K332" s="157"/>
    </row>
    <row r="333" spans="1:11" x14ac:dyDescent="0.3">
      <c r="A333" s="127"/>
      <c r="B333" s="109"/>
      <c r="C333" s="161"/>
      <c r="D333" s="161"/>
      <c r="E333" s="161"/>
      <c r="F333" s="118"/>
      <c r="G333" s="119"/>
      <c r="H333" s="165"/>
      <c r="I333" s="119"/>
      <c r="J333" s="119"/>
      <c r="K333" s="157"/>
    </row>
    <row r="334" spans="1:11" x14ac:dyDescent="0.3">
      <c r="A334" s="127"/>
      <c r="B334" s="109"/>
      <c r="C334" s="161"/>
      <c r="D334" s="161"/>
      <c r="E334" s="161"/>
      <c r="F334" s="118"/>
      <c r="G334" s="119"/>
      <c r="H334" s="165"/>
      <c r="I334" s="119"/>
      <c r="J334" s="119"/>
      <c r="K334" s="157"/>
    </row>
    <row r="335" spans="1:11" x14ac:dyDescent="0.3">
      <c r="A335" s="127"/>
      <c r="B335" s="109"/>
      <c r="C335" s="161"/>
      <c r="D335" s="161"/>
      <c r="E335" s="161"/>
      <c r="F335" s="118"/>
      <c r="G335" s="119"/>
      <c r="H335" s="165"/>
      <c r="I335" s="119"/>
      <c r="J335" s="119"/>
      <c r="K335" s="157"/>
    </row>
    <row r="336" spans="1:11" x14ac:dyDescent="0.3">
      <c r="A336" s="127"/>
      <c r="B336" s="109"/>
      <c r="C336" s="161"/>
      <c r="D336" s="161"/>
      <c r="E336" s="161"/>
      <c r="F336" s="118"/>
      <c r="G336" s="119"/>
      <c r="H336" s="165"/>
      <c r="I336" s="119"/>
      <c r="J336" s="119"/>
      <c r="K336" s="157"/>
    </row>
    <row r="337" spans="1:11" x14ac:dyDescent="0.3">
      <c r="A337" s="127"/>
      <c r="B337" s="109"/>
      <c r="C337" s="161"/>
      <c r="D337" s="161"/>
      <c r="E337" s="161"/>
      <c r="F337" s="118"/>
      <c r="G337" s="119"/>
      <c r="H337" s="165"/>
      <c r="I337" s="119"/>
      <c r="J337" s="119"/>
      <c r="K337" s="157"/>
    </row>
    <row r="338" spans="1:11" x14ac:dyDescent="0.3">
      <c r="A338" s="127"/>
      <c r="B338" s="109"/>
      <c r="C338" s="161"/>
      <c r="D338" s="161"/>
      <c r="E338" s="161"/>
      <c r="F338" s="118"/>
      <c r="G338" s="119"/>
      <c r="H338" s="165"/>
      <c r="I338" s="119"/>
      <c r="J338" s="119"/>
      <c r="K338" s="157"/>
    </row>
    <row r="339" spans="1:11" x14ac:dyDescent="0.3">
      <c r="A339" s="127"/>
      <c r="B339" s="109"/>
      <c r="C339" s="161"/>
      <c r="D339" s="161"/>
      <c r="E339" s="161"/>
      <c r="F339" s="118"/>
      <c r="G339" s="119"/>
      <c r="H339" s="165"/>
      <c r="I339" s="119"/>
      <c r="J339" s="119"/>
      <c r="K339" s="157"/>
    </row>
    <row r="340" spans="1:11" x14ac:dyDescent="0.3">
      <c r="A340" s="127"/>
      <c r="B340" s="109"/>
      <c r="C340" s="161"/>
      <c r="D340" s="161"/>
      <c r="E340" s="161"/>
      <c r="F340" s="118"/>
      <c r="G340" s="119"/>
      <c r="H340" s="165"/>
      <c r="I340" s="119"/>
      <c r="J340" s="119"/>
      <c r="K340" s="157"/>
    </row>
    <row r="341" spans="1:11" x14ac:dyDescent="0.3">
      <c r="A341" s="127"/>
      <c r="B341" s="109"/>
      <c r="C341" s="161"/>
      <c r="D341" s="161"/>
      <c r="E341" s="161"/>
      <c r="F341" s="118"/>
      <c r="G341" s="119"/>
      <c r="H341" s="165"/>
      <c r="I341" s="119"/>
      <c r="J341" s="119"/>
      <c r="K341" s="157"/>
    </row>
    <row r="342" spans="1:11" x14ac:dyDescent="0.3">
      <c r="A342" s="127"/>
      <c r="B342" s="109"/>
      <c r="C342" s="161"/>
      <c r="D342" s="161"/>
      <c r="E342" s="161"/>
      <c r="F342" s="118"/>
      <c r="G342" s="119"/>
      <c r="H342" s="165"/>
      <c r="I342" s="119"/>
      <c r="J342" s="119"/>
      <c r="K342" s="157"/>
    </row>
    <row r="343" spans="1:11" x14ac:dyDescent="0.3">
      <c r="A343" s="127"/>
      <c r="B343" s="109"/>
      <c r="C343" s="161"/>
      <c r="D343" s="161"/>
      <c r="E343" s="161"/>
      <c r="F343" s="118"/>
      <c r="G343" s="119"/>
      <c r="H343" s="165"/>
      <c r="I343" s="119"/>
      <c r="J343" s="119"/>
      <c r="K343" s="157"/>
    </row>
    <row r="344" spans="1:11" x14ac:dyDescent="0.3">
      <c r="A344" s="127"/>
      <c r="B344" s="109"/>
      <c r="C344" s="161"/>
      <c r="D344" s="161"/>
      <c r="E344" s="161"/>
      <c r="F344" s="118"/>
      <c r="G344" s="119"/>
      <c r="H344" s="165"/>
      <c r="I344" s="119"/>
      <c r="J344" s="119"/>
      <c r="K344" s="157"/>
    </row>
    <row r="345" spans="1:11" x14ac:dyDescent="0.3">
      <c r="A345" s="127"/>
      <c r="B345" s="109"/>
      <c r="C345" s="161"/>
      <c r="D345" s="161"/>
      <c r="E345" s="161"/>
      <c r="F345" s="118"/>
      <c r="G345" s="119"/>
      <c r="H345" s="165"/>
      <c r="I345" s="119"/>
      <c r="J345" s="119"/>
      <c r="K345" s="157"/>
    </row>
    <row r="346" spans="1:11" x14ac:dyDescent="0.3">
      <c r="A346" s="127"/>
      <c r="B346" s="109"/>
      <c r="C346" s="161"/>
      <c r="D346" s="161"/>
      <c r="E346" s="161"/>
      <c r="F346" s="118"/>
      <c r="G346" s="119"/>
      <c r="H346" s="165"/>
      <c r="I346" s="119"/>
      <c r="J346" s="119"/>
      <c r="K346" s="157"/>
    </row>
    <row r="347" spans="1:11" x14ac:dyDescent="0.3">
      <c r="A347" s="127"/>
      <c r="B347" s="109"/>
      <c r="C347" s="161"/>
      <c r="D347" s="161"/>
      <c r="E347" s="161"/>
      <c r="F347" s="118"/>
      <c r="G347" s="119"/>
      <c r="H347" s="165"/>
      <c r="I347" s="119"/>
      <c r="J347" s="119"/>
      <c r="K347" s="157"/>
    </row>
    <row r="348" spans="1:11" x14ac:dyDescent="0.3">
      <c r="A348" s="127"/>
      <c r="B348" s="109"/>
      <c r="C348" s="161"/>
      <c r="D348" s="161"/>
      <c r="E348" s="161"/>
      <c r="F348" s="118"/>
      <c r="G348" s="119"/>
      <c r="H348" s="165"/>
      <c r="I348" s="119"/>
      <c r="J348" s="119"/>
      <c r="K348" s="157"/>
    </row>
    <row r="349" spans="1:11" x14ac:dyDescent="0.3">
      <c r="A349" s="127"/>
      <c r="B349" s="109"/>
      <c r="C349" s="161"/>
      <c r="D349" s="161"/>
      <c r="E349" s="161"/>
      <c r="F349" s="118"/>
      <c r="G349" s="119"/>
      <c r="H349" s="165"/>
      <c r="I349" s="119"/>
      <c r="J349" s="119"/>
      <c r="K349" s="157"/>
    </row>
    <row r="350" spans="1:11" x14ac:dyDescent="0.3">
      <c r="A350" s="127"/>
      <c r="B350" s="109"/>
      <c r="C350" s="161"/>
      <c r="D350" s="161"/>
      <c r="E350" s="161"/>
      <c r="F350" s="118"/>
      <c r="G350" s="119"/>
      <c r="H350" s="165"/>
      <c r="I350" s="119"/>
      <c r="J350" s="119"/>
      <c r="K350" s="157"/>
    </row>
    <row r="351" spans="1:11" x14ac:dyDescent="0.3">
      <c r="A351" s="127"/>
      <c r="B351" s="109"/>
      <c r="C351" s="161"/>
      <c r="D351" s="161"/>
      <c r="E351" s="161"/>
      <c r="F351" s="118"/>
      <c r="G351" s="119"/>
      <c r="H351" s="165"/>
      <c r="I351" s="119"/>
      <c r="J351" s="119"/>
      <c r="K351" s="157"/>
    </row>
    <row r="352" spans="1:11" x14ac:dyDescent="0.3">
      <c r="A352" s="127"/>
      <c r="B352" s="109"/>
      <c r="C352" s="161"/>
      <c r="D352" s="161"/>
      <c r="E352" s="161"/>
      <c r="F352" s="118"/>
      <c r="G352" s="119"/>
      <c r="H352" s="165"/>
      <c r="I352" s="119"/>
      <c r="J352" s="119"/>
      <c r="K352" s="157"/>
    </row>
    <row r="353" spans="1:11" x14ac:dyDescent="0.3">
      <c r="A353" s="127"/>
      <c r="B353" s="109"/>
      <c r="C353" s="161"/>
      <c r="D353" s="161"/>
      <c r="E353" s="161"/>
      <c r="F353" s="118"/>
      <c r="G353" s="119"/>
      <c r="H353" s="165"/>
      <c r="I353" s="119"/>
      <c r="J353" s="119"/>
      <c r="K353" s="157"/>
    </row>
    <row r="354" spans="1:11" x14ac:dyDescent="0.3">
      <c r="A354" s="127"/>
      <c r="B354" s="109"/>
      <c r="C354" s="161"/>
      <c r="D354" s="161"/>
      <c r="E354" s="161"/>
      <c r="F354" s="118"/>
      <c r="G354" s="119"/>
      <c r="H354" s="165"/>
      <c r="I354" s="119"/>
      <c r="J354" s="119"/>
      <c r="K354" s="157"/>
    </row>
    <row r="355" spans="1:11" x14ac:dyDescent="0.3">
      <c r="A355" s="127"/>
      <c r="B355" s="109"/>
      <c r="C355" s="161"/>
      <c r="D355" s="161"/>
      <c r="E355" s="161"/>
      <c r="F355" s="118"/>
      <c r="G355" s="119"/>
      <c r="H355" s="165"/>
      <c r="I355" s="119"/>
      <c r="J355" s="119"/>
      <c r="K355" s="157"/>
    </row>
    <row r="356" spans="1:11" x14ac:dyDescent="0.3">
      <c r="A356" s="127"/>
      <c r="B356" s="109"/>
      <c r="C356" s="161"/>
      <c r="D356" s="161"/>
      <c r="E356" s="161"/>
      <c r="F356" s="118"/>
      <c r="G356" s="119"/>
      <c r="H356" s="165"/>
      <c r="I356" s="119"/>
      <c r="J356" s="119"/>
      <c r="K356" s="157"/>
    </row>
    <row r="357" spans="1:11" x14ac:dyDescent="0.3">
      <c r="A357" s="127"/>
      <c r="B357" s="109"/>
      <c r="C357" s="161"/>
      <c r="D357" s="161"/>
      <c r="E357" s="161"/>
      <c r="F357" s="118"/>
      <c r="G357" s="119"/>
      <c r="H357" s="165"/>
      <c r="I357" s="119"/>
      <c r="J357" s="119"/>
      <c r="K357" s="157"/>
    </row>
    <row r="358" spans="1:11" x14ac:dyDescent="0.3">
      <c r="A358" s="127"/>
      <c r="B358" s="109"/>
      <c r="C358" s="161"/>
      <c r="D358" s="161"/>
      <c r="E358" s="161"/>
      <c r="F358" s="118"/>
      <c r="G358" s="119"/>
      <c r="H358" s="165"/>
      <c r="I358" s="119"/>
      <c r="J358" s="119"/>
      <c r="K358" s="157"/>
    </row>
    <row r="359" spans="1:11" x14ac:dyDescent="0.3">
      <c r="A359" s="127"/>
      <c r="B359" s="109"/>
      <c r="C359" s="161"/>
      <c r="D359" s="161"/>
      <c r="E359" s="161"/>
      <c r="F359" s="118"/>
      <c r="G359" s="119"/>
      <c r="H359" s="165"/>
      <c r="I359" s="119"/>
      <c r="J359" s="119"/>
      <c r="K359" s="157"/>
    </row>
    <row r="360" spans="1:11" x14ac:dyDescent="0.3">
      <c r="A360" s="127"/>
      <c r="B360" s="109"/>
      <c r="C360" s="161"/>
      <c r="D360" s="161"/>
      <c r="E360" s="161"/>
      <c r="F360" s="118"/>
      <c r="G360" s="119"/>
      <c r="H360" s="165"/>
      <c r="I360" s="119"/>
      <c r="J360" s="119"/>
      <c r="K360" s="157"/>
    </row>
    <row r="361" spans="1:11" x14ac:dyDescent="0.3">
      <c r="A361" s="127"/>
      <c r="B361" s="109"/>
      <c r="C361" s="161"/>
      <c r="D361" s="161"/>
      <c r="E361" s="161"/>
      <c r="F361" s="118"/>
      <c r="G361" s="119"/>
      <c r="H361" s="165"/>
      <c r="I361" s="119"/>
      <c r="J361" s="119"/>
      <c r="K361" s="157"/>
    </row>
    <row r="362" spans="1:11" x14ac:dyDescent="0.3">
      <c r="A362" s="127"/>
      <c r="B362" s="109"/>
      <c r="C362" s="161"/>
      <c r="D362" s="161"/>
      <c r="E362" s="161"/>
      <c r="F362" s="118"/>
      <c r="G362" s="119"/>
      <c r="H362" s="165"/>
      <c r="I362" s="119"/>
      <c r="J362" s="119"/>
      <c r="K362" s="157"/>
    </row>
    <row r="363" spans="1:11" x14ac:dyDescent="0.3">
      <c r="A363" s="127"/>
      <c r="B363" s="109"/>
      <c r="C363" s="161"/>
      <c r="D363" s="161"/>
      <c r="E363" s="161"/>
      <c r="F363" s="118"/>
      <c r="G363" s="119"/>
      <c r="H363" s="165"/>
      <c r="I363" s="119"/>
      <c r="J363" s="119"/>
      <c r="K363" s="157"/>
    </row>
    <row r="364" spans="1:11" x14ac:dyDescent="0.3">
      <c r="A364" s="127"/>
      <c r="B364" s="109"/>
      <c r="C364" s="161"/>
      <c r="D364" s="161"/>
      <c r="E364" s="161"/>
      <c r="F364" s="118"/>
      <c r="G364" s="119"/>
      <c r="H364" s="165"/>
      <c r="I364" s="119"/>
      <c r="J364" s="119"/>
      <c r="K364" s="157"/>
    </row>
    <row r="365" spans="1:11" x14ac:dyDescent="0.3">
      <c r="A365" s="127"/>
      <c r="B365" s="109"/>
      <c r="C365" s="161"/>
      <c r="D365" s="161"/>
      <c r="E365" s="161"/>
      <c r="F365" s="118"/>
      <c r="G365" s="119"/>
      <c r="H365" s="165"/>
      <c r="I365" s="119"/>
      <c r="J365" s="119"/>
      <c r="K365" s="157"/>
    </row>
    <row r="366" spans="1:11" x14ac:dyDescent="0.3">
      <c r="A366" s="127"/>
      <c r="B366" s="109"/>
      <c r="C366" s="161"/>
      <c r="D366" s="161"/>
      <c r="E366" s="161"/>
      <c r="F366" s="118"/>
      <c r="G366" s="119"/>
      <c r="H366" s="165"/>
      <c r="I366" s="119"/>
      <c r="J366" s="119"/>
      <c r="K366" s="157"/>
    </row>
    <row r="367" spans="1:11" x14ac:dyDescent="0.3">
      <c r="A367" s="127"/>
      <c r="B367" s="109"/>
      <c r="C367" s="161"/>
      <c r="D367" s="161"/>
      <c r="E367" s="161"/>
      <c r="F367" s="118"/>
      <c r="G367" s="119"/>
      <c r="H367" s="165"/>
      <c r="I367" s="119"/>
      <c r="J367" s="119"/>
      <c r="K367" s="157"/>
    </row>
    <row r="368" spans="1:11" x14ac:dyDescent="0.3">
      <c r="A368" s="127"/>
      <c r="B368" s="109"/>
      <c r="C368" s="161"/>
      <c r="D368" s="161"/>
      <c r="E368" s="161"/>
      <c r="F368" s="118"/>
      <c r="G368" s="119"/>
      <c r="H368" s="165"/>
      <c r="I368" s="119"/>
      <c r="J368" s="119"/>
      <c r="K368" s="157"/>
    </row>
    <row r="369" spans="1:11" x14ac:dyDescent="0.3">
      <c r="A369" s="127"/>
      <c r="B369" s="109"/>
      <c r="C369" s="161"/>
      <c r="D369" s="161"/>
      <c r="E369" s="161"/>
      <c r="F369" s="118"/>
      <c r="G369" s="119"/>
      <c r="H369" s="165"/>
      <c r="I369" s="119"/>
      <c r="J369" s="119"/>
      <c r="K369" s="157"/>
    </row>
    <row r="370" spans="1:11" x14ac:dyDescent="0.3">
      <c r="A370" s="127"/>
      <c r="B370" s="109"/>
      <c r="C370" s="161"/>
      <c r="D370" s="161"/>
      <c r="E370" s="161"/>
      <c r="F370" s="118"/>
      <c r="G370" s="119"/>
      <c r="H370" s="165"/>
      <c r="I370" s="119"/>
      <c r="J370" s="119"/>
      <c r="K370" s="157"/>
    </row>
    <row r="371" spans="1:11" x14ac:dyDescent="0.3">
      <c r="A371" s="127"/>
      <c r="B371" s="109"/>
      <c r="C371" s="161"/>
      <c r="D371" s="161"/>
      <c r="E371" s="161"/>
      <c r="F371" s="118"/>
      <c r="G371" s="119"/>
      <c r="H371" s="165"/>
      <c r="I371" s="119"/>
      <c r="J371" s="119"/>
      <c r="K371" s="157"/>
    </row>
    <row r="372" spans="1:11" x14ac:dyDescent="0.3">
      <c r="A372" s="127"/>
      <c r="B372" s="109"/>
      <c r="C372" s="161"/>
      <c r="D372" s="161"/>
      <c r="E372" s="161"/>
      <c r="F372" s="118"/>
      <c r="G372" s="119"/>
      <c r="H372" s="165"/>
      <c r="I372" s="119"/>
      <c r="J372" s="119"/>
      <c r="K372" s="157"/>
    </row>
    <row r="373" spans="1:11" x14ac:dyDescent="0.3">
      <c r="A373" s="127"/>
      <c r="B373" s="109"/>
      <c r="C373" s="161"/>
      <c r="D373" s="161"/>
      <c r="E373" s="161"/>
      <c r="F373" s="118"/>
      <c r="G373" s="119"/>
      <c r="H373" s="165"/>
      <c r="I373" s="119"/>
      <c r="J373" s="119"/>
      <c r="K373" s="157"/>
    </row>
    <row r="374" spans="1:11" x14ac:dyDescent="0.3">
      <c r="A374" s="127"/>
      <c r="B374" s="109"/>
      <c r="C374" s="161"/>
      <c r="D374" s="161"/>
      <c r="E374" s="161"/>
      <c r="F374" s="118"/>
      <c r="G374" s="119"/>
      <c r="H374" s="165"/>
      <c r="I374" s="119"/>
      <c r="J374" s="119"/>
      <c r="K374" s="157"/>
    </row>
    <row r="375" spans="1:11" x14ac:dyDescent="0.3">
      <c r="A375" s="127"/>
      <c r="B375" s="109"/>
      <c r="C375" s="161"/>
      <c r="D375" s="161"/>
      <c r="E375" s="161"/>
      <c r="F375" s="118"/>
      <c r="G375" s="119"/>
      <c r="H375" s="165"/>
      <c r="I375" s="119"/>
      <c r="J375" s="119"/>
      <c r="K375" s="157"/>
    </row>
    <row r="376" spans="1:11" x14ac:dyDescent="0.3">
      <c r="A376" s="127"/>
      <c r="B376" s="109"/>
      <c r="C376" s="161"/>
      <c r="D376" s="161"/>
      <c r="E376" s="161"/>
      <c r="F376" s="118"/>
      <c r="G376" s="119"/>
      <c r="H376" s="165"/>
      <c r="I376" s="119"/>
      <c r="J376" s="119"/>
      <c r="K376" s="157"/>
    </row>
    <row r="377" spans="1:11" x14ac:dyDescent="0.3">
      <c r="A377" s="127"/>
      <c r="B377" s="109"/>
      <c r="C377" s="161"/>
      <c r="D377" s="161"/>
      <c r="E377" s="161"/>
      <c r="F377" s="118"/>
      <c r="G377" s="119"/>
      <c r="H377" s="165"/>
      <c r="I377" s="119"/>
      <c r="J377" s="119"/>
      <c r="K377" s="157"/>
    </row>
    <row r="378" spans="1:11" x14ac:dyDescent="0.3">
      <c r="A378" s="127"/>
      <c r="B378" s="109"/>
      <c r="C378" s="161"/>
      <c r="D378" s="161"/>
      <c r="E378" s="161"/>
      <c r="F378" s="118"/>
      <c r="G378" s="119"/>
      <c r="H378" s="165"/>
      <c r="I378" s="119"/>
      <c r="J378" s="119"/>
      <c r="K378" s="157"/>
    </row>
    <row r="379" spans="1:11" x14ac:dyDescent="0.3">
      <c r="A379" s="127"/>
      <c r="B379" s="109"/>
      <c r="C379" s="161"/>
      <c r="D379" s="161"/>
      <c r="E379" s="161"/>
      <c r="F379" s="118"/>
      <c r="G379" s="119"/>
      <c r="H379" s="165"/>
      <c r="I379" s="119"/>
      <c r="J379" s="119"/>
      <c r="K379" s="157"/>
    </row>
    <row r="380" spans="1:11" x14ac:dyDescent="0.3">
      <c r="A380" s="127"/>
      <c r="B380" s="109"/>
      <c r="C380" s="161"/>
      <c r="D380" s="161"/>
      <c r="E380" s="161"/>
      <c r="F380" s="118"/>
      <c r="G380" s="119"/>
      <c r="H380" s="165"/>
      <c r="I380" s="119"/>
      <c r="J380" s="119"/>
      <c r="K380" s="157"/>
    </row>
    <row r="381" spans="1:11" x14ac:dyDescent="0.3">
      <c r="A381" s="127"/>
      <c r="B381" s="109"/>
      <c r="C381" s="161"/>
      <c r="D381" s="161"/>
      <c r="E381" s="161"/>
      <c r="F381" s="118"/>
      <c r="G381" s="119"/>
      <c r="H381" s="165"/>
      <c r="I381" s="119"/>
      <c r="J381" s="119"/>
      <c r="K381" s="157"/>
    </row>
    <row r="382" spans="1:11" x14ac:dyDescent="0.3">
      <c r="A382" s="127"/>
      <c r="B382" s="109"/>
      <c r="C382" s="161"/>
      <c r="D382" s="161"/>
      <c r="E382" s="161"/>
      <c r="F382" s="118"/>
      <c r="G382" s="119"/>
      <c r="H382" s="165"/>
      <c r="I382" s="119"/>
      <c r="J382" s="119"/>
      <c r="K382" s="157"/>
    </row>
    <row r="383" spans="1:11" x14ac:dyDescent="0.3">
      <c r="A383" s="127"/>
      <c r="B383" s="109"/>
      <c r="C383" s="161"/>
      <c r="D383" s="161"/>
      <c r="E383" s="161"/>
      <c r="F383" s="118"/>
      <c r="G383" s="119"/>
      <c r="H383" s="165"/>
      <c r="I383" s="119"/>
      <c r="J383" s="119"/>
      <c r="K383" s="157"/>
    </row>
    <row r="384" spans="1:11" x14ac:dyDescent="0.3">
      <c r="A384" s="127"/>
      <c r="B384" s="109"/>
      <c r="C384" s="161"/>
      <c r="D384" s="161"/>
      <c r="E384" s="161"/>
      <c r="F384" s="118"/>
      <c r="G384" s="119"/>
      <c r="H384" s="165"/>
      <c r="I384" s="119"/>
      <c r="J384" s="119"/>
      <c r="K384" s="157"/>
    </row>
    <row r="385" spans="1:11" x14ac:dyDescent="0.3">
      <c r="A385" s="127"/>
      <c r="B385" s="109"/>
      <c r="C385" s="161"/>
      <c r="D385" s="161"/>
      <c r="E385" s="161"/>
      <c r="F385" s="118"/>
      <c r="G385" s="119"/>
      <c r="H385" s="165"/>
      <c r="I385" s="119"/>
      <c r="J385" s="119"/>
      <c r="K385" s="157"/>
    </row>
    <row r="386" spans="1:11" x14ac:dyDescent="0.3">
      <c r="A386" s="127"/>
      <c r="B386" s="109"/>
      <c r="C386" s="161"/>
      <c r="D386" s="161"/>
      <c r="E386" s="161"/>
      <c r="F386" s="118"/>
      <c r="G386" s="119"/>
      <c r="H386" s="165"/>
      <c r="I386" s="119"/>
      <c r="J386" s="119"/>
      <c r="K386" s="157"/>
    </row>
    <row r="387" spans="1:11" x14ac:dyDescent="0.3">
      <c r="A387" s="127"/>
      <c r="B387" s="109"/>
      <c r="C387" s="161"/>
      <c r="D387" s="161"/>
      <c r="E387" s="161"/>
      <c r="F387" s="118"/>
      <c r="G387" s="119"/>
      <c r="H387" s="165"/>
      <c r="I387" s="119"/>
      <c r="J387" s="119"/>
      <c r="K387" s="157"/>
    </row>
    <row r="388" spans="1:11" x14ac:dyDescent="0.3">
      <c r="A388" s="127"/>
      <c r="B388" s="109"/>
      <c r="C388" s="161"/>
      <c r="D388" s="161"/>
      <c r="E388" s="161"/>
      <c r="F388" s="118"/>
      <c r="G388" s="119"/>
      <c r="H388" s="165"/>
      <c r="I388" s="119"/>
      <c r="J388" s="119"/>
      <c r="K388" s="157"/>
    </row>
    <row r="389" spans="1:11" x14ac:dyDescent="0.3">
      <c r="A389" s="127"/>
      <c r="B389" s="109"/>
      <c r="C389" s="161"/>
      <c r="D389" s="161"/>
      <c r="E389" s="161"/>
      <c r="F389" s="118"/>
      <c r="G389" s="119"/>
      <c r="H389" s="165"/>
      <c r="I389" s="119"/>
      <c r="J389" s="119"/>
      <c r="K389" s="157"/>
    </row>
    <row r="390" spans="1:11" x14ac:dyDescent="0.3">
      <c r="A390" s="127"/>
      <c r="B390" s="109"/>
      <c r="C390" s="161"/>
      <c r="D390" s="161"/>
      <c r="E390" s="161"/>
      <c r="F390" s="118"/>
      <c r="G390" s="119"/>
      <c r="H390" s="165"/>
      <c r="I390" s="119"/>
      <c r="J390" s="119"/>
      <c r="K390" s="157"/>
    </row>
    <row r="391" spans="1:11" x14ac:dyDescent="0.3">
      <c r="A391" s="127"/>
      <c r="B391" s="109"/>
      <c r="C391" s="161"/>
      <c r="D391" s="161"/>
      <c r="E391" s="161"/>
      <c r="F391" s="118"/>
      <c r="G391" s="119"/>
      <c r="H391" s="165"/>
      <c r="I391" s="119"/>
      <c r="J391" s="119"/>
      <c r="K391" s="157"/>
    </row>
    <row r="392" spans="1:11" x14ac:dyDescent="0.3">
      <c r="A392" s="127"/>
      <c r="B392" s="109"/>
      <c r="C392" s="161"/>
      <c r="D392" s="161"/>
      <c r="E392" s="161"/>
      <c r="F392" s="118"/>
      <c r="G392" s="119"/>
      <c r="H392" s="165"/>
      <c r="I392" s="119"/>
      <c r="J392" s="119"/>
      <c r="K392" s="157"/>
    </row>
    <row r="393" spans="1:11" x14ac:dyDescent="0.3">
      <c r="A393" s="127"/>
      <c r="B393" s="109"/>
      <c r="C393" s="161"/>
      <c r="D393" s="161"/>
      <c r="E393" s="161"/>
      <c r="F393" s="118"/>
      <c r="G393" s="119"/>
      <c r="H393" s="165"/>
      <c r="I393" s="119"/>
      <c r="J393" s="119"/>
      <c r="K393" s="157"/>
    </row>
    <row r="394" spans="1:11" x14ac:dyDescent="0.3">
      <c r="A394" s="127"/>
      <c r="B394" s="109"/>
      <c r="C394" s="161"/>
      <c r="D394" s="161"/>
      <c r="E394" s="161"/>
      <c r="F394" s="118"/>
      <c r="G394" s="119"/>
      <c r="H394" s="165"/>
      <c r="I394" s="119"/>
      <c r="J394" s="119"/>
      <c r="K394" s="157"/>
    </row>
    <row r="395" spans="1:11" x14ac:dyDescent="0.3">
      <c r="A395" s="127"/>
      <c r="B395" s="109"/>
      <c r="C395" s="161"/>
      <c r="D395" s="161"/>
      <c r="E395" s="161"/>
      <c r="F395" s="118"/>
      <c r="G395" s="119"/>
      <c r="H395" s="165"/>
      <c r="I395" s="119"/>
      <c r="J395" s="119"/>
      <c r="K395" s="157"/>
    </row>
    <row r="396" spans="1:11" x14ac:dyDescent="0.3">
      <c r="A396" s="127"/>
      <c r="B396" s="109"/>
      <c r="C396" s="161"/>
      <c r="D396" s="161"/>
      <c r="E396" s="161"/>
      <c r="F396" s="118"/>
      <c r="G396" s="119"/>
      <c r="H396" s="165"/>
      <c r="I396" s="119"/>
      <c r="J396" s="119"/>
      <c r="K396" s="157"/>
    </row>
    <row r="397" spans="1:11" x14ac:dyDescent="0.3">
      <c r="A397" s="127"/>
      <c r="B397" s="109"/>
      <c r="C397" s="161"/>
      <c r="D397" s="161"/>
      <c r="E397" s="161"/>
      <c r="F397" s="118"/>
      <c r="G397" s="119"/>
      <c r="H397" s="165"/>
      <c r="I397" s="119"/>
      <c r="J397" s="119"/>
      <c r="K397" s="157"/>
    </row>
    <row r="398" spans="1:11" x14ac:dyDescent="0.3">
      <c r="A398" s="127"/>
      <c r="B398" s="109"/>
      <c r="C398" s="161"/>
      <c r="D398" s="161"/>
      <c r="E398" s="161"/>
      <c r="F398" s="118"/>
      <c r="G398" s="119"/>
      <c r="H398" s="165"/>
      <c r="I398" s="119"/>
      <c r="J398" s="119"/>
      <c r="K398" s="157"/>
    </row>
    <row r="399" spans="1:11" x14ac:dyDescent="0.3">
      <c r="A399" s="127"/>
      <c r="B399" s="109"/>
      <c r="C399" s="161"/>
      <c r="D399" s="161"/>
      <c r="E399" s="161"/>
      <c r="F399" s="118"/>
      <c r="G399" s="119"/>
      <c r="H399" s="165"/>
      <c r="I399" s="119"/>
      <c r="J399" s="119"/>
      <c r="K399" s="157"/>
    </row>
    <row r="400" spans="1:11" x14ac:dyDescent="0.3">
      <c r="A400" s="127"/>
      <c r="B400" s="109"/>
      <c r="C400" s="161"/>
      <c r="D400" s="161"/>
      <c r="E400" s="161"/>
      <c r="F400" s="118"/>
      <c r="G400" s="119"/>
      <c r="H400" s="165"/>
      <c r="I400" s="119"/>
      <c r="J400" s="119"/>
      <c r="K400" s="157"/>
    </row>
    <row r="401" spans="1:11" x14ac:dyDescent="0.3">
      <c r="A401" s="127"/>
      <c r="B401" s="109"/>
      <c r="C401" s="161"/>
      <c r="D401" s="161"/>
      <c r="E401" s="161"/>
      <c r="F401" s="118"/>
      <c r="G401" s="119"/>
      <c r="H401" s="165"/>
      <c r="I401" s="119"/>
      <c r="J401" s="119"/>
      <c r="K401" s="157"/>
    </row>
    <row r="402" spans="1:11" x14ac:dyDescent="0.3">
      <c r="A402" s="127"/>
      <c r="B402" s="109"/>
      <c r="C402" s="161"/>
      <c r="D402" s="161"/>
      <c r="E402" s="161"/>
      <c r="F402" s="118"/>
      <c r="G402" s="119"/>
      <c r="H402" s="165"/>
      <c r="I402" s="119"/>
      <c r="J402" s="119"/>
      <c r="K402" s="157"/>
    </row>
    <row r="403" spans="1:11" x14ac:dyDescent="0.3">
      <c r="A403" s="127"/>
      <c r="B403" s="109"/>
      <c r="C403" s="161"/>
      <c r="D403" s="161"/>
      <c r="E403" s="161"/>
      <c r="F403" s="118"/>
      <c r="G403" s="119"/>
      <c r="H403" s="165"/>
      <c r="I403" s="119"/>
      <c r="J403" s="119"/>
      <c r="K403" s="157"/>
    </row>
    <row r="404" spans="1:11" x14ac:dyDescent="0.3">
      <c r="A404" s="127"/>
      <c r="B404" s="109"/>
      <c r="C404" s="161"/>
      <c r="D404" s="161"/>
      <c r="E404" s="161"/>
      <c r="F404" s="118"/>
      <c r="G404" s="119"/>
      <c r="H404" s="165"/>
      <c r="I404" s="119"/>
      <c r="J404" s="119"/>
      <c r="K404" s="157"/>
    </row>
    <row r="405" spans="1:11" x14ac:dyDescent="0.3">
      <c r="A405" s="127"/>
      <c r="B405" s="109"/>
      <c r="C405" s="161"/>
      <c r="D405" s="161"/>
      <c r="E405" s="161"/>
      <c r="F405" s="118"/>
      <c r="G405" s="119"/>
      <c r="H405" s="165"/>
      <c r="I405" s="119"/>
      <c r="J405" s="119"/>
      <c r="K405" s="157"/>
    </row>
    <row r="406" spans="1:11" x14ac:dyDescent="0.3">
      <c r="A406" s="127"/>
      <c r="B406" s="109"/>
      <c r="C406" s="161"/>
      <c r="D406" s="161"/>
      <c r="E406" s="161"/>
      <c r="F406" s="118"/>
      <c r="G406" s="119"/>
      <c r="H406" s="165"/>
      <c r="I406" s="119"/>
      <c r="J406" s="119"/>
      <c r="K406" s="157"/>
    </row>
    <row r="407" spans="1:11" x14ac:dyDescent="0.3">
      <c r="A407" s="127"/>
      <c r="B407" s="109"/>
      <c r="C407" s="161"/>
      <c r="D407" s="161"/>
      <c r="E407" s="161"/>
      <c r="F407" s="118"/>
      <c r="G407" s="119"/>
      <c r="H407" s="165"/>
      <c r="I407" s="119"/>
      <c r="J407" s="119"/>
      <c r="K407" s="157"/>
    </row>
    <row r="408" spans="1:11" x14ac:dyDescent="0.3">
      <c r="A408" s="127"/>
      <c r="B408" s="109"/>
      <c r="C408" s="161"/>
      <c r="D408" s="161"/>
      <c r="E408" s="161"/>
      <c r="F408" s="118"/>
      <c r="G408" s="119"/>
      <c r="H408" s="165"/>
      <c r="I408" s="119"/>
      <c r="J408" s="119"/>
      <c r="K408" s="157"/>
    </row>
    <row r="409" spans="1:11" x14ac:dyDescent="0.3">
      <c r="A409" s="127"/>
      <c r="B409" s="109"/>
      <c r="C409" s="161"/>
      <c r="D409" s="161"/>
      <c r="E409" s="161"/>
      <c r="F409" s="118"/>
      <c r="G409" s="119"/>
      <c r="H409" s="165"/>
      <c r="I409" s="119"/>
      <c r="J409" s="119"/>
      <c r="K409" s="157"/>
    </row>
    <row r="410" spans="1:11" x14ac:dyDescent="0.3">
      <c r="A410" s="127"/>
      <c r="B410" s="109"/>
      <c r="C410" s="161"/>
      <c r="D410" s="161"/>
      <c r="E410" s="161"/>
      <c r="F410" s="118"/>
      <c r="G410" s="119"/>
      <c r="H410" s="165"/>
      <c r="I410" s="119"/>
      <c r="J410" s="119"/>
      <c r="K410" s="157"/>
    </row>
    <row r="411" spans="1:11" x14ac:dyDescent="0.3">
      <c r="A411" s="127"/>
      <c r="B411" s="109"/>
      <c r="C411" s="161"/>
      <c r="D411" s="161"/>
      <c r="E411" s="161"/>
      <c r="F411" s="118"/>
      <c r="G411" s="119"/>
      <c r="H411" s="165"/>
      <c r="I411" s="119"/>
      <c r="J411" s="119"/>
      <c r="K411" s="157"/>
    </row>
    <row r="412" spans="1:11" x14ac:dyDescent="0.3">
      <c r="A412" s="127"/>
      <c r="B412" s="109"/>
      <c r="C412" s="161"/>
      <c r="D412" s="161"/>
      <c r="E412" s="161"/>
      <c r="F412" s="118"/>
      <c r="G412" s="119"/>
      <c r="H412" s="165"/>
      <c r="I412" s="119"/>
      <c r="J412" s="119"/>
      <c r="K412" s="157"/>
    </row>
    <row r="413" spans="1:11" x14ac:dyDescent="0.3">
      <c r="A413" s="127"/>
      <c r="B413" s="109"/>
      <c r="C413" s="161"/>
      <c r="D413" s="161"/>
      <c r="E413" s="161"/>
      <c r="F413" s="118"/>
      <c r="G413" s="119"/>
      <c r="H413" s="165"/>
      <c r="I413" s="119"/>
      <c r="J413" s="119"/>
      <c r="K413" s="157"/>
    </row>
    <row r="414" spans="1:11" x14ac:dyDescent="0.3">
      <c r="A414" s="127"/>
      <c r="B414" s="109"/>
      <c r="C414" s="161"/>
      <c r="D414" s="161"/>
      <c r="E414" s="161"/>
      <c r="F414" s="118"/>
      <c r="G414" s="119"/>
      <c r="H414" s="165"/>
      <c r="I414" s="119"/>
      <c r="J414" s="119"/>
      <c r="K414" s="157"/>
    </row>
    <row r="415" spans="1:11" x14ac:dyDescent="0.3">
      <c r="A415" s="127"/>
      <c r="B415" s="109"/>
      <c r="C415" s="161"/>
      <c r="D415" s="161"/>
      <c r="E415" s="161"/>
      <c r="F415" s="118"/>
      <c r="G415" s="119"/>
      <c r="H415" s="165"/>
      <c r="I415" s="119"/>
      <c r="J415" s="119"/>
      <c r="K415" s="157"/>
    </row>
    <row r="416" spans="1:11" x14ac:dyDescent="0.3">
      <c r="A416" s="127"/>
      <c r="B416" s="109"/>
      <c r="C416" s="161"/>
      <c r="D416" s="161"/>
      <c r="E416" s="161"/>
      <c r="F416" s="118"/>
      <c r="G416" s="119"/>
      <c r="H416" s="165"/>
      <c r="I416" s="119"/>
      <c r="J416" s="119"/>
      <c r="K416" s="157"/>
    </row>
    <row r="417" spans="1:11" x14ac:dyDescent="0.3">
      <c r="A417" s="127"/>
      <c r="B417" s="109"/>
      <c r="C417" s="161"/>
      <c r="D417" s="161"/>
      <c r="E417" s="161"/>
      <c r="F417" s="118"/>
      <c r="G417" s="119"/>
      <c r="H417" s="165"/>
      <c r="I417" s="119"/>
      <c r="J417" s="119"/>
      <c r="K417" s="157"/>
    </row>
    <row r="418" spans="1:11" x14ac:dyDescent="0.3">
      <c r="A418" s="127"/>
      <c r="B418" s="109"/>
      <c r="C418" s="161"/>
      <c r="D418" s="161"/>
      <c r="E418" s="161"/>
      <c r="F418" s="118"/>
      <c r="G418" s="119"/>
      <c r="H418" s="165"/>
      <c r="I418" s="119"/>
      <c r="J418" s="119"/>
      <c r="K418" s="157"/>
    </row>
    <row r="419" spans="1:11" x14ac:dyDescent="0.3">
      <c r="A419" s="127"/>
      <c r="B419" s="109"/>
      <c r="C419" s="161"/>
      <c r="D419" s="161"/>
      <c r="E419" s="161"/>
      <c r="F419" s="118"/>
      <c r="G419" s="119"/>
      <c r="H419" s="165"/>
      <c r="I419" s="119"/>
      <c r="J419" s="119"/>
      <c r="K419" s="157"/>
    </row>
    <row r="420" spans="1:11" x14ac:dyDescent="0.3">
      <c r="A420" s="127"/>
      <c r="B420" s="109"/>
      <c r="C420" s="161"/>
      <c r="D420" s="161"/>
      <c r="E420" s="161"/>
      <c r="F420" s="118"/>
      <c r="G420" s="119"/>
      <c r="H420" s="165"/>
      <c r="I420" s="119"/>
      <c r="J420" s="119"/>
      <c r="K420" s="157"/>
    </row>
    <row r="421" spans="1:11" x14ac:dyDescent="0.3">
      <c r="A421" s="127"/>
      <c r="B421" s="109"/>
      <c r="C421" s="161"/>
      <c r="D421" s="161"/>
      <c r="E421" s="161"/>
      <c r="F421" s="118"/>
      <c r="G421" s="119"/>
      <c r="H421" s="165"/>
      <c r="I421" s="119"/>
      <c r="J421" s="119"/>
      <c r="K421" s="157"/>
    </row>
    <row r="422" spans="1:11" x14ac:dyDescent="0.3">
      <c r="A422" s="127"/>
      <c r="B422" s="109"/>
      <c r="C422" s="161"/>
      <c r="D422" s="161"/>
      <c r="E422" s="161"/>
      <c r="F422" s="118"/>
      <c r="G422" s="119"/>
      <c r="H422" s="165"/>
      <c r="I422" s="119"/>
      <c r="J422" s="119"/>
      <c r="K422" s="157"/>
    </row>
    <row r="423" spans="1:11" x14ac:dyDescent="0.3">
      <c r="A423" s="127"/>
      <c r="B423" s="109"/>
      <c r="C423" s="161"/>
      <c r="D423" s="161"/>
      <c r="E423" s="161"/>
      <c r="F423" s="118"/>
      <c r="G423" s="119"/>
      <c r="H423" s="165"/>
      <c r="I423" s="119"/>
      <c r="J423" s="119"/>
      <c r="K423" s="157"/>
    </row>
    <row r="424" spans="1:11" x14ac:dyDescent="0.3">
      <c r="A424" s="127"/>
      <c r="B424" s="109"/>
      <c r="C424" s="161"/>
      <c r="D424" s="161"/>
      <c r="E424" s="161"/>
      <c r="F424" s="118"/>
      <c r="G424" s="119"/>
      <c r="H424" s="165"/>
      <c r="I424" s="119"/>
      <c r="J424" s="119"/>
      <c r="K424" s="157"/>
    </row>
    <row r="425" spans="1:11" x14ac:dyDescent="0.3">
      <c r="A425" s="127"/>
      <c r="B425" s="109"/>
      <c r="C425" s="161"/>
      <c r="D425" s="161"/>
      <c r="E425" s="161"/>
      <c r="F425" s="118"/>
      <c r="G425" s="119"/>
      <c r="H425" s="165"/>
      <c r="I425" s="119"/>
      <c r="J425" s="119"/>
      <c r="K425" s="157"/>
    </row>
    <row r="426" spans="1:11" x14ac:dyDescent="0.3">
      <c r="A426" s="127"/>
      <c r="B426" s="109"/>
      <c r="C426" s="161"/>
      <c r="D426" s="161"/>
      <c r="E426" s="161"/>
      <c r="F426" s="118"/>
      <c r="G426" s="119"/>
      <c r="H426" s="165"/>
      <c r="I426" s="119"/>
      <c r="J426" s="119"/>
      <c r="K426" s="157"/>
    </row>
    <row r="427" spans="1:11" x14ac:dyDescent="0.3">
      <c r="A427" s="127"/>
      <c r="B427" s="109"/>
      <c r="C427" s="161"/>
      <c r="D427" s="161"/>
      <c r="E427" s="161"/>
      <c r="F427" s="118"/>
      <c r="G427" s="119"/>
      <c r="H427" s="165"/>
      <c r="I427" s="119"/>
      <c r="J427" s="119"/>
      <c r="K427" s="157"/>
    </row>
    <row r="428" spans="1:11" x14ac:dyDescent="0.3">
      <c r="A428" s="127"/>
      <c r="B428" s="109"/>
      <c r="C428" s="161"/>
      <c r="D428" s="161"/>
      <c r="E428" s="161"/>
      <c r="F428" s="118"/>
      <c r="G428" s="119"/>
      <c r="H428" s="165"/>
      <c r="I428" s="119"/>
      <c r="J428" s="119"/>
      <c r="K428" s="157"/>
    </row>
    <row r="429" spans="1:11" x14ac:dyDescent="0.3">
      <c r="A429" s="127"/>
      <c r="B429" s="109"/>
      <c r="C429" s="161"/>
      <c r="D429" s="161"/>
      <c r="E429" s="161"/>
      <c r="F429" s="118"/>
      <c r="G429" s="119"/>
      <c r="H429" s="165"/>
      <c r="I429" s="119"/>
      <c r="J429" s="119"/>
      <c r="K429" s="157"/>
    </row>
    <row r="430" spans="1:11" x14ac:dyDescent="0.3">
      <c r="A430" s="127"/>
      <c r="B430" s="109"/>
      <c r="C430" s="161"/>
      <c r="D430" s="161"/>
      <c r="E430" s="161"/>
      <c r="F430" s="118"/>
      <c r="G430" s="119"/>
      <c r="H430" s="165"/>
      <c r="I430" s="119"/>
      <c r="J430" s="119"/>
      <c r="K430" s="157"/>
    </row>
    <row r="431" spans="1:11" x14ac:dyDescent="0.3">
      <c r="A431" s="127"/>
      <c r="B431" s="109"/>
      <c r="C431" s="161"/>
      <c r="D431" s="161"/>
      <c r="E431" s="161"/>
      <c r="F431" s="118"/>
      <c r="G431" s="119"/>
      <c r="H431" s="165"/>
      <c r="I431" s="119"/>
      <c r="J431" s="119"/>
      <c r="K431" s="157"/>
    </row>
    <row r="432" spans="1:11" x14ac:dyDescent="0.3">
      <c r="A432" s="127"/>
      <c r="B432" s="109"/>
      <c r="C432" s="161"/>
      <c r="D432" s="161"/>
      <c r="E432" s="161"/>
      <c r="F432" s="118"/>
      <c r="G432" s="119"/>
      <c r="H432" s="165"/>
      <c r="I432" s="119"/>
      <c r="J432" s="119"/>
      <c r="K432" s="157"/>
    </row>
    <row r="433" spans="1:11" x14ac:dyDescent="0.3">
      <c r="A433" s="127"/>
      <c r="B433" s="109"/>
      <c r="C433" s="161"/>
      <c r="D433" s="161"/>
      <c r="E433" s="161"/>
      <c r="F433" s="118"/>
      <c r="G433" s="119"/>
      <c r="H433" s="165"/>
      <c r="I433" s="119"/>
      <c r="J433" s="119"/>
      <c r="K433" s="157"/>
    </row>
    <row r="434" spans="1:11" x14ac:dyDescent="0.3">
      <c r="A434" s="127"/>
      <c r="B434" s="109"/>
      <c r="C434" s="161"/>
      <c r="D434" s="161"/>
      <c r="E434" s="161"/>
      <c r="F434" s="118"/>
      <c r="G434" s="119"/>
      <c r="H434" s="165"/>
      <c r="I434" s="119"/>
      <c r="J434" s="119"/>
      <c r="K434" s="157"/>
    </row>
    <row r="435" spans="1:11" x14ac:dyDescent="0.3">
      <c r="A435" s="127"/>
      <c r="B435" s="109"/>
      <c r="C435" s="161"/>
      <c r="D435" s="161"/>
      <c r="E435" s="161"/>
      <c r="F435" s="118"/>
      <c r="G435" s="119"/>
      <c r="H435" s="165"/>
      <c r="I435" s="119"/>
      <c r="J435" s="119"/>
      <c r="K435" s="157"/>
    </row>
    <row r="436" spans="1:11" x14ac:dyDescent="0.3">
      <c r="A436" s="127"/>
      <c r="B436" s="109"/>
      <c r="C436" s="161"/>
      <c r="D436" s="161"/>
      <c r="E436" s="161"/>
      <c r="F436" s="118"/>
      <c r="G436" s="119"/>
      <c r="H436" s="165"/>
      <c r="I436" s="119"/>
      <c r="J436" s="119"/>
      <c r="K436" s="157"/>
    </row>
    <row r="437" spans="1:11" x14ac:dyDescent="0.3">
      <c r="A437" s="127"/>
      <c r="B437" s="109"/>
      <c r="C437" s="161"/>
      <c r="D437" s="161"/>
      <c r="E437" s="161"/>
      <c r="F437" s="118"/>
      <c r="G437" s="119"/>
      <c r="H437" s="165"/>
      <c r="I437" s="119"/>
      <c r="J437" s="119"/>
      <c r="K437" s="157"/>
    </row>
    <row r="438" spans="1:11" x14ac:dyDescent="0.3">
      <c r="A438" s="127"/>
      <c r="B438" s="109"/>
      <c r="C438" s="161"/>
      <c r="D438" s="161"/>
      <c r="E438" s="161"/>
      <c r="F438" s="118"/>
      <c r="G438" s="119"/>
      <c r="H438" s="165"/>
      <c r="I438" s="119"/>
      <c r="J438" s="119"/>
      <c r="K438" s="157"/>
    </row>
    <row r="439" spans="1:11" x14ac:dyDescent="0.3">
      <c r="A439" s="127"/>
      <c r="B439" s="109"/>
      <c r="C439" s="161"/>
      <c r="D439" s="161"/>
      <c r="E439" s="161"/>
      <c r="F439" s="118"/>
      <c r="G439" s="119"/>
      <c r="H439" s="165"/>
      <c r="I439" s="119"/>
      <c r="J439" s="119"/>
      <c r="K439" s="157"/>
    </row>
    <row r="440" spans="1:11" x14ac:dyDescent="0.3">
      <c r="A440" s="127"/>
      <c r="B440" s="109"/>
      <c r="C440" s="161"/>
      <c r="D440" s="161"/>
      <c r="E440" s="161"/>
      <c r="F440" s="118"/>
      <c r="G440" s="119"/>
      <c r="H440" s="165"/>
      <c r="I440" s="119"/>
      <c r="J440" s="119"/>
      <c r="K440" s="157"/>
    </row>
    <row r="441" spans="1:11" x14ac:dyDescent="0.3">
      <c r="A441" s="127"/>
      <c r="B441" s="109"/>
      <c r="C441" s="161"/>
      <c r="D441" s="161"/>
      <c r="E441" s="161"/>
      <c r="F441" s="118"/>
      <c r="G441" s="119"/>
      <c r="H441" s="165"/>
      <c r="I441" s="119"/>
      <c r="J441" s="119"/>
      <c r="K441" s="157"/>
    </row>
    <row r="442" spans="1:11" x14ac:dyDescent="0.3">
      <c r="A442" s="127"/>
      <c r="B442" s="109"/>
      <c r="C442" s="161"/>
      <c r="D442" s="161"/>
      <c r="E442" s="161"/>
      <c r="F442" s="118"/>
      <c r="G442" s="119"/>
      <c r="H442" s="165"/>
      <c r="I442" s="119"/>
      <c r="J442" s="119"/>
      <c r="K442" s="157"/>
    </row>
    <row r="443" spans="1:11" x14ac:dyDescent="0.3">
      <c r="A443" s="127"/>
      <c r="B443" s="109"/>
      <c r="C443" s="161"/>
      <c r="D443" s="161"/>
      <c r="E443" s="161"/>
      <c r="F443" s="118"/>
      <c r="G443" s="119"/>
      <c r="H443" s="165"/>
      <c r="I443" s="119"/>
      <c r="J443" s="119"/>
      <c r="K443" s="157"/>
    </row>
    <row r="444" spans="1:11" x14ac:dyDescent="0.3">
      <c r="A444" s="127"/>
      <c r="B444" s="109"/>
      <c r="C444" s="161"/>
      <c r="D444" s="161"/>
      <c r="E444" s="161"/>
      <c r="F444" s="118"/>
      <c r="G444" s="119"/>
      <c r="H444" s="165"/>
      <c r="I444" s="119"/>
      <c r="J444" s="119"/>
      <c r="K444" s="157"/>
    </row>
    <row r="445" spans="1:11" x14ac:dyDescent="0.3">
      <c r="A445" s="127"/>
      <c r="B445" s="109"/>
      <c r="C445" s="161"/>
      <c r="D445" s="161"/>
      <c r="E445" s="161"/>
      <c r="F445" s="118"/>
      <c r="G445" s="119"/>
      <c r="H445" s="165"/>
      <c r="I445" s="119"/>
      <c r="J445" s="119"/>
      <c r="K445" s="157"/>
    </row>
    <row r="446" spans="1:11" x14ac:dyDescent="0.3">
      <c r="A446" s="127"/>
      <c r="B446" s="109"/>
      <c r="C446" s="161"/>
      <c r="D446" s="161"/>
      <c r="E446" s="161"/>
      <c r="F446" s="118"/>
      <c r="G446" s="119"/>
      <c r="H446" s="165"/>
      <c r="I446" s="119"/>
      <c r="J446" s="119"/>
      <c r="K446" s="157"/>
    </row>
    <row r="447" spans="1:11" x14ac:dyDescent="0.3">
      <c r="A447" s="127"/>
      <c r="B447" s="109"/>
      <c r="C447" s="161"/>
      <c r="D447" s="161"/>
      <c r="E447" s="161"/>
      <c r="F447" s="118"/>
      <c r="G447" s="119"/>
      <c r="H447" s="165"/>
      <c r="I447" s="119"/>
      <c r="J447" s="119"/>
      <c r="K447" s="157"/>
    </row>
    <row r="448" spans="1:11" x14ac:dyDescent="0.3">
      <c r="A448" s="127"/>
      <c r="B448" s="109"/>
      <c r="C448" s="161"/>
      <c r="D448" s="161"/>
      <c r="E448" s="161"/>
      <c r="F448" s="118"/>
      <c r="G448" s="119"/>
      <c r="H448" s="165"/>
      <c r="I448" s="119"/>
      <c r="J448" s="119"/>
      <c r="K448" s="157"/>
    </row>
    <row r="449" spans="1:11" x14ac:dyDescent="0.3">
      <c r="A449" s="127"/>
      <c r="B449" s="109"/>
      <c r="C449" s="161"/>
      <c r="D449" s="161"/>
      <c r="E449" s="161"/>
      <c r="F449" s="118"/>
      <c r="G449" s="119"/>
      <c r="H449" s="165"/>
      <c r="I449" s="119"/>
      <c r="J449" s="119"/>
      <c r="K449" s="157"/>
    </row>
    <row r="450" spans="1:11" x14ac:dyDescent="0.3">
      <c r="A450" s="127"/>
      <c r="B450" s="109"/>
      <c r="C450" s="161"/>
      <c r="D450" s="161"/>
      <c r="E450" s="161"/>
      <c r="F450" s="118"/>
      <c r="G450" s="119"/>
      <c r="H450" s="165"/>
      <c r="I450" s="119"/>
      <c r="J450" s="119"/>
      <c r="K450" s="157"/>
    </row>
    <row r="451" spans="1:11" x14ac:dyDescent="0.3">
      <c r="A451" s="127"/>
      <c r="B451" s="109"/>
      <c r="C451" s="161"/>
      <c r="D451" s="161"/>
      <c r="E451" s="161"/>
      <c r="F451" s="118"/>
      <c r="G451" s="119"/>
      <c r="H451" s="165"/>
      <c r="I451" s="119"/>
      <c r="J451" s="119"/>
      <c r="K451" s="157"/>
    </row>
    <row r="452" spans="1:11" x14ac:dyDescent="0.3">
      <c r="A452" s="127"/>
      <c r="B452" s="109"/>
      <c r="C452" s="161"/>
      <c r="D452" s="161"/>
      <c r="E452" s="161"/>
      <c r="F452" s="118"/>
      <c r="G452" s="119"/>
      <c r="H452" s="165"/>
      <c r="I452" s="119"/>
      <c r="J452" s="119"/>
      <c r="K452" s="157"/>
    </row>
    <row r="453" spans="1:11" x14ac:dyDescent="0.3">
      <c r="A453" s="127"/>
      <c r="B453" s="109"/>
      <c r="C453" s="161"/>
      <c r="D453" s="161"/>
      <c r="E453" s="161"/>
      <c r="F453" s="118"/>
      <c r="G453" s="119"/>
      <c r="H453" s="165"/>
      <c r="I453" s="119"/>
      <c r="J453" s="119"/>
      <c r="K453" s="157"/>
    </row>
    <row r="454" spans="1:11" x14ac:dyDescent="0.3">
      <c r="A454" s="127"/>
      <c r="B454" s="109"/>
      <c r="C454" s="161"/>
      <c r="D454" s="161"/>
      <c r="E454" s="161"/>
      <c r="F454" s="118"/>
      <c r="G454" s="119"/>
      <c r="H454" s="165"/>
      <c r="I454" s="119"/>
      <c r="J454" s="119"/>
      <c r="K454" s="157"/>
    </row>
    <row r="455" spans="1:11" x14ac:dyDescent="0.3">
      <c r="A455" s="127"/>
      <c r="B455" s="109"/>
      <c r="C455" s="161"/>
      <c r="D455" s="161"/>
      <c r="E455" s="161"/>
      <c r="F455" s="118"/>
      <c r="G455" s="119"/>
      <c r="H455" s="165"/>
      <c r="I455" s="119"/>
      <c r="J455" s="119"/>
      <c r="K455" s="157"/>
    </row>
    <row r="456" spans="1:11" x14ac:dyDescent="0.3">
      <c r="A456" s="127"/>
      <c r="B456" s="109"/>
      <c r="C456" s="161"/>
      <c r="D456" s="161"/>
      <c r="E456" s="161"/>
      <c r="F456" s="118"/>
      <c r="G456" s="119"/>
      <c r="H456" s="165"/>
      <c r="I456" s="119"/>
      <c r="J456" s="119"/>
      <c r="K456" s="157"/>
    </row>
    <row r="457" spans="1:11" x14ac:dyDescent="0.3">
      <c r="A457" s="127"/>
      <c r="B457" s="109"/>
      <c r="C457" s="161"/>
      <c r="D457" s="161"/>
      <c r="E457" s="161"/>
      <c r="F457" s="118"/>
      <c r="G457" s="119"/>
      <c r="H457" s="165"/>
      <c r="I457" s="119"/>
      <c r="J457" s="119"/>
      <c r="K457" s="157"/>
    </row>
    <row r="458" spans="1:11" x14ac:dyDescent="0.3">
      <c r="A458" s="127"/>
      <c r="B458" s="109"/>
      <c r="C458" s="161"/>
      <c r="D458" s="161"/>
      <c r="E458" s="161"/>
      <c r="F458" s="118"/>
      <c r="G458" s="119"/>
      <c r="H458" s="165"/>
      <c r="I458" s="119"/>
      <c r="J458" s="119"/>
      <c r="K458" s="157"/>
    </row>
    <row r="459" spans="1:11" x14ac:dyDescent="0.3">
      <c r="A459" s="127"/>
      <c r="B459" s="109"/>
      <c r="C459" s="161"/>
      <c r="D459" s="161"/>
      <c r="E459" s="161"/>
      <c r="F459" s="118"/>
      <c r="G459" s="119"/>
      <c r="H459" s="165"/>
      <c r="I459" s="119"/>
      <c r="J459" s="119"/>
      <c r="K459" s="157"/>
    </row>
    <row r="460" spans="1:11" x14ac:dyDescent="0.3">
      <c r="A460" s="127"/>
      <c r="B460" s="109"/>
      <c r="C460" s="161"/>
      <c r="D460" s="161"/>
      <c r="E460" s="161"/>
      <c r="F460" s="118"/>
      <c r="G460" s="119"/>
      <c r="H460" s="165"/>
      <c r="I460" s="119"/>
      <c r="J460" s="119"/>
      <c r="K460" s="157"/>
    </row>
    <row r="461" spans="1:11" x14ac:dyDescent="0.3">
      <c r="A461" s="127"/>
      <c r="B461" s="109"/>
      <c r="C461" s="161"/>
      <c r="D461" s="161"/>
      <c r="E461" s="161"/>
      <c r="F461" s="118"/>
      <c r="G461" s="119"/>
      <c r="H461" s="165"/>
      <c r="I461" s="119"/>
      <c r="J461" s="119"/>
      <c r="K461" s="157"/>
    </row>
    <row r="462" spans="1:11" x14ac:dyDescent="0.3">
      <c r="A462" s="127"/>
      <c r="B462" s="109"/>
      <c r="C462" s="161"/>
      <c r="D462" s="161"/>
      <c r="E462" s="161"/>
      <c r="F462" s="118"/>
      <c r="G462" s="119"/>
      <c r="H462" s="165"/>
      <c r="I462" s="119"/>
      <c r="J462" s="119"/>
      <c r="K462" s="157"/>
    </row>
    <row r="463" spans="1:11" x14ac:dyDescent="0.3">
      <c r="A463" s="127"/>
      <c r="B463" s="109"/>
      <c r="C463" s="161"/>
      <c r="D463" s="161"/>
      <c r="E463" s="161"/>
      <c r="F463" s="118"/>
      <c r="G463" s="119"/>
      <c r="H463" s="165"/>
      <c r="I463" s="119"/>
      <c r="J463" s="119"/>
      <c r="K463" s="157"/>
    </row>
    <row r="464" spans="1:11" x14ac:dyDescent="0.3">
      <c r="A464" s="127"/>
      <c r="B464" s="109"/>
      <c r="C464" s="161"/>
      <c r="D464" s="161"/>
      <c r="E464" s="161"/>
      <c r="F464" s="118"/>
      <c r="G464" s="119"/>
      <c r="H464" s="165"/>
      <c r="I464" s="119"/>
      <c r="J464" s="119"/>
      <c r="K464" s="157"/>
    </row>
    <row r="465" spans="1:11" x14ac:dyDescent="0.3">
      <c r="A465" s="127"/>
      <c r="B465" s="109"/>
      <c r="C465" s="161"/>
      <c r="D465" s="161"/>
      <c r="E465" s="161"/>
      <c r="F465" s="118"/>
      <c r="G465" s="119"/>
      <c r="H465" s="165"/>
      <c r="I465" s="119"/>
      <c r="J465" s="119"/>
      <c r="K465" s="157"/>
    </row>
    <row r="466" spans="1:11" x14ac:dyDescent="0.3">
      <c r="A466" s="127"/>
      <c r="B466" s="109"/>
      <c r="C466" s="161"/>
      <c r="D466" s="161"/>
      <c r="E466" s="161"/>
      <c r="F466" s="118"/>
      <c r="G466" s="119"/>
      <c r="H466" s="165"/>
      <c r="I466" s="119"/>
      <c r="J466" s="119"/>
      <c r="K466" s="157"/>
    </row>
    <row r="467" spans="1:11" x14ac:dyDescent="0.3">
      <c r="A467" s="127"/>
      <c r="B467" s="109"/>
      <c r="C467" s="161"/>
      <c r="D467" s="161"/>
      <c r="E467" s="161"/>
      <c r="F467" s="118"/>
      <c r="G467" s="119"/>
      <c r="H467" s="165"/>
      <c r="I467" s="119"/>
      <c r="J467" s="119"/>
      <c r="K467" s="157"/>
    </row>
    <row r="468" spans="1:11" x14ac:dyDescent="0.3">
      <c r="A468" s="127"/>
      <c r="B468" s="109"/>
      <c r="C468" s="161"/>
      <c r="D468" s="161"/>
      <c r="E468" s="161"/>
      <c r="F468" s="118"/>
      <c r="G468" s="119"/>
      <c r="H468" s="165"/>
      <c r="I468" s="119"/>
      <c r="J468" s="119"/>
      <c r="K468" s="157"/>
    </row>
    <row r="469" spans="1:11" x14ac:dyDescent="0.3">
      <c r="A469" s="127"/>
      <c r="B469" s="109"/>
      <c r="C469" s="161"/>
      <c r="D469" s="161"/>
      <c r="E469" s="161"/>
      <c r="F469" s="118"/>
      <c r="G469" s="119"/>
      <c r="H469" s="165"/>
      <c r="I469" s="119"/>
      <c r="J469" s="119"/>
      <c r="K469" s="157"/>
    </row>
    <row r="470" spans="1:11" x14ac:dyDescent="0.3">
      <c r="A470" s="127"/>
      <c r="B470" s="109"/>
      <c r="C470" s="161"/>
      <c r="D470" s="161"/>
      <c r="E470" s="161"/>
      <c r="F470" s="118"/>
      <c r="G470" s="119"/>
      <c r="H470" s="165"/>
      <c r="I470" s="119"/>
      <c r="J470" s="119"/>
      <c r="K470" s="157"/>
    </row>
    <row r="471" spans="1:11" x14ac:dyDescent="0.3">
      <c r="A471" s="127"/>
      <c r="B471" s="109"/>
      <c r="C471" s="161"/>
      <c r="D471" s="161"/>
      <c r="E471" s="161"/>
      <c r="F471" s="118"/>
      <c r="G471" s="119"/>
      <c r="H471" s="165"/>
      <c r="I471" s="119"/>
      <c r="J471" s="119"/>
      <c r="K471" s="157"/>
    </row>
    <row r="472" spans="1:11" x14ac:dyDescent="0.3">
      <c r="A472" s="127"/>
      <c r="B472" s="109"/>
      <c r="C472" s="161"/>
      <c r="D472" s="161"/>
      <c r="E472" s="161"/>
      <c r="F472" s="118"/>
      <c r="G472" s="119"/>
      <c r="H472" s="165"/>
      <c r="I472" s="119"/>
      <c r="J472" s="119"/>
      <c r="K472" s="157"/>
    </row>
    <row r="473" spans="1:11" x14ac:dyDescent="0.3">
      <c r="A473" s="127"/>
      <c r="B473" s="109"/>
      <c r="C473" s="161"/>
      <c r="D473" s="161"/>
      <c r="E473" s="161"/>
      <c r="F473" s="118"/>
      <c r="G473" s="119"/>
      <c r="H473" s="165"/>
      <c r="I473" s="119"/>
      <c r="J473" s="119"/>
      <c r="K473" s="157"/>
    </row>
    <row r="474" spans="1:11" x14ac:dyDescent="0.3">
      <c r="A474" s="127"/>
      <c r="B474" s="109"/>
      <c r="C474" s="161"/>
      <c r="D474" s="161"/>
      <c r="E474" s="161"/>
      <c r="F474" s="118"/>
      <c r="G474" s="119"/>
      <c r="H474" s="165"/>
      <c r="I474" s="119"/>
      <c r="J474" s="119"/>
      <c r="K474" s="157"/>
    </row>
    <row r="475" spans="1:11" x14ac:dyDescent="0.3">
      <c r="A475" s="127"/>
      <c r="B475" s="109"/>
      <c r="C475" s="161"/>
      <c r="D475" s="161"/>
      <c r="E475" s="161"/>
      <c r="F475" s="118"/>
      <c r="G475" s="119"/>
      <c r="H475" s="165"/>
      <c r="I475" s="119"/>
      <c r="J475" s="119"/>
      <c r="K475" s="157"/>
    </row>
    <row r="476" spans="1:11" x14ac:dyDescent="0.3">
      <c r="A476" s="127"/>
      <c r="B476" s="109"/>
      <c r="C476" s="161"/>
      <c r="D476" s="161"/>
      <c r="E476" s="161"/>
      <c r="F476" s="118"/>
      <c r="G476" s="119"/>
      <c r="H476" s="165"/>
      <c r="I476" s="119"/>
      <c r="J476" s="119"/>
      <c r="K476" s="157"/>
    </row>
    <row r="477" spans="1:11" x14ac:dyDescent="0.3">
      <c r="A477" s="127"/>
      <c r="B477" s="109"/>
      <c r="C477" s="161"/>
      <c r="D477" s="161"/>
      <c r="E477" s="161"/>
      <c r="F477" s="118"/>
      <c r="G477" s="119"/>
      <c r="H477" s="165"/>
      <c r="I477" s="119"/>
      <c r="J477" s="119"/>
      <c r="K477" s="157"/>
    </row>
    <row r="478" spans="1:11" x14ac:dyDescent="0.3">
      <c r="A478" s="127"/>
      <c r="B478" s="109"/>
      <c r="C478" s="161"/>
      <c r="D478" s="161"/>
      <c r="E478" s="161"/>
      <c r="F478" s="118"/>
      <c r="G478" s="119"/>
      <c r="H478" s="165"/>
      <c r="I478" s="119"/>
      <c r="J478" s="119"/>
      <c r="K478" s="157"/>
    </row>
    <row r="479" spans="1:11" x14ac:dyDescent="0.3">
      <c r="A479" s="127"/>
      <c r="B479" s="109"/>
      <c r="C479" s="161"/>
      <c r="D479" s="161"/>
      <c r="E479" s="161"/>
      <c r="F479" s="118"/>
      <c r="G479" s="119"/>
      <c r="H479" s="165"/>
      <c r="I479" s="119"/>
      <c r="J479" s="119"/>
      <c r="K479" s="157"/>
    </row>
    <row r="480" spans="1:11" x14ac:dyDescent="0.3">
      <c r="A480" s="127"/>
      <c r="B480" s="109"/>
      <c r="C480" s="161"/>
      <c r="D480" s="161"/>
      <c r="E480" s="161"/>
      <c r="F480" s="118"/>
      <c r="G480" s="119"/>
      <c r="H480" s="165"/>
      <c r="I480" s="119"/>
      <c r="J480" s="119"/>
      <c r="K480" s="157"/>
    </row>
    <row r="481" spans="1:11" x14ac:dyDescent="0.3">
      <c r="A481" s="127"/>
      <c r="B481" s="109"/>
      <c r="C481" s="161"/>
      <c r="D481" s="161"/>
      <c r="E481" s="161"/>
      <c r="F481" s="118"/>
      <c r="G481" s="119"/>
      <c r="H481" s="165"/>
      <c r="I481" s="119"/>
      <c r="J481" s="119"/>
      <c r="K481" s="157"/>
    </row>
    <row r="482" spans="1:11" x14ac:dyDescent="0.3">
      <c r="A482" s="127"/>
      <c r="B482" s="109"/>
      <c r="C482" s="161"/>
      <c r="D482" s="161"/>
      <c r="E482" s="161"/>
      <c r="F482" s="118"/>
      <c r="G482" s="119"/>
      <c r="H482" s="165"/>
      <c r="I482" s="119"/>
      <c r="J482" s="119"/>
      <c r="K482" s="157"/>
    </row>
    <row r="483" spans="1:11" x14ac:dyDescent="0.3">
      <c r="A483" s="127"/>
      <c r="B483" s="109"/>
      <c r="C483" s="161"/>
      <c r="D483" s="161"/>
      <c r="E483" s="161"/>
      <c r="F483" s="118"/>
      <c r="G483" s="119"/>
      <c r="H483" s="165"/>
      <c r="I483" s="119"/>
      <c r="J483" s="119"/>
      <c r="K483" s="157"/>
    </row>
    <row r="484" spans="1:11" x14ac:dyDescent="0.3">
      <c r="A484" s="127"/>
      <c r="B484" s="109"/>
      <c r="C484" s="161"/>
      <c r="D484" s="161"/>
      <c r="E484" s="161"/>
      <c r="F484" s="118"/>
      <c r="G484" s="119"/>
      <c r="H484" s="165"/>
      <c r="I484" s="119"/>
      <c r="J484" s="119"/>
      <c r="K484" s="157"/>
    </row>
    <row r="485" spans="1:11" x14ac:dyDescent="0.3">
      <c r="A485" s="127"/>
      <c r="B485" s="109"/>
      <c r="C485" s="161"/>
      <c r="D485" s="161"/>
      <c r="E485" s="161"/>
      <c r="F485" s="118"/>
      <c r="G485" s="119"/>
      <c r="H485" s="165"/>
      <c r="I485" s="119"/>
      <c r="J485" s="119"/>
      <c r="K485" s="157"/>
    </row>
    <row r="486" spans="1:11" x14ac:dyDescent="0.3">
      <c r="A486" s="127"/>
      <c r="B486" s="109"/>
      <c r="C486" s="161"/>
      <c r="D486" s="161"/>
      <c r="E486" s="161"/>
      <c r="F486" s="118"/>
      <c r="G486" s="119"/>
      <c r="H486" s="165"/>
      <c r="I486" s="119"/>
      <c r="J486" s="119"/>
      <c r="K486" s="157"/>
    </row>
    <row r="487" spans="1:11" x14ac:dyDescent="0.3">
      <c r="A487" s="127"/>
      <c r="B487" s="109"/>
      <c r="C487" s="161"/>
      <c r="D487" s="161"/>
      <c r="E487" s="161"/>
      <c r="F487" s="118"/>
      <c r="G487" s="119"/>
      <c r="H487" s="165"/>
      <c r="I487" s="119"/>
      <c r="J487" s="119"/>
      <c r="K487" s="157"/>
    </row>
    <row r="488" spans="1:11" x14ac:dyDescent="0.3">
      <c r="A488" s="127"/>
      <c r="B488" s="109"/>
      <c r="C488" s="161"/>
      <c r="D488" s="161"/>
      <c r="E488" s="161"/>
      <c r="F488" s="118"/>
      <c r="G488" s="119"/>
      <c r="H488" s="165"/>
      <c r="I488" s="119"/>
      <c r="J488" s="119"/>
      <c r="K488" s="157"/>
    </row>
    <row r="489" spans="1:11" x14ac:dyDescent="0.3">
      <c r="A489" s="127"/>
      <c r="B489" s="109"/>
      <c r="C489" s="161"/>
      <c r="D489" s="161"/>
      <c r="E489" s="161"/>
      <c r="F489" s="118"/>
      <c r="G489" s="119"/>
      <c r="H489" s="165"/>
      <c r="I489" s="119"/>
      <c r="J489" s="119"/>
      <c r="K489" s="157"/>
    </row>
    <row r="490" spans="1:11" x14ac:dyDescent="0.3">
      <c r="A490" s="127"/>
      <c r="B490" s="109"/>
      <c r="C490" s="161"/>
      <c r="D490" s="161"/>
      <c r="E490" s="161"/>
      <c r="F490" s="118"/>
      <c r="G490" s="119"/>
      <c r="H490" s="165"/>
      <c r="I490" s="119"/>
      <c r="J490" s="119"/>
      <c r="K490" s="157"/>
    </row>
    <row r="491" spans="1:11" x14ac:dyDescent="0.3">
      <c r="A491" s="127"/>
      <c r="B491" s="109"/>
      <c r="C491" s="161"/>
      <c r="D491" s="161"/>
      <c r="E491" s="161"/>
      <c r="F491" s="118"/>
      <c r="G491" s="119"/>
      <c r="H491" s="165"/>
      <c r="I491" s="119"/>
      <c r="J491" s="119"/>
      <c r="K491" s="157"/>
    </row>
    <row r="492" spans="1:11" x14ac:dyDescent="0.3">
      <c r="A492" s="127"/>
      <c r="B492" s="109"/>
      <c r="C492" s="161"/>
      <c r="D492" s="161"/>
      <c r="E492" s="161"/>
      <c r="F492" s="118"/>
      <c r="G492" s="119"/>
      <c r="H492" s="165"/>
      <c r="I492" s="119"/>
      <c r="J492" s="119"/>
      <c r="K492" s="157"/>
    </row>
    <row r="493" spans="1:11" x14ac:dyDescent="0.3">
      <c r="A493" s="127"/>
      <c r="B493" s="109"/>
      <c r="C493" s="161"/>
      <c r="D493" s="161"/>
      <c r="E493" s="161"/>
      <c r="F493" s="118"/>
      <c r="G493" s="119"/>
      <c r="H493" s="165"/>
      <c r="I493" s="119"/>
      <c r="J493" s="119"/>
      <c r="K493" s="157"/>
    </row>
    <row r="494" spans="1:11" x14ac:dyDescent="0.3">
      <c r="A494" s="127"/>
      <c r="B494" s="109"/>
      <c r="C494" s="161"/>
      <c r="D494" s="161"/>
      <c r="E494" s="161"/>
      <c r="F494" s="118"/>
      <c r="G494" s="119"/>
      <c r="H494" s="165"/>
      <c r="I494" s="119"/>
      <c r="J494" s="119"/>
      <c r="K494" s="157"/>
    </row>
    <row r="495" spans="1:11" x14ac:dyDescent="0.3">
      <c r="A495" s="127"/>
      <c r="B495" s="109"/>
      <c r="C495" s="161"/>
      <c r="D495" s="161"/>
      <c r="E495" s="161"/>
      <c r="F495" s="118"/>
      <c r="G495" s="119"/>
      <c r="H495" s="165"/>
      <c r="I495" s="119"/>
      <c r="J495" s="119"/>
      <c r="K495" s="157"/>
    </row>
    <row r="496" spans="1:11" x14ac:dyDescent="0.3">
      <c r="A496" s="127"/>
      <c r="B496" s="109"/>
      <c r="C496" s="161"/>
      <c r="D496" s="161"/>
      <c r="E496" s="161"/>
      <c r="F496" s="118"/>
      <c r="G496" s="119"/>
      <c r="H496" s="165"/>
      <c r="I496" s="119"/>
      <c r="J496" s="119"/>
      <c r="K496" s="157"/>
    </row>
    <row r="497" spans="1:11" x14ac:dyDescent="0.3">
      <c r="A497" s="127"/>
      <c r="B497" s="109"/>
      <c r="C497" s="161"/>
      <c r="D497" s="161"/>
      <c r="E497" s="161"/>
      <c r="F497" s="118"/>
      <c r="G497" s="119"/>
      <c r="H497" s="165"/>
      <c r="I497" s="119"/>
      <c r="J497" s="119"/>
      <c r="K497" s="157"/>
    </row>
    <row r="498" spans="1:11" x14ac:dyDescent="0.3">
      <c r="A498" s="127"/>
      <c r="B498" s="109"/>
      <c r="C498" s="161"/>
      <c r="D498" s="161"/>
      <c r="E498" s="161"/>
      <c r="F498" s="118"/>
      <c r="G498" s="119"/>
      <c r="H498" s="165"/>
      <c r="I498" s="119"/>
      <c r="J498" s="119"/>
      <c r="K498" s="157"/>
    </row>
    <row r="499" spans="1:11" x14ac:dyDescent="0.3">
      <c r="A499" s="127"/>
      <c r="B499" s="109"/>
      <c r="C499" s="161"/>
      <c r="D499" s="161"/>
      <c r="E499" s="161"/>
      <c r="F499" s="118"/>
      <c r="G499" s="119"/>
      <c r="H499" s="165"/>
      <c r="I499" s="119"/>
      <c r="J499" s="119"/>
      <c r="K499" s="157"/>
    </row>
    <row r="500" spans="1:11" x14ac:dyDescent="0.3">
      <c r="A500" s="127"/>
      <c r="B500" s="109"/>
      <c r="C500" s="161"/>
      <c r="D500" s="161"/>
      <c r="E500" s="161"/>
      <c r="F500" s="118"/>
      <c r="G500" s="119"/>
      <c r="H500" s="165"/>
      <c r="I500" s="119"/>
      <c r="J500" s="119"/>
      <c r="K500" s="157"/>
    </row>
    <row r="501" spans="1:11" x14ac:dyDescent="0.3">
      <c r="A501" s="127"/>
      <c r="B501" s="109"/>
      <c r="C501" s="161"/>
      <c r="D501" s="161"/>
      <c r="E501" s="161"/>
      <c r="F501" s="118"/>
      <c r="G501" s="119"/>
      <c r="H501" s="165"/>
      <c r="I501" s="119"/>
      <c r="J501" s="119"/>
      <c r="K501" s="157"/>
    </row>
    <row r="502" spans="1:11" x14ac:dyDescent="0.3">
      <c r="A502" s="127"/>
      <c r="B502" s="109"/>
      <c r="C502" s="161"/>
      <c r="D502" s="161"/>
      <c r="E502" s="161"/>
      <c r="F502" s="118"/>
      <c r="G502" s="119"/>
      <c r="H502" s="165"/>
      <c r="I502" s="119"/>
      <c r="J502" s="119"/>
      <c r="K502" s="157"/>
    </row>
    <row r="503" spans="1:11" x14ac:dyDescent="0.3">
      <c r="A503" s="127"/>
      <c r="B503" s="109"/>
      <c r="C503" s="161"/>
      <c r="D503" s="161"/>
      <c r="E503" s="161"/>
      <c r="F503" s="118"/>
      <c r="G503" s="119"/>
      <c r="H503" s="165"/>
      <c r="I503" s="119"/>
      <c r="J503" s="119"/>
      <c r="K503" s="157"/>
    </row>
    <row r="504" spans="1:11" x14ac:dyDescent="0.3">
      <c r="A504" s="127"/>
      <c r="B504" s="109"/>
      <c r="C504" s="161"/>
      <c r="D504" s="161"/>
      <c r="E504" s="161"/>
      <c r="F504" s="118"/>
      <c r="G504" s="119"/>
      <c r="H504" s="165"/>
      <c r="I504" s="119"/>
      <c r="J504" s="119"/>
      <c r="K504" s="157"/>
    </row>
    <row r="505" spans="1:11" x14ac:dyDescent="0.3">
      <c r="A505" s="127"/>
      <c r="B505" s="109"/>
      <c r="C505" s="161"/>
      <c r="D505" s="161"/>
      <c r="E505" s="161"/>
      <c r="F505" s="118"/>
      <c r="G505" s="119"/>
      <c r="H505" s="165"/>
      <c r="I505" s="119"/>
      <c r="J505" s="119"/>
      <c r="K505" s="157"/>
    </row>
    <row r="506" spans="1:11" x14ac:dyDescent="0.3">
      <c r="A506" s="127"/>
      <c r="B506" s="109"/>
      <c r="C506" s="161"/>
      <c r="D506" s="161"/>
      <c r="E506" s="161"/>
      <c r="F506" s="118"/>
      <c r="G506" s="119"/>
      <c r="H506" s="165"/>
      <c r="I506" s="119"/>
      <c r="J506" s="119"/>
      <c r="K506" s="157"/>
    </row>
    <row r="507" spans="1:11" x14ac:dyDescent="0.3">
      <c r="A507" s="127"/>
      <c r="B507" s="109"/>
      <c r="C507" s="161"/>
      <c r="D507" s="161"/>
      <c r="E507" s="161"/>
      <c r="F507" s="118"/>
      <c r="G507" s="119"/>
      <c r="H507" s="165"/>
      <c r="I507" s="119"/>
      <c r="J507" s="119"/>
      <c r="K507" s="157"/>
    </row>
    <row r="508" spans="1:11" x14ac:dyDescent="0.3">
      <c r="A508" s="127"/>
      <c r="B508" s="109"/>
      <c r="C508" s="161"/>
      <c r="D508" s="161"/>
      <c r="E508" s="161"/>
      <c r="F508" s="118"/>
      <c r="G508" s="119"/>
      <c r="H508" s="165"/>
      <c r="I508" s="119"/>
      <c r="J508" s="119"/>
      <c r="K508" s="157"/>
    </row>
    <row r="509" spans="1:11" x14ac:dyDescent="0.3">
      <c r="A509" s="127"/>
      <c r="B509" s="109"/>
      <c r="C509" s="161"/>
      <c r="D509" s="161"/>
      <c r="E509" s="161"/>
      <c r="F509" s="118"/>
      <c r="G509" s="119"/>
      <c r="H509" s="165"/>
      <c r="I509" s="119"/>
      <c r="J509" s="119"/>
      <c r="K509" s="157"/>
    </row>
    <row r="510" spans="1:11" x14ac:dyDescent="0.3">
      <c r="A510" s="127"/>
      <c r="B510" s="109"/>
      <c r="C510" s="161"/>
      <c r="D510" s="161"/>
      <c r="E510" s="161"/>
      <c r="F510" s="118"/>
      <c r="G510" s="119"/>
      <c r="H510" s="165"/>
      <c r="I510" s="119"/>
      <c r="J510" s="119"/>
      <c r="K510" s="157"/>
    </row>
    <row r="511" spans="1:11" x14ac:dyDescent="0.3">
      <c r="A511" s="127"/>
      <c r="B511" s="109"/>
      <c r="C511" s="161"/>
      <c r="D511" s="161"/>
      <c r="E511" s="161"/>
      <c r="F511" s="118"/>
      <c r="G511" s="119"/>
      <c r="H511" s="165"/>
      <c r="I511" s="119"/>
      <c r="J511" s="119"/>
      <c r="K511" s="157"/>
    </row>
    <row r="512" spans="1:11" x14ac:dyDescent="0.3">
      <c r="A512" s="127"/>
      <c r="B512" s="109"/>
      <c r="C512" s="161"/>
      <c r="D512" s="161"/>
      <c r="E512" s="161"/>
      <c r="F512" s="118"/>
      <c r="G512" s="119"/>
      <c r="H512" s="165"/>
      <c r="I512" s="119"/>
      <c r="J512" s="119"/>
      <c r="K512" s="157"/>
    </row>
    <row r="513" spans="1:11" x14ac:dyDescent="0.3">
      <c r="A513" s="127"/>
      <c r="B513" s="109"/>
      <c r="C513" s="161"/>
      <c r="D513" s="161"/>
      <c r="E513" s="161"/>
      <c r="F513" s="118"/>
      <c r="G513" s="119"/>
      <c r="H513" s="165"/>
      <c r="I513" s="119"/>
      <c r="J513" s="119"/>
      <c r="K513" s="157"/>
    </row>
    <row r="514" spans="1:11" x14ac:dyDescent="0.3">
      <c r="A514" s="127"/>
      <c r="B514" s="109"/>
      <c r="C514" s="161"/>
      <c r="D514" s="161"/>
      <c r="E514" s="161"/>
      <c r="F514" s="118"/>
      <c r="G514" s="119"/>
      <c r="H514" s="165"/>
      <c r="I514" s="119"/>
      <c r="J514" s="119"/>
      <c r="K514" s="157"/>
    </row>
    <row r="515" spans="1:11" x14ac:dyDescent="0.3">
      <c r="A515" s="127"/>
      <c r="B515" s="109"/>
      <c r="C515" s="161"/>
      <c r="D515" s="161"/>
      <c r="E515" s="161"/>
      <c r="F515" s="118"/>
      <c r="G515" s="119"/>
      <c r="H515" s="165"/>
      <c r="I515" s="119"/>
      <c r="J515" s="119"/>
      <c r="K515" s="157"/>
    </row>
    <row r="516" spans="1:11" x14ac:dyDescent="0.3">
      <c r="A516" s="127"/>
      <c r="B516" s="109"/>
      <c r="C516" s="161"/>
      <c r="D516" s="161"/>
      <c r="E516" s="161"/>
      <c r="F516" s="118"/>
      <c r="G516" s="119"/>
      <c r="H516" s="165"/>
      <c r="I516" s="119"/>
      <c r="J516" s="119"/>
      <c r="K516" s="157"/>
    </row>
    <row r="517" spans="1:11" x14ac:dyDescent="0.3">
      <c r="A517" s="127"/>
      <c r="B517" s="109"/>
      <c r="C517" s="161"/>
      <c r="D517" s="161"/>
      <c r="E517" s="161"/>
      <c r="F517" s="118"/>
      <c r="G517" s="119"/>
      <c r="H517" s="165"/>
      <c r="I517" s="119"/>
      <c r="J517" s="119"/>
      <c r="K517" s="157"/>
    </row>
    <row r="518" spans="1:11" x14ac:dyDescent="0.3">
      <c r="A518" s="127"/>
      <c r="B518" s="109"/>
      <c r="C518" s="161"/>
      <c r="D518" s="161"/>
      <c r="E518" s="161"/>
      <c r="F518" s="118"/>
      <c r="G518" s="119"/>
      <c r="H518" s="165"/>
      <c r="I518" s="119"/>
      <c r="J518" s="119"/>
      <c r="K518" s="157"/>
    </row>
    <row r="519" spans="1:11" x14ac:dyDescent="0.3">
      <c r="A519" s="127"/>
      <c r="B519" s="109"/>
      <c r="C519" s="161"/>
      <c r="D519" s="161"/>
      <c r="E519" s="161"/>
      <c r="F519" s="118"/>
      <c r="G519" s="119"/>
      <c r="H519" s="165"/>
      <c r="I519" s="119"/>
      <c r="J519" s="119"/>
      <c r="K519" s="157"/>
    </row>
    <row r="520" spans="1:11" x14ac:dyDescent="0.3">
      <c r="A520" s="127"/>
      <c r="B520" s="109"/>
      <c r="C520" s="161"/>
      <c r="D520" s="161"/>
      <c r="E520" s="161"/>
      <c r="F520" s="118"/>
      <c r="G520" s="119"/>
      <c r="H520" s="165"/>
      <c r="I520" s="119"/>
      <c r="J520" s="119"/>
      <c r="K520" s="157"/>
    </row>
    <row r="521" spans="1:11" x14ac:dyDescent="0.3">
      <c r="A521" s="127"/>
      <c r="B521" s="109"/>
      <c r="C521" s="161"/>
      <c r="D521" s="161"/>
      <c r="E521" s="161"/>
      <c r="F521" s="118"/>
      <c r="G521" s="119"/>
      <c r="H521" s="165"/>
      <c r="I521" s="119"/>
      <c r="J521" s="119"/>
      <c r="K521" s="157"/>
    </row>
    <row r="522" spans="1:11" x14ac:dyDescent="0.3">
      <c r="A522" s="127"/>
      <c r="B522" s="109"/>
      <c r="C522" s="161"/>
      <c r="D522" s="161"/>
      <c r="E522" s="161"/>
      <c r="F522" s="118"/>
      <c r="G522" s="119"/>
      <c r="H522" s="165"/>
      <c r="I522" s="119"/>
      <c r="J522" s="119"/>
      <c r="K522" s="157"/>
    </row>
    <row r="523" spans="1:11" x14ac:dyDescent="0.3">
      <c r="A523" s="127"/>
      <c r="B523" s="109"/>
      <c r="C523" s="161"/>
      <c r="D523" s="161"/>
      <c r="E523" s="161"/>
      <c r="F523" s="118"/>
      <c r="G523" s="119"/>
      <c r="H523" s="165"/>
      <c r="I523" s="119"/>
      <c r="J523" s="119"/>
      <c r="K523" s="157"/>
    </row>
    <row r="524" spans="1:11" x14ac:dyDescent="0.3">
      <c r="A524" s="127"/>
      <c r="B524" s="109"/>
      <c r="C524" s="161"/>
      <c r="D524" s="161"/>
      <c r="E524" s="161"/>
      <c r="F524" s="118"/>
      <c r="G524" s="119"/>
      <c r="H524" s="165"/>
      <c r="I524" s="119"/>
      <c r="J524" s="119"/>
      <c r="K524" s="157"/>
    </row>
    <row r="525" spans="1:11" x14ac:dyDescent="0.3">
      <c r="A525" s="127"/>
      <c r="B525" s="109"/>
      <c r="C525" s="161"/>
      <c r="D525" s="161"/>
      <c r="E525" s="161"/>
      <c r="F525" s="118"/>
      <c r="G525" s="119"/>
      <c r="H525" s="165"/>
      <c r="I525" s="119"/>
      <c r="J525" s="119"/>
      <c r="K525" s="157"/>
    </row>
    <row r="526" spans="1:11" x14ac:dyDescent="0.3">
      <c r="A526" s="127"/>
      <c r="B526" s="109"/>
      <c r="C526" s="161"/>
      <c r="D526" s="161"/>
      <c r="E526" s="161"/>
      <c r="F526" s="118"/>
      <c r="G526" s="119"/>
      <c r="H526" s="165"/>
      <c r="I526" s="119"/>
      <c r="J526" s="119"/>
      <c r="K526" s="157"/>
    </row>
    <row r="527" spans="1:11" x14ac:dyDescent="0.3">
      <c r="A527" s="127"/>
      <c r="B527" s="109"/>
      <c r="C527" s="161"/>
      <c r="D527" s="161"/>
      <c r="E527" s="161"/>
      <c r="F527" s="118"/>
      <c r="G527" s="119"/>
      <c r="H527" s="165"/>
      <c r="I527" s="119"/>
      <c r="J527" s="119"/>
      <c r="K527" s="157"/>
    </row>
    <row r="528" spans="1:11" x14ac:dyDescent="0.3">
      <c r="A528" s="127"/>
      <c r="B528" s="109"/>
      <c r="C528" s="161"/>
      <c r="D528" s="161"/>
      <c r="E528" s="161"/>
      <c r="F528" s="118"/>
      <c r="G528" s="119"/>
      <c r="H528" s="165"/>
      <c r="I528" s="119"/>
      <c r="J528" s="119"/>
      <c r="K528" s="157"/>
    </row>
    <row r="529" spans="1:11" x14ac:dyDescent="0.3">
      <c r="A529" s="127"/>
      <c r="B529" s="109"/>
      <c r="C529" s="161"/>
      <c r="D529" s="161"/>
      <c r="E529" s="161"/>
      <c r="F529" s="118"/>
      <c r="G529" s="119"/>
      <c r="H529" s="165"/>
      <c r="I529" s="119"/>
      <c r="J529" s="119"/>
      <c r="K529" s="157"/>
    </row>
    <row r="530" spans="1:11" x14ac:dyDescent="0.3">
      <c r="A530" s="127"/>
      <c r="B530" s="109"/>
      <c r="C530" s="161"/>
      <c r="D530" s="161"/>
      <c r="E530" s="161"/>
      <c r="F530" s="118"/>
      <c r="G530" s="119"/>
      <c r="H530" s="165"/>
      <c r="I530" s="119"/>
      <c r="J530" s="119"/>
      <c r="K530" s="157"/>
    </row>
    <row r="531" spans="1:11" x14ac:dyDescent="0.3">
      <c r="A531" s="127"/>
      <c r="B531" s="109"/>
      <c r="C531" s="161"/>
      <c r="D531" s="161"/>
      <c r="E531" s="161"/>
      <c r="F531" s="118"/>
      <c r="G531" s="119"/>
      <c r="H531" s="165"/>
      <c r="I531" s="119"/>
      <c r="J531" s="119"/>
      <c r="K531" s="157"/>
    </row>
    <row r="532" spans="1:11" x14ac:dyDescent="0.3">
      <c r="A532" s="127"/>
      <c r="B532" s="109"/>
      <c r="C532" s="161"/>
      <c r="D532" s="161"/>
      <c r="E532" s="161"/>
      <c r="F532" s="118"/>
      <c r="G532" s="119"/>
      <c r="H532" s="165"/>
      <c r="I532" s="119"/>
      <c r="J532" s="119"/>
      <c r="K532" s="157"/>
    </row>
    <row r="533" spans="1:11" x14ac:dyDescent="0.3">
      <c r="A533" s="127"/>
      <c r="B533" s="109"/>
      <c r="C533" s="161"/>
      <c r="D533" s="161"/>
      <c r="E533" s="161"/>
      <c r="F533" s="118"/>
      <c r="G533" s="119"/>
      <c r="H533" s="165"/>
      <c r="I533" s="119"/>
      <c r="J533" s="119"/>
      <c r="K533" s="157"/>
    </row>
    <row r="534" spans="1:11" x14ac:dyDescent="0.3">
      <c r="A534" s="127"/>
      <c r="B534" s="109"/>
      <c r="C534" s="161"/>
      <c r="D534" s="161"/>
      <c r="E534" s="161"/>
      <c r="F534" s="118"/>
      <c r="G534" s="119"/>
      <c r="H534" s="165"/>
      <c r="I534" s="119"/>
      <c r="J534" s="119"/>
      <c r="K534" s="157"/>
    </row>
    <row r="535" spans="1:11" x14ac:dyDescent="0.3">
      <c r="A535" s="127"/>
      <c r="B535" s="109"/>
      <c r="C535" s="161"/>
      <c r="D535" s="161"/>
      <c r="E535" s="161"/>
      <c r="F535" s="118"/>
      <c r="G535" s="119"/>
      <c r="H535" s="165"/>
      <c r="I535" s="119"/>
      <c r="J535" s="119"/>
      <c r="K535" s="157"/>
    </row>
    <row r="536" spans="1:11" x14ac:dyDescent="0.3">
      <c r="A536" s="127"/>
      <c r="B536" s="109"/>
      <c r="C536" s="161"/>
      <c r="D536" s="161"/>
      <c r="E536" s="161"/>
      <c r="F536" s="118"/>
      <c r="G536" s="119"/>
      <c r="H536" s="165"/>
      <c r="I536" s="119"/>
      <c r="J536" s="119"/>
      <c r="K536" s="157"/>
    </row>
    <row r="537" spans="1:11" x14ac:dyDescent="0.3">
      <c r="A537" s="127"/>
      <c r="B537" s="109"/>
      <c r="C537" s="161"/>
      <c r="D537" s="161"/>
      <c r="E537" s="161"/>
      <c r="F537" s="118"/>
      <c r="G537" s="119"/>
      <c r="H537" s="165"/>
      <c r="I537" s="119"/>
      <c r="J537" s="119"/>
      <c r="K537" s="157"/>
    </row>
    <row r="538" spans="1:11" x14ac:dyDescent="0.3">
      <c r="A538" s="127"/>
      <c r="B538" s="109"/>
      <c r="C538" s="161"/>
      <c r="D538" s="161"/>
      <c r="E538" s="161"/>
      <c r="F538" s="118"/>
      <c r="G538" s="119"/>
      <c r="H538" s="165"/>
      <c r="I538" s="119"/>
      <c r="J538" s="119"/>
      <c r="K538" s="157"/>
    </row>
    <row r="539" spans="1:11" x14ac:dyDescent="0.3">
      <c r="A539" s="127"/>
      <c r="B539" s="109"/>
      <c r="C539" s="161"/>
      <c r="D539" s="161"/>
      <c r="E539" s="161"/>
      <c r="F539" s="118"/>
      <c r="G539" s="119"/>
      <c r="H539" s="165"/>
      <c r="I539" s="119"/>
      <c r="J539" s="119"/>
      <c r="K539" s="157"/>
    </row>
    <row r="540" spans="1:11" x14ac:dyDescent="0.3">
      <c r="A540" s="127"/>
      <c r="B540" s="109"/>
      <c r="C540" s="161"/>
      <c r="D540" s="161"/>
      <c r="E540" s="161"/>
      <c r="F540" s="118"/>
      <c r="G540" s="119"/>
      <c r="H540" s="165"/>
      <c r="I540" s="119"/>
      <c r="J540" s="119"/>
      <c r="K540" s="157"/>
    </row>
    <row r="541" spans="1:11" x14ac:dyDescent="0.3">
      <c r="A541" s="127"/>
      <c r="B541" s="109"/>
      <c r="C541" s="161"/>
      <c r="D541" s="161"/>
      <c r="E541" s="161"/>
      <c r="F541" s="118"/>
      <c r="G541" s="119"/>
      <c r="H541" s="165"/>
      <c r="I541" s="119"/>
      <c r="J541" s="119"/>
      <c r="K541" s="157"/>
    </row>
    <row r="542" spans="1:11" x14ac:dyDescent="0.3">
      <c r="A542" s="127"/>
      <c r="B542" s="109"/>
      <c r="C542" s="161"/>
      <c r="D542" s="161"/>
      <c r="E542" s="161"/>
      <c r="F542" s="118"/>
      <c r="G542" s="119"/>
      <c r="H542" s="165"/>
      <c r="I542" s="119"/>
      <c r="J542" s="119"/>
      <c r="K542" s="157"/>
    </row>
    <row r="543" spans="1:11" x14ac:dyDescent="0.3">
      <c r="A543" s="127"/>
      <c r="B543" s="109"/>
      <c r="C543" s="161"/>
      <c r="D543" s="161"/>
      <c r="E543" s="161"/>
      <c r="F543" s="118"/>
      <c r="G543" s="119"/>
      <c r="H543" s="165"/>
      <c r="I543" s="119"/>
      <c r="J543" s="119"/>
      <c r="K543" s="157"/>
    </row>
    <row r="544" spans="1:11" x14ac:dyDescent="0.3">
      <c r="A544" s="127"/>
      <c r="B544" s="109"/>
      <c r="C544" s="161"/>
      <c r="D544" s="161"/>
      <c r="E544" s="161"/>
      <c r="F544" s="118"/>
      <c r="G544" s="119"/>
      <c r="H544" s="165"/>
      <c r="I544" s="119"/>
      <c r="J544" s="119"/>
      <c r="K544" s="157"/>
    </row>
    <row r="545" spans="1:11" x14ac:dyDescent="0.3">
      <c r="A545" s="127"/>
      <c r="B545" s="109"/>
      <c r="C545" s="161"/>
      <c r="D545" s="161"/>
      <c r="E545" s="161"/>
      <c r="F545" s="118"/>
      <c r="G545" s="119"/>
      <c r="H545" s="165"/>
      <c r="I545" s="119"/>
      <c r="J545" s="119"/>
      <c r="K545" s="157"/>
    </row>
    <row r="546" spans="1:11" x14ac:dyDescent="0.3">
      <c r="A546" s="127"/>
      <c r="B546" s="109"/>
      <c r="C546" s="161"/>
      <c r="D546" s="161"/>
      <c r="E546" s="161"/>
      <c r="F546" s="118"/>
      <c r="G546" s="119"/>
      <c r="H546" s="165"/>
      <c r="I546" s="119"/>
      <c r="J546" s="119"/>
      <c r="K546" s="157"/>
    </row>
    <row r="547" spans="1:11" x14ac:dyDescent="0.3">
      <c r="A547" s="127"/>
      <c r="B547" s="109"/>
      <c r="C547" s="161"/>
      <c r="D547" s="161"/>
      <c r="E547" s="161"/>
      <c r="F547" s="118"/>
      <c r="G547" s="119"/>
      <c r="H547" s="165"/>
      <c r="I547" s="119"/>
      <c r="J547" s="119"/>
      <c r="K547" s="157"/>
    </row>
    <row r="548" spans="1:11" x14ac:dyDescent="0.3">
      <c r="A548" s="127"/>
      <c r="B548" s="109"/>
      <c r="C548" s="161"/>
      <c r="D548" s="161"/>
      <c r="E548" s="161"/>
      <c r="F548" s="118"/>
      <c r="G548" s="119"/>
      <c r="H548" s="165"/>
      <c r="I548" s="119"/>
      <c r="J548" s="119"/>
      <c r="K548" s="157"/>
    </row>
    <row r="549" spans="1:11" x14ac:dyDescent="0.3">
      <c r="A549" s="127"/>
      <c r="B549" s="109"/>
      <c r="C549" s="161"/>
      <c r="D549" s="161"/>
      <c r="E549" s="161"/>
      <c r="F549" s="118"/>
      <c r="G549" s="119"/>
      <c r="H549" s="165"/>
      <c r="I549" s="119"/>
      <c r="J549" s="119"/>
      <c r="K549" s="157"/>
    </row>
    <row r="550" spans="1:11" x14ac:dyDescent="0.3">
      <c r="A550" s="127"/>
      <c r="B550" s="109"/>
      <c r="C550" s="161"/>
      <c r="D550" s="161"/>
      <c r="E550" s="161"/>
      <c r="F550" s="118"/>
      <c r="G550" s="119"/>
      <c r="H550" s="165"/>
      <c r="I550" s="119"/>
      <c r="J550" s="119"/>
      <c r="K550" s="157"/>
    </row>
    <row r="551" spans="1:11" x14ac:dyDescent="0.3">
      <c r="A551" s="127"/>
      <c r="B551" s="109"/>
      <c r="C551" s="161"/>
      <c r="D551" s="161"/>
      <c r="E551" s="161"/>
      <c r="F551" s="118"/>
      <c r="G551" s="119"/>
      <c r="H551" s="165"/>
      <c r="I551" s="119"/>
      <c r="J551" s="119"/>
      <c r="K551" s="157"/>
    </row>
    <row r="552" spans="1:11" x14ac:dyDescent="0.3">
      <c r="A552" s="127"/>
      <c r="B552" s="109"/>
      <c r="C552" s="161"/>
      <c r="D552" s="161"/>
      <c r="E552" s="161"/>
      <c r="F552" s="118"/>
      <c r="G552" s="119"/>
      <c r="H552" s="165"/>
      <c r="I552" s="119"/>
      <c r="J552" s="119"/>
      <c r="K552" s="157"/>
    </row>
    <row r="553" spans="1:11" x14ac:dyDescent="0.3">
      <c r="A553" s="127"/>
      <c r="B553" s="109"/>
      <c r="C553" s="161"/>
      <c r="D553" s="161"/>
      <c r="E553" s="161"/>
      <c r="F553" s="118"/>
      <c r="G553" s="119"/>
      <c r="H553" s="165"/>
      <c r="I553" s="119"/>
      <c r="J553" s="119"/>
      <c r="K553" s="157"/>
    </row>
    <row r="554" spans="1:11" x14ac:dyDescent="0.3">
      <c r="A554" s="127"/>
      <c r="B554" s="109"/>
      <c r="C554" s="161"/>
      <c r="D554" s="161"/>
      <c r="E554" s="161"/>
      <c r="F554" s="118"/>
      <c r="G554" s="119"/>
      <c r="H554" s="165"/>
      <c r="I554" s="119"/>
      <c r="J554" s="119"/>
      <c r="K554" s="157"/>
    </row>
    <row r="555" spans="1:11" x14ac:dyDescent="0.3">
      <c r="A555" s="127"/>
      <c r="B555" s="109"/>
      <c r="C555" s="161"/>
      <c r="D555" s="161"/>
      <c r="E555" s="161"/>
      <c r="F555" s="118"/>
      <c r="G555" s="119"/>
      <c r="H555" s="165"/>
      <c r="I555" s="119"/>
      <c r="J555" s="119"/>
      <c r="K555" s="157"/>
    </row>
    <row r="556" spans="1:11" x14ac:dyDescent="0.3">
      <c r="A556" s="127"/>
      <c r="B556" s="109"/>
      <c r="C556" s="161"/>
      <c r="D556" s="161"/>
      <c r="E556" s="161"/>
      <c r="F556" s="118"/>
      <c r="G556" s="119"/>
      <c r="H556" s="165"/>
      <c r="I556" s="119"/>
      <c r="J556" s="119"/>
      <c r="K556" s="157"/>
    </row>
    <row r="557" spans="1:11" x14ac:dyDescent="0.3">
      <c r="A557" s="127"/>
      <c r="B557" s="109"/>
      <c r="C557" s="161"/>
      <c r="D557" s="161"/>
      <c r="E557" s="161"/>
      <c r="F557" s="118"/>
      <c r="G557" s="119"/>
      <c r="H557" s="165"/>
      <c r="I557" s="119"/>
      <c r="J557" s="119"/>
      <c r="K557" s="157"/>
    </row>
    <row r="558" spans="1:11" x14ac:dyDescent="0.3">
      <c r="A558" s="127"/>
      <c r="B558" s="109"/>
      <c r="C558" s="161"/>
      <c r="D558" s="161"/>
      <c r="E558" s="161"/>
      <c r="F558" s="118"/>
      <c r="G558" s="119"/>
      <c r="H558" s="165"/>
      <c r="I558" s="119"/>
      <c r="J558" s="119"/>
      <c r="K558" s="157"/>
    </row>
    <row r="559" spans="1:11" x14ac:dyDescent="0.3">
      <c r="A559" s="127"/>
      <c r="B559" s="109"/>
      <c r="C559" s="161"/>
      <c r="D559" s="161"/>
      <c r="E559" s="161"/>
      <c r="F559" s="118"/>
      <c r="G559" s="119"/>
      <c r="H559" s="165"/>
      <c r="I559" s="119"/>
      <c r="J559" s="119"/>
      <c r="K559" s="157"/>
    </row>
    <row r="560" spans="1:11" x14ac:dyDescent="0.3">
      <c r="A560" s="127"/>
      <c r="B560" s="109"/>
      <c r="C560" s="161"/>
      <c r="D560" s="161"/>
      <c r="E560" s="161"/>
      <c r="F560" s="118"/>
      <c r="G560" s="119"/>
      <c r="H560" s="165"/>
      <c r="I560" s="119"/>
      <c r="J560" s="119"/>
      <c r="K560" s="157"/>
    </row>
    <row r="561" spans="1:11" x14ac:dyDescent="0.3">
      <c r="A561" s="127"/>
      <c r="B561" s="109"/>
      <c r="C561" s="161"/>
      <c r="D561" s="161"/>
      <c r="E561" s="161"/>
      <c r="F561" s="118"/>
      <c r="G561" s="119"/>
      <c r="H561" s="165"/>
      <c r="I561" s="119"/>
      <c r="J561" s="119"/>
      <c r="K561" s="157"/>
    </row>
    <row r="562" spans="1:11" x14ac:dyDescent="0.3">
      <c r="A562" s="127"/>
      <c r="B562" s="109"/>
      <c r="C562" s="161"/>
      <c r="D562" s="161"/>
      <c r="E562" s="161"/>
      <c r="F562" s="118"/>
      <c r="G562" s="119"/>
      <c r="H562" s="165"/>
      <c r="I562" s="119"/>
      <c r="J562" s="119"/>
      <c r="K562" s="157"/>
    </row>
    <row r="563" spans="1:11" x14ac:dyDescent="0.3">
      <c r="A563" s="127"/>
      <c r="B563" s="109"/>
      <c r="C563" s="161"/>
      <c r="D563" s="161"/>
      <c r="E563" s="161"/>
      <c r="F563" s="118"/>
      <c r="G563" s="119"/>
      <c r="H563" s="165"/>
      <c r="I563" s="119"/>
      <c r="J563" s="119"/>
      <c r="K563" s="157"/>
    </row>
    <row r="564" spans="1:11" x14ac:dyDescent="0.3">
      <c r="A564" s="127"/>
      <c r="B564" s="109"/>
      <c r="C564" s="161"/>
      <c r="D564" s="161"/>
      <c r="E564" s="161"/>
      <c r="F564" s="118"/>
      <c r="G564" s="119"/>
      <c r="H564" s="165"/>
      <c r="I564" s="119"/>
      <c r="J564" s="119"/>
      <c r="K564" s="157"/>
    </row>
    <row r="565" spans="1:11" x14ac:dyDescent="0.3">
      <c r="A565" s="127"/>
      <c r="B565" s="109"/>
      <c r="C565" s="161"/>
      <c r="D565" s="161"/>
      <c r="E565" s="161"/>
      <c r="F565" s="118"/>
      <c r="G565" s="119"/>
      <c r="H565" s="165"/>
      <c r="I565" s="119"/>
      <c r="J565" s="119"/>
      <c r="K565" s="157"/>
    </row>
    <row r="566" spans="1:11" x14ac:dyDescent="0.3">
      <c r="A566" s="127"/>
      <c r="B566" s="109"/>
      <c r="C566" s="161"/>
      <c r="D566" s="161"/>
      <c r="E566" s="161"/>
      <c r="F566" s="118"/>
      <c r="G566" s="119"/>
      <c r="H566" s="165"/>
      <c r="I566" s="119"/>
      <c r="J566" s="119"/>
      <c r="K566" s="157"/>
    </row>
    <row r="567" spans="1:11" x14ac:dyDescent="0.3">
      <c r="A567" s="127"/>
      <c r="B567" s="109"/>
      <c r="C567" s="161"/>
      <c r="D567" s="161"/>
      <c r="E567" s="161"/>
      <c r="F567" s="118"/>
      <c r="G567" s="119"/>
      <c r="H567" s="165"/>
      <c r="I567" s="119"/>
      <c r="J567" s="119"/>
      <c r="K567" s="157"/>
    </row>
    <row r="568" spans="1:11" x14ac:dyDescent="0.3">
      <c r="A568" s="127"/>
      <c r="B568" s="109"/>
      <c r="C568" s="161"/>
      <c r="D568" s="161"/>
      <c r="E568" s="161"/>
      <c r="F568" s="118"/>
      <c r="G568" s="119"/>
      <c r="H568" s="165"/>
      <c r="I568" s="119"/>
      <c r="J568" s="119"/>
      <c r="K568" s="157"/>
    </row>
    <row r="569" spans="1:11" x14ac:dyDescent="0.3">
      <c r="A569" s="127"/>
      <c r="B569" s="109"/>
      <c r="C569" s="161"/>
      <c r="D569" s="161"/>
      <c r="E569" s="161"/>
      <c r="F569" s="118"/>
      <c r="G569" s="119"/>
      <c r="H569" s="165"/>
      <c r="I569" s="119"/>
      <c r="J569" s="119"/>
      <c r="K569" s="157"/>
    </row>
    <row r="570" spans="1:11" x14ac:dyDescent="0.3">
      <c r="A570" s="127"/>
      <c r="B570" s="109"/>
      <c r="C570" s="161"/>
      <c r="D570" s="161"/>
      <c r="E570" s="161"/>
      <c r="F570" s="118"/>
      <c r="G570" s="119"/>
      <c r="H570" s="165"/>
      <c r="I570" s="119"/>
      <c r="J570" s="119"/>
      <c r="K570" s="157"/>
    </row>
    <row r="571" spans="1:11" x14ac:dyDescent="0.3">
      <c r="A571" s="127"/>
      <c r="B571" s="109"/>
      <c r="C571" s="161"/>
      <c r="D571" s="161"/>
      <c r="E571" s="161"/>
      <c r="F571" s="118"/>
      <c r="G571" s="119"/>
      <c r="H571" s="165"/>
      <c r="I571" s="119"/>
      <c r="J571" s="119"/>
      <c r="K571" s="157"/>
    </row>
    <row r="572" spans="1:11" x14ac:dyDescent="0.3">
      <c r="A572" s="127"/>
      <c r="B572" s="109"/>
      <c r="C572" s="161"/>
      <c r="D572" s="161"/>
      <c r="E572" s="161"/>
      <c r="F572" s="118"/>
      <c r="G572" s="119"/>
      <c r="H572" s="165"/>
      <c r="I572" s="119"/>
      <c r="J572" s="119"/>
      <c r="K572" s="157"/>
    </row>
    <row r="573" spans="1:11" x14ac:dyDescent="0.3">
      <c r="A573" s="127"/>
      <c r="B573" s="109"/>
      <c r="C573" s="161"/>
      <c r="D573" s="161"/>
      <c r="E573" s="161"/>
      <c r="F573" s="118"/>
      <c r="G573" s="119"/>
      <c r="H573" s="165"/>
      <c r="I573" s="119"/>
      <c r="J573" s="119"/>
      <c r="K573" s="157"/>
    </row>
    <row r="574" spans="1:11" x14ac:dyDescent="0.3">
      <c r="A574" s="127"/>
      <c r="B574" s="109"/>
      <c r="C574" s="161"/>
      <c r="D574" s="161"/>
      <c r="E574" s="161"/>
      <c r="F574" s="118"/>
      <c r="G574" s="119"/>
      <c r="H574" s="165"/>
      <c r="I574" s="119"/>
      <c r="J574" s="119"/>
      <c r="K574" s="157"/>
    </row>
    <row r="575" spans="1:11" x14ac:dyDescent="0.3">
      <c r="A575" s="127"/>
      <c r="B575" s="109"/>
      <c r="C575" s="161"/>
      <c r="D575" s="161"/>
      <c r="E575" s="161"/>
      <c r="F575" s="118"/>
      <c r="G575" s="119"/>
      <c r="H575" s="165"/>
      <c r="I575" s="119"/>
      <c r="J575" s="119"/>
      <c r="K575" s="157"/>
    </row>
    <row r="576" spans="1:11" x14ac:dyDescent="0.3">
      <c r="A576" s="127"/>
      <c r="B576" s="109"/>
      <c r="C576" s="161"/>
      <c r="D576" s="161"/>
      <c r="E576" s="161"/>
      <c r="F576" s="118"/>
      <c r="G576" s="119"/>
      <c r="H576" s="165"/>
      <c r="I576" s="119"/>
      <c r="J576" s="119"/>
      <c r="K576" s="157"/>
    </row>
    <row r="577" spans="1:11" x14ac:dyDescent="0.3">
      <c r="A577" s="127"/>
      <c r="B577" s="109"/>
      <c r="C577" s="161"/>
      <c r="D577" s="161"/>
      <c r="E577" s="161"/>
      <c r="F577" s="118"/>
      <c r="G577" s="119"/>
      <c r="H577" s="165"/>
      <c r="I577" s="119"/>
      <c r="J577" s="119"/>
      <c r="K577" s="157"/>
    </row>
    <row r="578" spans="1:11" x14ac:dyDescent="0.3">
      <c r="A578" s="127"/>
      <c r="B578" s="109"/>
      <c r="C578" s="161"/>
      <c r="D578" s="161"/>
      <c r="E578" s="161"/>
      <c r="F578" s="118"/>
      <c r="G578" s="119"/>
      <c r="H578" s="165"/>
      <c r="I578" s="119"/>
      <c r="J578" s="119"/>
      <c r="K578" s="157"/>
    </row>
    <row r="579" spans="1:11" x14ac:dyDescent="0.3">
      <c r="A579" s="127"/>
      <c r="B579" s="109"/>
      <c r="C579" s="161"/>
      <c r="D579" s="161"/>
      <c r="E579" s="161"/>
      <c r="F579" s="118"/>
      <c r="G579" s="119"/>
      <c r="H579" s="165"/>
      <c r="I579" s="119"/>
      <c r="J579" s="119"/>
      <c r="K579" s="157"/>
    </row>
    <row r="580" spans="1:11" x14ac:dyDescent="0.3">
      <c r="A580" s="127"/>
      <c r="B580" s="109"/>
      <c r="C580" s="161"/>
      <c r="D580" s="161"/>
      <c r="E580" s="161"/>
      <c r="F580" s="118"/>
      <c r="G580" s="119"/>
      <c r="H580" s="165"/>
      <c r="I580" s="119"/>
      <c r="J580" s="119"/>
      <c r="K580" s="157"/>
    </row>
    <row r="581" spans="1:11" x14ac:dyDescent="0.3">
      <c r="A581" s="127"/>
      <c r="B581" s="109"/>
      <c r="C581" s="161"/>
      <c r="D581" s="161"/>
      <c r="E581" s="161"/>
      <c r="F581" s="118"/>
      <c r="G581" s="119"/>
      <c r="H581" s="165"/>
      <c r="I581" s="119"/>
      <c r="J581" s="119"/>
      <c r="K581" s="157"/>
    </row>
    <row r="582" spans="1:11" x14ac:dyDescent="0.3">
      <c r="A582" s="127"/>
      <c r="B582" s="109"/>
      <c r="C582" s="161"/>
      <c r="D582" s="161"/>
      <c r="E582" s="161"/>
      <c r="F582" s="118"/>
      <c r="G582" s="119"/>
      <c r="H582" s="165"/>
      <c r="I582" s="119"/>
      <c r="J582" s="119"/>
      <c r="K582" s="157"/>
    </row>
    <row r="583" spans="1:11" x14ac:dyDescent="0.3">
      <c r="A583" s="127"/>
      <c r="B583" s="109"/>
      <c r="C583" s="161"/>
      <c r="D583" s="161"/>
      <c r="E583" s="161"/>
      <c r="F583" s="118"/>
      <c r="G583" s="119"/>
      <c r="H583" s="165"/>
      <c r="I583" s="119"/>
      <c r="J583" s="119"/>
      <c r="K583" s="157"/>
    </row>
    <row r="584" spans="1:11" x14ac:dyDescent="0.3">
      <c r="A584" s="127"/>
      <c r="B584" s="109"/>
      <c r="C584" s="161"/>
      <c r="D584" s="161"/>
      <c r="E584" s="161"/>
      <c r="F584" s="118"/>
      <c r="G584" s="119"/>
      <c r="H584" s="165"/>
      <c r="I584" s="119"/>
      <c r="J584" s="119"/>
      <c r="K584" s="157"/>
    </row>
    <row r="585" spans="1:11" x14ac:dyDescent="0.3">
      <c r="A585" s="127"/>
      <c r="B585" s="109"/>
      <c r="C585" s="161"/>
      <c r="D585" s="161"/>
      <c r="E585" s="161"/>
      <c r="F585" s="118"/>
      <c r="G585" s="119"/>
      <c r="H585" s="165"/>
      <c r="I585" s="119"/>
      <c r="J585" s="119"/>
      <c r="K585" s="157"/>
    </row>
    <row r="586" spans="1:11" x14ac:dyDescent="0.3">
      <c r="A586" s="127"/>
      <c r="B586" s="109"/>
      <c r="C586" s="161"/>
      <c r="D586" s="161"/>
      <c r="E586" s="161"/>
      <c r="F586" s="118"/>
      <c r="G586" s="119"/>
      <c r="H586" s="165"/>
      <c r="I586" s="119"/>
      <c r="J586" s="119"/>
      <c r="K586" s="157"/>
    </row>
    <row r="587" spans="1:11" x14ac:dyDescent="0.3">
      <c r="A587" s="127"/>
      <c r="B587" s="109"/>
      <c r="C587" s="161"/>
      <c r="D587" s="161"/>
      <c r="E587" s="161"/>
      <c r="F587" s="118"/>
      <c r="G587" s="119"/>
      <c r="H587" s="165"/>
      <c r="I587" s="119"/>
      <c r="J587" s="119"/>
      <c r="K587" s="157"/>
    </row>
    <row r="588" spans="1:11" x14ac:dyDescent="0.3">
      <c r="A588" s="127"/>
      <c r="B588" s="109"/>
      <c r="C588" s="161"/>
      <c r="D588" s="161"/>
      <c r="E588" s="161"/>
      <c r="F588" s="118"/>
      <c r="G588" s="119"/>
      <c r="H588" s="165"/>
      <c r="I588" s="119"/>
      <c r="J588" s="119"/>
      <c r="K588" s="157"/>
    </row>
    <row r="589" spans="1:11" x14ac:dyDescent="0.3">
      <c r="A589" s="127"/>
      <c r="B589" s="109"/>
      <c r="C589" s="161"/>
      <c r="D589" s="161"/>
      <c r="E589" s="161"/>
      <c r="F589" s="118"/>
      <c r="G589" s="119"/>
      <c r="H589" s="165"/>
      <c r="I589" s="119"/>
      <c r="J589" s="119"/>
      <c r="K589" s="157"/>
    </row>
    <row r="590" spans="1:11" x14ac:dyDescent="0.3">
      <c r="A590" s="127"/>
      <c r="B590" s="109"/>
      <c r="C590" s="161"/>
      <c r="D590" s="161"/>
      <c r="E590" s="161"/>
      <c r="F590" s="118"/>
      <c r="G590" s="119"/>
      <c r="H590" s="165"/>
      <c r="I590" s="119"/>
      <c r="J590" s="119"/>
      <c r="K590" s="157"/>
    </row>
    <row r="591" spans="1:11" x14ac:dyDescent="0.3">
      <c r="A591" s="127"/>
      <c r="B591" s="109"/>
      <c r="C591" s="161"/>
      <c r="D591" s="161"/>
      <c r="E591" s="161"/>
      <c r="F591" s="118"/>
      <c r="G591" s="119"/>
      <c r="H591" s="165"/>
      <c r="I591" s="119"/>
      <c r="J591" s="119"/>
      <c r="K591" s="157"/>
    </row>
    <row r="592" spans="1:11" x14ac:dyDescent="0.3">
      <c r="A592" s="127"/>
      <c r="B592" s="109"/>
      <c r="C592" s="161"/>
      <c r="D592" s="161"/>
      <c r="E592" s="161"/>
      <c r="F592" s="118"/>
      <c r="G592" s="119"/>
      <c r="H592" s="165"/>
      <c r="I592" s="119"/>
      <c r="J592" s="119"/>
      <c r="K592" s="157"/>
    </row>
    <row r="593" spans="1:11" x14ac:dyDescent="0.3">
      <c r="A593" s="127"/>
      <c r="B593" s="109"/>
      <c r="C593" s="161"/>
      <c r="D593" s="161"/>
      <c r="E593" s="161"/>
      <c r="F593" s="118"/>
      <c r="G593" s="119"/>
      <c r="H593" s="165"/>
      <c r="I593" s="119"/>
      <c r="J593" s="119"/>
      <c r="K593" s="157"/>
    </row>
    <row r="594" spans="1:11" x14ac:dyDescent="0.3">
      <c r="A594" s="127"/>
      <c r="B594" s="109"/>
      <c r="C594" s="161"/>
      <c r="D594" s="161"/>
      <c r="E594" s="161"/>
      <c r="F594" s="118"/>
      <c r="G594" s="119"/>
      <c r="H594" s="165"/>
      <c r="I594" s="119"/>
      <c r="J594" s="119"/>
      <c r="K594" s="157"/>
    </row>
    <row r="595" spans="1:11" x14ac:dyDescent="0.3">
      <c r="A595" s="127"/>
      <c r="B595" s="109"/>
      <c r="C595" s="161"/>
      <c r="D595" s="161"/>
      <c r="E595" s="161"/>
      <c r="F595" s="118"/>
      <c r="G595" s="119"/>
      <c r="H595" s="165"/>
      <c r="I595" s="119"/>
      <c r="J595" s="119"/>
      <c r="K595" s="157"/>
    </row>
    <row r="596" spans="1:11" x14ac:dyDescent="0.3">
      <c r="A596" s="127"/>
      <c r="B596" s="109"/>
      <c r="C596" s="161"/>
      <c r="D596" s="161"/>
      <c r="E596" s="161"/>
      <c r="F596" s="118"/>
      <c r="G596" s="119"/>
      <c r="H596" s="165"/>
      <c r="I596" s="119"/>
      <c r="J596" s="119"/>
      <c r="K596" s="157"/>
    </row>
    <row r="597" spans="1:11" x14ac:dyDescent="0.3">
      <c r="A597" s="127"/>
      <c r="B597" s="109"/>
      <c r="C597" s="161"/>
      <c r="D597" s="161"/>
      <c r="E597" s="161"/>
      <c r="F597" s="118"/>
      <c r="G597" s="119"/>
      <c r="H597" s="165"/>
      <c r="I597" s="119"/>
      <c r="J597" s="119"/>
      <c r="K597" s="157"/>
    </row>
    <row r="598" spans="1:11" x14ac:dyDescent="0.3">
      <c r="A598" s="127"/>
      <c r="B598" s="109"/>
      <c r="C598" s="161"/>
      <c r="D598" s="161"/>
      <c r="E598" s="161"/>
      <c r="F598" s="118"/>
      <c r="G598" s="119"/>
      <c r="H598" s="165"/>
      <c r="I598" s="119"/>
      <c r="J598" s="119"/>
      <c r="K598" s="157"/>
    </row>
    <row r="599" spans="1:11" x14ac:dyDescent="0.3">
      <c r="A599" s="127"/>
      <c r="B599" s="109"/>
      <c r="C599" s="161"/>
      <c r="D599" s="161"/>
      <c r="E599" s="161"/>
      <c r="F599" s="118"/>
      <c r="G599" s="119"/>
      <c r="H599" s="165"/>
      <c r="I599" s="119"/>
      <c r="J599" s="119"/>
      <c r="K599" s="157"/>
    </row>
    <row r="600" spans="1:11" x14ac:dyDescent="0.3">
      <c r="A600" s="127"/>
      <c r="B600" s="109"/>
      <c r="C600" s="161"/>
      <c r="D600" s="161"/>
      <c r="E600" s="161"/>
      <c r="F600" s="118"/>
      <c r="G600" s="119"/>
      <c r="H600" s="165"/>
      <c r="I600" s="119"/>
      <c r="J600" s="119"/>
      <c r="K600" s="157"/>
    </row>
    <row r="601" spans="1:11" x14ac:dyDescent="0.3">
      <c r="A601" s="127"/>
      <c r="B601" s="109"/>
      <c r="C601" s="161"/>
      <c r="D601" s="161"/>
      <c r="E601" s="161"/>
      <c r="F601" s="118"/>
      <c r="G601" s="119"/>
      <c r="H601" s="165"/>
      <c r="I601" s="119"/>
      <c r="J601" s="119"/>
      <c r="K601" s="157"/>
    </row>
    <row r="602" spans="1:11" x14ac:dyDescent="0.3">
      <c r="A602" s="127"/>
      <c r="B602" s="109"/>
      <c r="C602" s="161"/>
      <c r="D602" s="161"/>
      <c r="E602" s="161"/>
      <c r="F602" s="118"/>
      <c r="G602" s="119"/>
      <c r="H602" s="165"/>
      <c r="I602" s="119"/>
      <c r="J602" s="119"/>
      <c r="K602" s="157"/>
    </row>
    <row r="603" spans="1:11" x14ac:dyDescent="0.3">
      <c r="A603" s="127"/>
      <c r="B603" s="109"/>
      <c r="C603" s="161"/>
      <c r="D603" s="161"/>
      <c r="E603" s="161"/>
      <c r="F603" s="118"/>
      <c r="G603" s="119"/>
      <c r="H603" s="165"/>
      <c r="I603" s="119"/>
      <c r="J603" s="119"/>
      <c r="K603" s="157"/>
    </row>
    <row r="604" spans="1:11" x14ac:dyDescent="0.3">
      <c r="A604" s="127"/>
      <c r="B604" s="109"/>
      <c r="C604" s="161"/>
      <c r="D604" s="161"/>
      <c r="E604" s="161"/>
      <c r="F604" s="118"/>
      <c r="G604" s="119"/>
      <c r="H604" s="165"/>
      <c r="I604" s="119"/>
      <c r="J604" s="119"/>
      <c r="K604" s="157"/>
    </row>
    <row r="605" spans="1:11" x14ac:dyDescent="0.3">
      <c r="A605" s="127"/>
      <c r="B605" s="109"/>
      <c r="C605" s="161"/>
      <c r="D605" s="161"/>
      <c r="E605" s="161"/>
      <c r="F605" s="118"/>
      <c r="G605" s="119"/>
      <c r="H605" s="165"/>
      <c r="I605" s="119"/>
      <c r="J605" s="119"/>
      <c r="K605" s="157"/>
    </row>
    <row r="606" spans="1:11" x14ac:dyDescent="0.3">
      <c r="A606" s="127"/>
      <c r="B606" s="109"/>
      <c r="C606" s="161"/>
      <c r="D606" s="161"/>
      <c r="E606" s="161"/>
      <c r="F606" s="118"/>
      <c r="G606" s="119"/>
      <c r="H606" s="165"/>
      <c r="I606" s="119"/>
      <c r="J606" s="119"/>
      <c r="K606" s="157"/>
    </row>
    <row r="607" spans="1:11" x14ac:dyDescent="0.3">
      <c r="A607" s="127"/>
      <c r="B607" s="109"/>
      <c r="C607" s="161"/>
      <c r="D607" s="161"/>
      <c r="E607" s="161"/>
      <c r="F607" s="118"/>
      <c r="G607" s="119"/>
      <c r="H607" s="165"/>
      <c r="I607" s="119"/>
      <c r="J607" s="119"/>
      <c r="K607" s="157"/>
    </row>
    <row r="608" spans="1:11" x14ac:dyDescent="0.3">
      <c r="A608" s="127"/>
      <c r="B608" s="109"/>
      <c r="C608" s="161"/>
      <c r="D608" s="161"/>
      <c r="E608" s="161"/>
      <c r="F608" s="118"/>
      <c r="G608" s="119"/>
      <c r="H608" s="165"/>
      <c r="I608" s="119"/>
      <c r="J608" s="119"/>
      <c r="K608" s="157"/>
    </row>
    <row r="609" spans="1:11" x14ac:dyDescent="0.3">
      <c r="A609" s="127"/>
      <c r="B609" s="109"/>
      <c r="C609" s="161"/>
      <c r="D609" s="161"/>
      <c r="E609" s="161"/>
      <c r="F609" s="118"/>
      <c r="G609" s="119"/>
      <c r="H609" s="165"/>
      <c r="I609" s="119"/>
      <c r="J609" s="119"/>
      <c r="K609" s="157"/>
    </row>
    <row r="610" spans="1:11" x14ac:dyDescent="0.3">
      <c r="A610" s="127"/>
      <c r="B610" s="109"/>
      <c r="C610" s="161"/>
      <c r="D610" s="161"/>
      <c r="E610" s="161"/>
      <c r="F610" s="118"/>
      <c r="G610" s="119"/>
      <c r="H610" s="165"/>
      <c r="I610" s="119"/>
      <c r="J610" s="119"/>
      <c r="K610" s="157"/>
    </row>
    <row r="611" spans="1:11" x14ac:dyDescent="0.3">
      <c r="A611" s="127"/>
      <c r="B611" s="109"/>
      <c r="C611" s="161"/>
      <c r="D611" s="161"/>
      <c r="E611" s="161"/>
      <c r="F611" s="118"/>
      <c r="G611" s="119"/>
      <c r="H611" s="165"/>
      <c r="I611" s="119"/>
      <c r="J611" s="119"/>
      <c r="K611" s="157"/>
    </row>
    <row r="612" spans="1:11" x14ac:dyDescent="0.3">
      <c r="A612" s="127"/>
      <c r="B612" s="109"/>
      <c r="C612" s="161"/>
      <c r="D612" s="161"/>
      <c r="E612" s="161"/>
      <c r="F612" s="118"/>
      <c r="G612" s="119"/>
      <c r="H612" s="165"/>
      <c r="I612" s="119"/>
      <c r="J612" s="119"/>
      <c r="K612" s="157"/>
    </row>
    <row r="613" spans="1:11" x14ac:dyDescent="0.3">
      <c r="A613" s="127"/>
      <c r="B613" s="109"/>
      <c r="C613" s="161"/>
      <c r="D613" s="161"/>
      <c r="E613" s="161"/>
      <c r="F613" s="118"/>
      <c r="G613" s="119"/>
      <c r="H613" s="165"/>
      <c r="I613" s="119"/>
      <c r="J613" s="119"/>
      <c r="K613" s="157"/>
    </row>
    <row r="614" spans="1:11" x14ac:dyDescent="0.3">
      <c r="A614" s="127"/>
      <c r="B614" s="109"/>
      <c r="C614" s="161"/>
      <c r="D614" s="161"/>
      <c r="E614" s="161"/>
      <c r="F614" s="118"/>
      <c r="G614" s="119"/>
      <c r="H614" s="165"/>
      <c r="I614" s="119"/>
      <c r="J614" s="119"/>
      <c r="K614" s="157"/>
    </row>
    <row r="615" spans="1:11" x14ac:dyDescent="0.3">
      <c r="A615" s="127"/>
      <c r="B615" s="109"/>
      <c r="C615" s="161"/>
      <c r="D615" s="161"/>
      <c r="E615" s="161"/>
      <c r="F615" s="118"/>
      <c r="G615" s="119"/>
      <c r="H615" s="165"/>
      <c r="I615" s="119"/>
      <c r="J615" s="119"/>
      <c r="K615" s="157"/>
    </row>
    <row r="616" spans="1:11" x14ac:dyDescent="0.3">
      <c r="A616" s="127"/>
      <c r="B616" s="109"/>
      <c r="C616" s="161"/>
      <c r="D616" s="161"/>
      <c r="E616" s="161"/>
      <c r="F616" s="118"/>
      <c r="G616" s="119"/>
      <c r="H616" s="165"/>
      <c r="I616" s="119"/>
      <c r="J616" s="119"/>
      <c r="K616" s="157"/>
    </row>
    <row r="617" spans="1:11" x14ac:dyDescent="0.3">
      <c r="A617" s="127"/>
      <c r="B617" s="109"/>
      <c r="C617" s="161"/>
      <c r="D617" s="161"/>
      <c r="E617" s="161"/>
      <c r="F617" s="118"/>
      <c r="G617" s="119"/>
      <c r="H617" s="165"/>
      <c r="I617" s="119"/>
      <c r="J617" s="119"/>
      <c r="K617" s="157"/>
    </row>
    <row r="618" spans="1:11" x14ac:dyDescent="0.3">
      <c r="A618" s="127"/>
      <c r="B618" s="109"/>
      <c r="C618" s="161"/>
      <c r="D618" s="161"/>
      <c r="E618" s="161"/>
      <c r="F618" s="118"/>
      <c r="G618" s="119"/>
      <c r="H618" s="165"/>
      <c r="I618" s="119"/>
      <c r="J618" s="119"/>
      <c r="K618" s="157"/>
    </row>
    <row r="619" spans="1:11" x14ac:dyDescent="0.3">
      <c r="A619" s="127"/>
      <c r="B619" s="109"/>
      <c r="C619" s="161"/>
      <c r="D619" s="161"/>
      <c r="E619" s="161"/>
      <c r="F619" s="118"/>
      <c r="G619" s="119"/>
      <c r="H619" s="165"/>
      <c r="I619" s="119"/>
      <c r="J619" s="119"/>
      <c r="K619" s="157"/>
    </row>
    <row r="620" spans="1:11" x14ac:dyDescent="0.3">
      <c r="A620" s="127"/>
      <c r="B620" s="109"/>
      <c r="C620" s="161"/>
      <c r="D620" s="161"/>
      <c r="E620" s="161"/>
      <c r="F620" s="118"/>
      <c r="G620" s="119"/>
      <c r="H620" s="165"/>
      <c r="I620" s="119"/>
      <c r="J620" s="119"/>
      <c r="K620" s="157"/>
    </row>
    <row r="621" spans="1:11" x14ac:dyDescent="0.3">
      <c r="A621" s="127"/>
      <c r="B621" s="109"/>
      <c r="C621" s="161"/>
      <c r="D621" s="161"/>
      <c r="E621" s="161"/>
      <c r="F621" s="118"/>
      <c r="G621" s="119"/>
      <c r="H621" s="165"/>
      <c r="I621" s="119"/>
      <c r="J621" s="119"/>
      <c r="K621" s="157"/>
    </row>
    <row r="622" spans="1:11" x14ac:dyDescent="0.3">
      <c r="A622" s="127"/>
      <c r="B622" s="109"/>
      <c r="C622" s="161"/>
      <c r="D622" s="161"/>
      <c r="E622" s="161"/>
      <c r="F622" s="118"/>
      <c r="G622" s="119"/>
      <c r="H622" s="165"/>
      <c r="I622" s="119"/>
      <c r="J622" s="119"/>
      <c r="K622" s="157"/>
    </row>
    <row r="623" spans="1:11" x14ac:dyDescent="0.3">
      <c r="A623" s="127"/>
      <c r="B623" s="109"/>
      <c r="C623" s="161"/>
      <c r="D623" s="161"/>
      <c r="E623" s="161"/>
      <c r="F623" s="118"/>
      <c r="G623" s="119"/>
      <c r="H623" s="165"/>
      <c r="I623" s="119"/>
      <c r="J623" s="119"/>
      <c r="K623" s="157"/>
    </row>
    <row r="624" spans="1:11" x14ac:dyDescent="0.3">
      <c r="A624" s="127"/>
      <c r="B624" s="109"/>
      <c r="C624" s="161"/>
      <c r="D624" s="161"/>
      <c r="E624" s="161"/>
      <c r="F624" s="118"/>
      <c r="G624" s="119"/>
      <c r="H624" s="165"/>
      <c r="I624" s="119"/>
      <c r="J624" s="119"/>
      <c r="K624" s="157"/>
    </row>
    <row r="625" spans="1:11" x14ac:dyDescent="0.3">
      <c r="A625" s="127"/>
      <c r="B625" s="109"/>
      <c r="C625" s="161"/>
      <c r="D625" s="161"/>
      <c r="E625" s="161"/>
      <c r="F625" s="118"/>
      <c r="G625" s="119"/>
      <c r="H625" s="165"/>
      <c r="I625" s="119"/>
      <c r="J625" s="119"/>
      <c r="K625" s="157"/>
    </row>
    <row r="626" spans="1:11" x14ac:dyDescent="0.3">
      <c r="A626" s="127"/>
      <c r="B626" s="109"/>
      <c r="C626" s="161"/>
      <c r="D626" s="161"/>
      <c r="E626" s="161"/>
      <c r="F626" s="118"/>
      <c r="G626" s="119"/>
      <c r="H626" s="165"/>
      <c r="I626" s="119"/>
      <c r="J626" s="119"/>
      <c r="K626" s="157"/>
    </row>
    <row r="627" spans="1:11" x14ac:dyDescent="0.3">
      <c r="A627" s="127"/>
      <c r="B627" s="109"/>
      <c r="C627" s="161"/>
      <c r="D627" s="161"/>
      <c r="E627" s="161"/>
      <c r="F627" s="118"/>
      <c r="G627" s="119"/>
      <c r="H627" s="165"/>
      <c r="I627" s="119"/>
      <c r="J627" s="119"/>
      <c r="K627" s="157"/>
    </row>
    <row r="628" spans="1:11" x14ac:dyDescent="0.3">
      <c r="A628" s="127"/>
      <c r="B628" s="109"/>
      <c r="C628" s="161"/>
      <c r="D628" s="161"/>
      <c r="E628" s="161"/>
      <c r="F628" s="118"/>
      <c r="G628" s="119"/>
      <c r="H628" s="165"/>
      <c r="I628" s="119"/>
      <c r="J628" s="119"/>
      <c r="K628" s="157"/>
    </row>
    <row r="629" spans="1:11" x14ac:dyDescent="0.3">
      <c r="A629" s="127"/>
      <c r="B629" s="109"/>
      <c r="C629" s="161"/>
      <c r="D629" s="161"/>
      <c r="E629" s="161"/>
      <c r="F629" s="118"/>
      <c r="G629" s="119"/>
      <c r="H629" s="165"/>
      <c r="I629" s="119"/>
      <c r="J629" s="119"/>
      <c r="K629" s="157"/>
    </row>
    <row r="630" spans="1:11" x14ac:dyDescent="0.3">
      <c r="A630" s="127"/>
      <c r="B630" s="109"/>
      <c r="C630" s="161"/>
      <c r="D630" s="161"/>
      <c r="E630" s="161"/>
      <c r="F630" s="118"/>
      <c r="G630" s="119"/>
      <c r="H630" s="165"/>
      <c r="I630" s="119"/>
      <c r="J630" s="119"/>
      <c r="K630" s="157"/>
    </row>
    <row r="631" spans="1:11" x14ac:dyDescent="0.3">
      <c r="A631" s="127"/>
      <c r="B631" s="109"/>
      <c r="C631" s="161"/>
      <c r="D631" s="161"/>
      <c r="E631" s="161"/>
      <c r="F631" s="118"/>
      <c r="G631" s="119"/>
      <c r="H631" s="165"/>
      <c r="I631" s="119"/>
      <c r="J631" s="119"/>
      <c r="K631" s="157"/>
    </row>
    <row r="632" spans="1:11" x14ac:dyDescent="0.3">
      <c r="A632" s="127"/>
      <c r="B632" s="109"/>
      <c r="C632" s="161"/>
      <c r="D632" s="161"/>
      <c r="E632" s="161"/>
      <c r="F632" s="118"/>
      <c r="G632" s="119"/>
      <c r="H632" s="165"/>
      <c r="I632" s="119"/>
      <c r="J632" s="119"/>
      <c r="K632" s="157"/>
    </row>
    <row r="633" spans="1:11" x14ac:dyDescent="0.3">
      <c r="A633" s="127"/>
      <c r="B633" s="109"/>
      <c r="C633" s="161"/>
      <c r="D633" s="161"/>
      <c r="E633" s="161"/>
      <c r="F633" s="118"/>
      <c r="G633" s="119"/>
      <c r="H633" s="165"/>
      <c r="I633" s="119"/>
      <c r="J633" s="119"/>
      <c r="K633" s="157"/>
    </row>
    <row r="634" spans="1:11" x14ac:dyDescent="0.3">
      <c r="A634" s="127"/>
      <c r="B634" s="109"/>
      <c r="C634" s="161"/>
      <c r="D634" s="161"/>
      <c r="E634" s="161"/>
      <c r="F634" s="118"/>
      <c r="G634" s="119"/>
      <c r="H634" s="165"/>
      <c r="I634" s="119"/>
      <c r="J634" s="119"/>
      <c r="K634" s="157"/>
    </row>
    <row r="635" spans="1:11" x14ac:dyDescent="0.3">
      <c r="A635" s="127"/>
      <c r="B635" s="109"/>
      <c r="C635" s="161"/>
      <c r="D635" s="161"/>
      <c r="E635" s="161"/>
      <c r="F635" s="118"/>
      <c r="G635" s="119"/>
      <c r="H635" s="165"/>
      <c r="I635" s="119"/>
      <c r="J635" s="119"/>
      <c r="K635" s="157"/>
    </row>
    <row r="636" spans="1:11" x14ac:dyDescent="0.3">
      <c r="A636" s="127"/>
      <c r="B636" s="109"/>
      <c r="C636" s="161"/>
      <c r="D636" s="161"/>
      <c r="E636" s="161"/>
      <c r="F636" s="118"/>
      <c r="G636" s="119"/>
      <c r="H636" s="165"/>
      <c r="I636" s="119"/>
      <c r="J636" s="119"/>
      <c r="K636" s="157"/>
    </row>
    <row r="637" spans="1:11" x14ac:dyDescent="0.3">
      <c r="A637" s="127"/>
      <c r="B637" s="109"/>
      <c r="C637" s="161"/>
      <c r="D637" s="161"/>
      <c r="E637" s="161"/>
      <c r="F637" s="118"/>
      <c r="G637" s="119"/>
      <c r="H637" s="165"/>
      <c r="I637" s="119"/>
      <c r="J637" s="119"/>
      <c r="K637" s="157"/>
    </row>
    <row r="638" spans="1:11" x14ac:dyDescent="0.3">
      <c r="A638" s="127"/>
      <c r="B638" s="109"/>
      <c r="C638" s="161"/>
      <c r="D638" s="161"/>
      <c r="E638" s="161"/>
      <c r="F638" s="118"/>
      <c r="G638" s="119"/>
      <c r="H638" s="165"/>
      <c r="I638" s="119"/>
      <c r="J638" s="119"/>
      <c r="K638" s="157"/>
    </row>
    <row r="639" spans="1:11" x14ac:dyDescent="0.3">
      <c r="A639" s="127"/>
      <c r="B639" s="109"/>
      <c r="C639" s="161"/>
      <c r="D639" s="161"/>
      <c r="E639" s="161"/>
      <c r="F639" s="118"/>
      <c r="G639" s="119"/>
      <c r="H639" s="165"/>
      <c r="I639" s="119"/>
      <c r="J639" s="119"/>
      <c r="K639" s="157"/>
    </row>
    <row r="640" spans="1:11" x14ac:dyDescent="0.3">
      <c r="A640" s="127"/>
      <c r="B640" s="109"/>
      <c r="C640" s="161"/>
      <c r="D640" s="161"/>
      <c r="E640" s="161"/>
      <c r="F640" s="118"/>
      <c r="G640" s="119"/>
      <c r="H640" s="165"/>
      <c r="I640" s="119"/>
      <c r="J640" s="119"/>
      <c r="K640" s="157"/>
    </row>
    <row r="641" spans="1:11" x14ac:dyDescent="0.3">
      <c r="A641" s="127"/>
      <c r="B641" s="109"/>
      <c r="C641" s="161"/>
      <c r="D641" s="161"/>
      <c r="E641" s="161"/>
      <c r="F641" s="118"/>
      <c r="G641" s="119"/>
      <c r="H641" s="165"/>
      <c r="I641" s="119"/>
      <c r="J641" s="119"/>
      <c r="K641" s="157"/>
    </row>
    <row r="642" spans="1:11" x14ac:dyDescent="0.3">
      <c r="A642" s="127"/>
      <c r="B642" s="109"/>
      <c r="C642" s="161"/>
      <c r="D642" s="161"/>
      <c r="E642" s="161"/>
      <c r="F642" s="118"/>
      <c r="G642" s="119"/>
      <c r="H642" s="165"/>
      <c r="I642" s="119"/>
      <c r="J642" s="119"/>
      <c r="K642" s="157"/>
    </row>
    <row r="643" spans="1:11" x14ac:dyDescent="0.3">
      <c r="A643" s="127"/>
      <c r="B643" s="109"/>
      <c r="C643" s="161"/>
      <c r="D643" s="161"/>
      <c r="E643" s="161"/>
      <c r="F643" s="118"/>
      <c r="G643" s="119"/>
      <c r="H643" s="165"/>
      <c r="I643" s="119"/>
      <c r="J643" s="119"/>
      <c r="K643" s="157"/>
    </row>
    <row r="644" spans="1:11" x14ac:dyDescent="0.3">
      <c r="A644" s="127"/>
      <c r="B644" s="109"/>
      <c r="C644" s="161"/>
      <c r="D644" s="161"/>
      <c r="E644" s="161"/>
      <c r="F644" s="118"/>
      <c r="G644" s="119"/>
      <c r="H644" s="165"/>
      <c r="I644" s="119"/>
      <c r="J644" s="119"/>
      <c r="K644" s="157"/>
    </row>
    <row r="645" spans="1:11" x14ac:dyDescent="0.3">
      <c r="A645" s="127"/>
      <c r="B645" s="109"/>
      <c r="C645" s="161"/>
      <c r="D645" s="161"/>
      <c r="E645" s="161"/>
      <c r="F645" s="118"/>
      <c r="G645" s="119"/>
      <c r="H645" s="165"/>
      <c r="I645" s="119"/>
      <c r="J645" s="119"/>
      <c r="K645" s="157"/>
    </row>
    <row r="646" spans="1:11" x14ac:dyDescent="0.3">
      <c r="A646" s="127"/>
      <c r="B646" s="109"/>
      <c r="C646" s="161"/>
      <c r="D646" s="161"/>
      <c r="E646" s="161"/>
      <c r="F646" s="118"/>
      <c r="G646" s="119"/>
      <c r="H646" s="165"/>
      <c r="I646" s="119"/>
      <c r="J646" s="119"/>
      <c r="K646" s="157"/>
    </row>
    <row r="647" spans="1:11" x14ac:dyDescent="0.3">
      <c r="A647" s="127"/>
      <c r="B647" s="109"/>
      <c r="C647" s="161"/>
      <c r="D647" s="161"/>
      <c r="E647" s="161"/>
      <c r="F647" s="118"/>
      <c r="G647" s="119"/>
      <c r="H647" s="165"/>
      <c r="I647" s="119"/>
      <c r="J647" s="119"/>
      <c r="K647" s="157"/>
    </row>
    <row r="648" spans="1:11" x14ac:dyDescent="0.3">
      <c r="A648" s="127"/>
      <c r="B648" s="109"/>
      <c r="C648" s="161"/>
      <c r="D648" s="161"/>
      <c r="E648" s="161"/>
      <c r="F648" s="118"/>
      <c r="G648" s="119"/>
      <c r="H648" s="165"/>
      <c r="I648" s="119"/>
      <c r="J648" s="119"/>
      <c r="K648" s="157"/>
    </row>
    <row r="649" spans="1:11" x14ac:dyDescent="0.3">
      <c r="A649" s="127"/>
      <c r="B649" s="109"/>
      <c r="C649" s="161"/>
      <c r="D649" s="161"/>
      <c r="E649" s="161"/>
      <c r="F649" s="118"/>
      <c r="G649" s="119"/>
      <c r="H649" s="165"/>
      <c r="I649" s="119"/>
      <c r="J649" s="119"/>
      <c r="K649" s="157"/>
    </row>
    <row r="650" spans="1:11" x14ac:dyDescent="0.3">
      <c r="A650" s="127"/>
      <c r="B650" s="109"/>
      <c r="C650" s="161"/>
      <c r="D650" s="161"/>
      <c r="E650" s="161"/>
      <c r="F650" s="118"/>
      <c r="G650" s="119"/>
      <c r="H650" s="165"/>
      <c r="I650" s="119"/>
      <c r="J650" s="119"/>
      <c r="K650" s="157"/>
    </row>
    <row r="651" spans="1:11" x14ac:dyDescent="0.3">
      <c r="A651" s="127"/>
      <c r="B651" s="109"/>
      <c r="C651" s="161"/>
      <c r="D651" s="161"/>
      <c r="E651" s="161"/>
      <c r="F651" s="118"/>
      <c r="G651" s="119"/>
      <c r="H651" s="165"/>
      <c r="I651" s="119"/>
      <c r="J651" s="119"/>
      <c r="K651" s="157"/>
    </row>
    <row r="652" spans="1:11" x14ac:dyDescent="0.3">
      <c r="A652" s="127"/>
      <c r="B652" s="109"/>
      <c r="C652" s="161"/>
      <c r="D652" s="161"/>
      <c r="E652" s="161"/>
      <c r="F652" s="118"/>
      <c r="G652" s="119"/>
      <c r="H652" s="165"/>
      <c r="I652" s="119"/>
      <c r="J652" s="119"/>
      <c r="K652" s="157"/>
    </row>
    <row r="653" spans="1:11" x14ac:dyDescent="0.3">
      <c r="A653" s="127"/>
      <c r="B653" s="109"/>
      <c r="C653" s="161"/>
      <c r="D653" s="161"/>
      <c r="E653" s="161"/>
      <c r="F653" s="118"/>
      <c r="G653" s="119"/>
      <c r="H653" s="165"/>
      <c r="I653" s="119"/>
      <c r="J653" s="119"/>
      <c r="K653" s="157"/>
    </row>
    <row r="654" spans="1:11" x14ac:dyDescent="0.3">
      <c r="A654" s="127"/>
      <c r="B654" s="109"/>
      <c r="C654" s="161"/>
      <c r="D654" s="161"/>
      <c r="E654" s="161"/>
      <c r="F654" s="118"/>
      <c r="G654" s="119"/>
      <c r="H654" s="165"/>
      <c r="I654" s="119"/>
      <c r="J654" s="119"/>
      <c r="K654" s="157"/>
    </row>
    <row r="655" spans="1:11" x14ac:dyDescent="0.3">
      <c r="A655" s="127"/>
      <c r="B655" s="109"/>
      <c r="C655" s="161"/>
      <c r="D655" s="161"/>
      <c r="E655" s="161"/>
      <c r="F655" s="118"/>
      <c r="G655" s="119"/>
      <c r="H655" s="165"/>
      <c r="I655" s="119"/>
      <c r="J655" s="119"/>
      <c r="K655" s="157"/>
    </row>
    <row r="656" spans="1:11" x14ac:dyDescent="0.3">
      <c r="A656" s="127"/>
      <c r="B656" s="109"/>
      <c r="C656" s="161"/>
      <c r="D656" s="161"/>
      <c r="E656" s="161"/>
      <c r="F656" s="118"/>
      <c r="G656" s="119"/>
      <c r="H656" s="165"/>
      <c r="I656" s="119"/>
      <c r="J656" s="119"/>
      <c r="K656" s="157"/>
    </row>
    <row r="657" spans="1:11" x14ac:dyDescent="0.3">
      <c r="A657" s="127"/>
      <c r="B657" s="109"/>
      <c r="C657" s="161"/>
      <c r="D657" s="161"/>
      <c r="E657" s="161"/>
      <c r="F657" s="118"/>
      <c r="G657" s="119"/>
      <c r="H657" s="165"/>
      <c r="I657" s="119"/>
      <c r="J657" s="119"/>
      <c r="K657" s="157"/>
    </row>
    <row r="658" spans="1:11" x14ac:dyDescent="0.3">
      <c r="A658" s="127"/>
      <c r="B658" s="109"/>
      <c r="C658" s="161"/>
      <c r="D658" s="161"/>
      <c r="E658" s="161"/>
      <c r="F658" s="118"/>
      <c r="G658" s="119"/>
      <c r="H658" s="165"/>
      <c r="I658" s="119"/>
      <c r="J658" s="119"/>
      <c r="K658" s="157"/>
    </row>
    <row r="659" spans="1:11" x14ac:dyDescent="0.3">
      <c r="A659" s="127"/>
      <c r="B659" s="109"/>
      <c r="C659" s="161"/>
      <c r="D659" s="161"/>
      <c r="E659" s="161"/>
      <c r="F659" s="118"/>
      <c r="G659" s="119"/>
      <c r="H659" s="165"/>
      <c r="I659" s="119"/>
      <c r="J659" s="119"/>
      <c r="K659" s="157"/>
    </row>
    <row r="660" spans="1:11" x14ac:dyDescent="0.3">
      <c r="A660" s="127"/>
      <c r="B660" s="109"/>
      <c r="C660" s="161"/>
      <c r="D660" s="161"/>
      <c r="E660" s="161"/>
      <c r="F660" s="118"/>
      <c r="G660" s="119"/>
      <c r="H660" s="165"/>
      <c r="I660" s="119"/>
      <c r="J660" s="119"/>
      <c r="K660" s="157"/>
    </row>
    <row r="661" spans="1:11" x14ac:dyDescent="0.3">
      <c r="A661" s="127"/>
      <c r="B661" s="109"/>
      <c r="C661" s="161"/>
      <c r="D661" s="161"/>
      <c r="E661" s="161"/>
      <c r="F661" s="118"/>
      <c r="G661" s="119"/>
      <c r="H661" s="165"/>
      <c r="I661" s="119"/>
      <c r="J661" s="119"/>
      <c r="K661" s="157"/>
    </row>
    <row r="662" spans="1:11" x14ac:dyDescent="0.3">
      <c r="A662" s="127"/>
      <c r="B662" s="109"/>
      <c r="C662" s="161"/>
      <c r="D662" s="161"/>
      <c r="E662" s="161"/>
      <c r="F662" s="118"/>
      <c r="G662" s="119"/>
      <c r="H662" s="165"/>
      <c r="I662" s="119"/>
      <c r="J662" s="119"/>
      <c r="K662" s="157"/>
    </row>
    <row r="663" spans="1:11" x14ac:dyDescent="0.3">
      <c r="A663" s="127"/>
      <c r="B663" s="109"/>
      <c r="C663" s="161"/>
      <c r="D663" s="161"/>
      <c r="E663" s="161"/>
      <c r="F663" s="118"/>
      <c r="G663" s="119"/>
      <c r="H663" s="165"/>
      <c r="I663" s="119"/>
      <c r="J663" s="119"/>
      <c r="K663" s="157"/>
    </row>
    <row r="664" spans="1:11" x14ac:dyDescent="0.3">
      <c r="A664" s="127"/>
      <c r="B664" s="109"/>
      <c r="C664" s="161"/>
      <c r="D664" s="161"/>
      <c r="E664" s="161"/>
      <c r="F664" s="118"/>
      <c r="G664" s="119"/>
      <c r="H664" s="165"/>
      <c r="I664" s="119"/>
      <c r="J664" s="119"/>
      <c r="K664" s="157"/>
    </row>
    <row r="665" spans="1:11" x14ac:dyDescent="0.3">
      <c r="A665" s="127"/>
      <c r="B665" s="109"/>
      <c r="C665" s="161"/>
      <c r="D665" s="161"/>
      <c r="E665" s="161"/>
      <c r="F665" s="118"/>
      <c r="G665" s="119"/>
      <c r="H665" s="165"/>
      <c r="I665" s="119"/>
      <c r="J665" s="119"/>
      <c r="K665" s="157"/>
    </row>
    <row r="666" spans="1:11" x14ac:dyDescent="0.3">
      <c r="A666" s="127"/>
      <c r="B666" s="109"/>
      <c r="C666" s="161"/>
      <c r="D666" s="161"/>
      <c r="E666" s="161"/>
      <c r="F666" s="118"/>
      <c r="G666" s="119"/>
      <c r="H666" s="165"/>
      <c r="I666" s="119"/>
      <c r="J666" s="119"/>
      <c r="K666" s="157"/>
    </row>
    <row r="667" spans="1:11" x14ac:dyDescent="0.3">
      <c r="A667" s="127"/>
      <c r="B667" s="109"/>
      <c r="C667" s="161"/>
      <c r="D667" s="161"/>
      <c r="E667" s="161"/>
      <c r="F667" s="118"/>
      <c r="G667" s="119"/>
      <c r="H667" s="165"/>
      <c r="I667" s="119"/>
      <c r="J667" s="119"/>
      <c r="K667" s="157"/>
    </row>
    <row r="668" spans="1:11" x14ac:dyDescent="0.3">
      <c r="A668" s="127"/>
      <c r="B668" s="109"/>
      <c r="C668" s="161"/>
      <c r="D668" s="161"/>
      <c r="E668" s="161"/>
      <c r="F668" s="118"/>
      <c r="G668" s="119"/>
      <c r="H668" s="165"/>
      <c r="I668" s="119"/>
      <c r="J668" s="119"/>
      <c r="K668" s="157"/>
    </row>
    <row r="669" spans="1:11" x14ac:dyDescent="0.3">
      <c r="A669" s="127"/>
      <c r="B669" s="109"/>
      <c r="C669" s="161"/>
      <c r="D669" s="161"/>
      <c r="E669" s="161"/>
      <c r="F669" s="118"/>
      <c r="G669" s="119"/>
      <c r="H669" s="165"/>
      <c r="I669" s="119"/>
      <c r="J669" s="119"/>
      <c r="K669" s="157"/>
    </row>
    <row r="670" spans="1:11" x14ac:dyDescent="0.3">
      <c r="A670" s="127"/>
      <c r="B670" s="109"/>
      <c r="C670" s="161"/>
      <c r="D670" s="161"/>
      <c r="E670" s="161"/>
      <c r="F670" s="118"/>
      <c r="G670" s="119"/>
      <c r="H670" s="165"/>
      <c r="I670" s="119"/>
      <c r="J670" s="119"/>
      <c r="K670" s="157"/>
    </row>
    <row r="671" spans="1:11" x14ac:dyDescent="0.3">
      <c r="A671" s="127"/>
      <c r="B671" s="109"/>
      <c r="C671" s="161"/>
      <c r="D671" s="161"/>
      <c r="E671" s="161"/>
      <c r="F671" s="118"/>
      <c r="G671" s="119"/>
      <c r="H671" s="165"/>
      <c r="I671" s="119"/>
      <c r="J671" s="119"/>
      <c r="K671" s="157"/>
    </row>
    <row r="672" spans="1:11" x14ac:dyDescent="0.3">
      <c r="A672" s="127"/>
      <c r="B672" s="109"/>
      <c r="C672" s="161"/>
      <c r="D672" s="161"/>
      <c r="E672" s="161"/>
      <c r="F672" s="118"/>
      <c r="G672" s="119"/>
      <c r="H672" s="165"/>
      <c r="I672" s="119"/>
      <c r="J672" s="119"/>
      <c r="K672" s="157"/>
    </row>
    <row r="673" spans="1:11" x14ac:dyDescent="0.3">
      <c r="A673" s="127"/>
      <c r="B673" s="109"/>
      <c r="C673" s="161"/>
      <c r="D673" s="161"/>
      <c r="E673" s="161"/>
      <c r="F673" s="118"/>
      <c r="G673" s="119"/>
      <c r="H673" s="165"/>
      <c r="I673" s="119"/>
      <c r="J673" s="119"/>
      <c r="K673" s="157"/>
    </row>
    <row r="674" spans="1:11" x14ac:dyDescent="0.3">
      <c r="A674" s="127"/>
      <c r="B674" s="109"/>
      <c r="C674" s="161"/>
      <c r="D674" s="161"/>
      <c r="E674" s="161"/>
      <c r="F674" s="118"/>
      <c r="G674" s="119"/>
      <c r="H674" s="165"/>
      <c r="I674" s="119"/>
      <c r="J674" s="119"/>
      <c r="K674" s="157"/>
    </row>
    <row r="675" spans="1:11" x14ac:dyDescent="0.3">
      <c r="A675" s="127"/>
      <c r="B675" s="109"/>
      <c r="C675" s="161"/>
      <c r="D675" s="161"/>
      <c r="E675" s="161"/>
      <c r="F675" s="118"/>
      <c r="G675" s="119"/>
      <c r="H675" s="165"/>
      <c r="I675" s="119"/>
      <c r="J675" s="119"/>
      <c r="K675" s="157"/>
    </row>
    <row r="676" spans="1:11" x14ac:dyDescent="0.3">
      <c r="A676" s="127"/>
      <c r="B676" s="109"/>
      <c r="C676" s="161"/>
      <c r="D676" s="161"/>
      <c r="E676" s="161"/>
      <c r="F676" s="118"/>
      <c r="G676" s="119"/>
      <c r="H676" s="165"/>
      <c r="I676" s="119"/>
      <c r="J676" s="119"/>
      <c r="K676" s="157"/>
    </row>
    <row r="677" spans="1:11" x14ac:dyDescent="0.3">
      <c r="A677" s="127"/>
      <c r="B677" s="109"/>
      <c r="C677" s="161"/>
      <c r="D677" s="161"/>
      <c r="E677" s="161"/>
      <c r="F677" s="118"/>
      <c r="G677" s="119"/>
      <c r="H677" s="165"/>
      <c r="I677" s="119"/>
      <c r="J677" s="119"/>
      <c r="K677" s="157"/>
    </row>
    <row r="678" spans="1:11" x14ac:dyDescent="0.3">
      <c r="A678" s="127"/>
      <c r="B678" s="109"/>
      <c r="C678" s="161"/>
      <c r="D678" s="161"/>
      <c r="E678" s="161"/>
      <c r="F678" s="118"/>
      <c r="G678" s="119"/>
      <c r="H678" s="165"/>
      <c r="I678" s="119"/>
      <c r="J678" s="119"/>
      <c r="K678" s="157"/>
    </row>
    <row r="679" spans="1:11" x14ac:dyDescent="0.3">
      <c r="A679" s="127"/>
      <c r="B679" s="109"/>
      <c r="C679" s="161"/>
      <c r="D679" s="161"/>
      <c r="E679" s="161"/>
      <c r="F679" s="118"/>
      <c r="G679" s="119"/>
      <c r="H679" s="165"/>
      <c r="I679" s="119"/>
      <c r="J679" s="119"/>
      <c r="K679" s="157"/>
    </row>
    <row r="680" spans="1:11" x14ac:dyDescent="0.3">
      <c r="A680" s="127"/>
      <c r="B680" s="109"/>
      <c r="C680" s="161"/>
      <c r="D680" s="161"/>
      <c r="E680" s="161"/>
      <c r="F680" s="118"/>
      <c r="G680" s="119"/>
      <c r="H680" s="165"/>
      <c r="I680" s="119"/>
      <c r="J680" s="119"/>
      <c r="K680" s="157"/>
    </row>
    <row r="681" spans="1:11" x14ac:dyDescent="0.3">
      <c r="A681" s="127"/>
      <c r="B681" s="109"/>
      <c r="C681" s="161"/>
      <c r="D681" s="161"/>
      <c r="E681" s="161"/>
      <c r="F681" s="118"/>
      <c r="G681" s="119"/>
      <c r="H681" s="165"/>
      <c r="I681" s="119"/>
      <c r="J681" s="119"/>
      <c r="K681" s="157"/>
    </row>
    <row r="682" spans="1:11" x14ac:dyDescent="0.3">
      <c r="A682" s="127"/>
      <c r="B682" s="109"/>
      <c r="C682" s="161"/>
      <c r="D682" s="161"/>
      <c r="E682" s="161"/>
      <c r="F682" s="118"/>
      <c r="G682" s="119"/>
      <c r="H682" s="165"/>
      <c r="I682" s="119"/>
      <c r="J682" s="119"/>
      <c r="K682" s="157"/>
    </row>
    <row r="683" spans="1:11" x14ac:dyDescent="0.3">
      <c r="A683" s="127"/>
      <c r="B683" s="109"/>
      <c r="C683" s="161"/>
      <c r="D683" s="161"/>
      <c r="E683" s="161"/>
      <c r="F683" s="118"/>
      <c r="G683" s="119"/>
      <c r="H683" s="165"/>
      <c r="I683" s="119"/>
      <c r="J683" s="119"/>
      <c r="K683" s="157"/>
    </row>
    <row r="684" spans="1:11" x14ac:dyDescent="0.3">
      <c r="A684" s="127"/>
      <c r="B684" s="109"/>
      <c r="C684" s="161"/>
      <c r="D684" s="161"/>
      <c r="E684" s="161"/>
      <c r="F684" s="118"/>
      <c r="G684" s="119"/>
      <c r="H684" s="165"/>
      <c r="I684" s="119"/>
      <c r="J684" s="119"/>
      <c r="K684" s="157"/>
    </row>
    <row r="685" spans="1:11" x14ac:dyDescent="0.3">
      <c r="A685" s="127"/>
      <c r="B685" s="109"/>
      <c r="C685" s="161"/>
      <c r="D685" s="161"/>
      <c r="E685" s="161"/>
      <c r="F685" s="118"/>
      <c r="G685" s="119"/>
      <c r="H685" s="165"/>
      <c r="I685" s="119"/>
      <c r="J685" s="119"/>
      <c r="K685" s="157"/>
    </row>
    <row r="686" spans="1:11" x14ac:dyDescent="0.3">
      <c r="A686" s="127"/>
      <c r="B686" s="109"/>
      <c r="C686" s="161"/>
      <c r="D686" s="161"/>
      <c r="E686" s="161"/>
      <c r="F686" s="118"/>
      <c r="G686" s="119"/>
      <c r="H686" s="165"/>
      <c r="I686" s="119"/>
      <c r="J686" s="119"/>
      <c r="K686" s="157"/>
    </row>
    <row r="687" spans="1:11" x14ac:dyDescent="0.3">
      <c r="A687" s="127"/>
      <c r="B687" s="109"/>
      <c r="C687" s="161"/>
      <c r="D687" s="161"/>
      <c r="E687" s="161"/>
      <c r="F687" s="118"/>
      <c r="G687" s="119"/>
      <c r="H687" s="165"/>
      <c r="I687" s="119"/>
      <c r="J687" s="119"/>
      <c r="K687" s="157"/>
    </row>
    <row r="688" spans="1:11" x14ac:dyDescent="0.3">
      <c r="A688" s="127"/>
      <c r="B688" s="109"/>
      <c r="C688" s="161"/>
      <c r="D688" s="161"/>
      <c r="E688" s="161"/>
      <c r="F688" s="118"/>
      <c r="G688" s="119"/>
      <c r="H688" s="165"/>
      <c r="I688" s="119"/>
      <c r="J688" s="119"/>
      <c r="K688" s="157"/>
    </row>
    <row r="689" spans="1:11" x14ac:dyDescent="0.3">
      <c r="A689" s="127"/>
      <c r="B689" s="109"/>
      <c r="C689" s="161"/>
      <c r="D689" s="161"/>
      <c r="E689" s="161"/>
      <c r="F689" s="118"/>
      <c r="G689" s="119"/>
      <c r="H689" s="165"/>
      <c r="I689" s="119"/>
      <c r="J689" s="119"/>
      <c r="K689" s="157"/>
    </row>
    <row r="690" spans="1:11" x14ac:dyDescent="0.3">
      <c r="A690" s="127"/>
      <c r="B690" s="109"/>
      <c r="C690" s="161"/>
      <c r="D690" s="161"/>
      <c r="E690" s="161"/>
      <c r="F690" s="118"/>
      <c r="G690" s="119"/>
      <c r="H690" s="165"/>
      <c r="I690" s="119"/>
      <c r="J690" s="119"/>
      <c r="K690" s="157"/>
    </row>
    <row r="691" spans="1:11" x14ac:dyDescent="0.3">
      <c r="A691" s="127"/>
      <c r="B691" s="109"/>
      <c r="C691" s="161"/>
      <c r="D691" s="161"/>
      <c r="E691" s="161"/>
      <c r="F691" s="118"/>
      <c r="G691" s="119"/>
      <c r="H691" s="165"/>
      <c r="I691" s="119"/>
      <c r="J691" s="119"/>
      <c r="K691" s="157"/>
    </row>
    <row r="692" spans="1:11" x14ac:dyDescent="0.3">
      <c r="A692" s="127"/>
      <c r="B692" s="109"/>
      <c r="C692" s="161"/>
      <c r="D692" s="161"/>
      <c r="E692" s="161"/>
      <c r="F692" s="118"/>
      <c r="G692" s="119"/>
      <c r="H692" s="165"/>
      <c r="I692" s="119"/>
      <c r="J692" s="119"/>
      <c r="K692" s="157"/>
    </row>
    <row r="693" spans="1:11" x14ac:dyDescent="0.3">
      <c r="A693" s="127"/>
      <c r="B693" s="109"/>
      <c r="C693" s="161"/>
      <c r="D693" s="161"/>
      <c r="E693" s="161"/>
      <c r="F693" s="118"/>
      <c r="G693" s="119"/>
      <c r="H693" s="165"/>
      <c r="I693" s="119"/>
      <c r="J693" s="119"/>
      <c r="K693" s="157"/>
    </row>
    <row r="694" spans="1:11" x14ac:dyDescent="0.3">
      <c r="A694" s="127"/>
      <c r="B694" s="109"/>
      <c r="C694" s="161"/>
      <c r="D694" s="161"/>
      <c r="E694" s="161"/>
      <c r="F694" s="118"/>
      <c r="G694" s="119"/>
      <c r="H694" s="165"/>
      <c r="I694" s="119"/>
      <c r="J694" s="119"/>
      <c r="K694" s="157"/>
    </row>
    <row r="695" spans="1:11" x14ac:dyDescent="0.3">
      <c r="A695" s="127"/>
      <c r="B695" s="109"/>
      <c r="C695" s="161"/>
      <c r="D695" s="161"/>
      <c r="E695" s="161"/>
      <c r="F695" s="118"/>
      <c r="G695" s="119"/>
      <c r="H695" s="165"/>
      <c r="I695" s="119"/>
      <c r="J695" s="119"/>
      <c r="K695" s="157"/>
    </row>
    <row r="696" spans="1:11" x14ac:dyDescent="0.3">
      <c r="A696" s="127"/>
      <c r="B696" s="109"/>
      <c r="C696" s="161"/>
      <c r="D696" s="161"/>
      <c r="E696" s="161"/>
      <c r="F696" s="118"/>
      <c r="G696" s="119"/>
      <c r="H696" s="165"/>
      <c r="I696" s="119"/>
      <c r="J696" s="119"/>
      <c r="K696" s="157"/>
    </row>
    <row r="697" spans="1:11" x14ac:dyDescent="0.3">
      <c r="A697" s="127"/>
      <c r="B697" s="109"/>
      <c r="C697" s="161"/>
      <c r="D697" s="161"/>
      <c r="E697" s="161"/>
      <c r="F697" s="118"/>
      <c r="G697" s="119"/>
      <c r="H697" s="165"/>
      <c r="I697" s="119"/>
      <c r="J697" s="119"/>
      <c r="K697" s="157"/>
    </row>
    <row r="698" spans="1:11" x14ac:dyDescent="0.3">
      <c r="A698" s="127"/>
      <c r="B698" s="109"/>
      <c r="C698" s="161"/>
      <c r="D698" s="161"/>
      <c r="E698" s="161"/>
      <c r="F698" s="118"/>
      <c r="G698" s="119"/>
      <c r="H698" s="165"/>
      <c r="I698" s="119"/>
      <c r="J698" s="119"/>
      <c r="K698" s="157"/>
    </row>
    <row r="699" spans="1:11" x14ac:dyDescent="0.3">
      <c r="A699" s="127"/>
      <c r="B699" s="109"/>
      <c r="C699" s="161"/>
      <c r="D699" s="161"/>
      <c r="E699" s="161"/>
      <c r="F699" s="118"/>
      <c r="G699" s="119"/>
      <c r="H699" s="165"/>
      <c r="I699" s="119"/>
      <c r="J699" s="119"/>
      <c r="K699" s="157"/>
    </row>
    <row r="700" spans="1:11" x14ac:dyDescent="0.3">
      <c r="A700" s="127"/>
      <c r="B700" s="109"/>
      <c r="C700" s="161"/>
      <c r="D700" s="161"/>
      <c r="E700" s="161"/>
      <c r="F700" s="118"/>
      <c r="G700" s="119"/>
      <c r="H700" s="165"/>
      <c r="I700" s="119"/>
      <c r="J700" s="119"/>
      <c r="K700" s="157"/>
    </row>
    <row r="701" spans="1:11" x14ac:dyDescent="0.3">
      <c r="A701" s="127"/>
      <c r="B701" s="109"/>
      <c r="C701" s="161"/>
      <c r="D701" s="161"/>
      <c r="E701" s="161"/>
      <c r="F701" s="118"/>
      <c r="G701" s="119"/>
      <c r="H701" s="165"/>
      <c r="I701" s="119"/>
      <c r="J701" s="119"/>
      <c r="K701" s="157"/>
    </row>
    <row r="702" spans="1:11" x14ac:dyDescent="0.3">
      <c r="A702" s="127"/>
      <c r="B702" s="109"/>
      <c r="C702" s="161"/>
      <c r="D702" s="161"/>
      <c r="E702" s="161"/>
      <c r="F702" s="118"/>
      <c r="G702" s="119"/>
      <c r="H702" s="165"/>
      <c r="I702" s="119"/>
      <c r="J702" s="119"/>
      <c r="K702" s="157"/>
    </row>
    <row r="703" spans="1:11" x14ac:dyDescent="0.3">
      <c r="A703" s="127"/>
      <c r="B703" s="109"/>
      <c r="C703" s="161"/>
      <c r="D703" s="161"/>
      <c r="E703" s="161"/>
      <c r="F703" s="118"/>
      <c r="G703" s="119"/>
      <c r="H703" s="165"/>
      <c r="I703" s="119"/>
      <c r="J703" s="119"/>
      <c r="K703" s="157"/>
    </row>
    <row r="704" spans="1:11" x14ac:dyDescent="0.3">
      <c r="A704" s="127"/>
      <c r="B704" s="109"/>
      <c r="C704" s="161"/>
      <c r="D704" s="161"/>
      <c r="E704" s="161"/>
      <c r="F704" s="118"/>
      <c r="G704" s="119"/>
      <c r="H704" s="165"/>
      <c r="I704" s="119"/>
      <c r="J704" s="119"/>
      <c r="K704" s="157"/>
    </row>
    <row r="705" spans="1:11" x14ac:dyDescent="0.3">
      <c r="A705" s="127"/>
      <c r="B705" s="109"/>
      <c r="C705" s="161"/>
      <c r="D705" s="161"/>
      <c r="E705" s="161"/>
      <c r="F705" s="118"/>
      <c r="G705" s="119"/>
      <c r="H705" s="165"/>
      <c r="I705" s="119"/>
      <c r="J705" s="119"/>
      <c r="K705" s="157"/>
    </row>
    <row r="706" spans="1:11" x14ac:dyDescent="0.3">
      <c r="A706" s="127"/>
      <c r="B706" s="109"/>
      <c r="C706" s="161"/>
      <c r="D706" s="161"/>
      <c r="E706" s="161"/>
      <c r="F706" s="118"/>
      <c r="G706" s="119"/>
      <c r="H706" s="165"/>
      <c r="I706" s="119"/>
      <c r="J706" s="119"/>
      <c r="K706" s="157"/>
    </row>
    <row r="707" spans="1:11" x14ac:dyDescent="0.3">
      <c r="A707" s="127"/>
      <c r="B707" s="109"/>
      <c r="C707" s="161"/>
      <c r="D707" s="161"/>
      <c r="E707" s="161"/>
      <c r="F707" s="118"/>
      <c r="G707" s="119"/>
      <c r="H707" s="165"/>
      <c r="I707" s="119"/>
      <c r="J707" s="119"/>
      <c r="K707" s="157"/>
    </row>
    <row r="708" spans="1:11" x14ac:dyDescent="0.3">
      <c r="A708" s="127"/>
      <c r="B708" s="109"/>
      <c r="C708" s="161"/>
      <c r="D708" s="161"/>
      <c r="E708" s="161"/>
      <c r="F708" s="118"/>
      <c r="G708" s="119"/>
      <c r="H708" s="165"/>
      <c r="I708" s="119"/>
      <c r="J708" s="119"/>
      <c r="K708" s="157"/>
    </row>
    <row r="709" spans="1:11" x14ac:dyDescent="0.3">
      <c r="A709" s="127"/>
      <c r="B709" s="109"/>
      <c r="C709" s="161"/>
      <c r="D709" s="161"/>
      <c r="E709" s="161"/>
      <c r="F709" s="118"/>
      <c r="G709" s="119"/>
      <c r="H709" s="165"/>
      <c r="I709" s="119"/>
      <c r="J709" s="119"/>
      <c r="K709" s="157"/>
    </row>
    <row r="710" spans="1:11" x14ac:dyDescent="0.3">
      <c r="A710" s="127"/>
      <c r="B710" s="109"/>
      <c r="C710" s="161"/>
      <c r="D710" s="161"/>
      <c r="E710" s="161"/>
      <c r="F710" s="118"/>
      <c r="G710" s="119"/>
      <c r="H710" s="165"/>
      <c r="I710" s="119"/>
      <c r="J710" s="119"/>
      <c r="K710" s="157"/>
    </row>
    <row r="711" spans="1:11" x14ac:dyDescent="0.3">
      <c r="A711" s="127"/>
      <c r="B711" s="109"/>
      <c r="C711" s="161"/>
      <c r="D711" s="161"/>
      <c r="E711" s="161"/>
      <c r="F711" s="118"/>
      <c r="G711" s="119"/>
      <c r="H711" s="165"/>
      <c r="I711" s="119"/>
      <c r="J711" s="119"/>
      <c r="K711" s="157"/>
    </row>
    <row r="712" spans="1:11" x14ac:dyDescent="0.3">
      <c r="A712" s="127"/>
      <c r="B712" s="109"/>
      <c r="C712" s="161"/>
      <c r="D712" s="161"/>
      <c r="E712" s="161"/>
      <c r="F712" s="118"/>
      <c r="G712" s="119"/>
      <c r="H712" s="165"/>
      <c r="I712" s="119"/>
      <c r="J712" s="119"/>
      <c r="K712" s="157"/>
    </row>
    <row r="713" spans="1:11" x14ac:dyDescent="0.3">
      <c r="A713" s="127"/>
      <c r="B713" s="109"/>
      <c r="C713" s="161"/>
      <c r="D713" s="161"/>
      <c r="E713" s="161"/>
      <c r="F713" s="118"/>
      <c r="G713" s="119"/>
      <c r="H713" s="165"/>
      <c r="I713" s="119"/>
      <c r="J713" s="119"/>
      <c r="K713" s="157"/>
    </row>
    <row r="714" spans="1:11" x14ac:dyDescent="0.3">
      <c r="A714" s="127"/>
      <c r="B714" s="109"/>
      <c r="C714" s="161"/>
      <c r="D714" s="161"/>
      <c r="E714" s="161"/>
      <c r="F714" s="118"/>
      <c r="G714" s="119"/>
      <c r="H714" s="165"/>
      <c r="I714" s="119"/>
      <c r="J714" s="119"/>
      <c r="K714" s="157"/>
    </row>
    <row r="715" spans="1:11" x14ac:dyDescent="0.3">
      <c r="A715" s="127"/>
      <c r="B715" s="109"/>
      <c r="C715" s="161"/>
      <c r="D715" s="161"/>
      <c r="E715" s="161"/>
      <c r="F715" s="118"/>
      <c r="G715" s="119"/>
      <c r="H715" s="165"/>
      <c r="I715" s="119"/>
      <c r="J715" s="119"/>
      <c r="K715" s="157"/>
    </row>
    <row r="716" spans="1:11" x14ac:dyDescent="0.3">
      <c r="A716" s="127"/>
      <c r="B716" s="109"/>
      <c r="C716" s="161"/>
      <c r="D716" s="161"/>
      <c r="E716" s="161"/>
      <c r="F716" s="118"/>
      <c r="G716" s="119"/>
      <c r="H716" s="165"/>
      <c r="I716" s="119"/>
      <c r="J716" s="119"/>
      <c r="K716" s="157"/>
    </row>
    <row r="717" spans="1:11" x14ac:dyDescent="0.3">
      <c r="A717" s="127"/>
      <c r="B717" s="109"/>
      <c r="C717" s="161"/>
      <c r="D717" s="161"/>
      <c r="E717" s="161"/>
      <c r="F717" s="118"/>
      <c r="G717" s="119"/>
      <c r="H717" s="165"/>
      <c r="I717" s="119"/>
      <c r="J717" s="119"/>
      <c r="K717" s="157"/>
    </row>
    <row r="718" spans="1:11" x14ac:dyDescent="0.3">
      <c r="A718" s="127"/>
      <c r="B718" s="109"/>
      <c r="C718" s="161"/>
      <c r="D718" s="161"/>
      <c r="E718" s="161"/>
      <c r="F718" s="118"/>
      <c r="G718" s="119"/>
      <c r="H718" s="165"/>
      <c r="I718" s="119"/>
      <c r="J718" s="119"/>
      <c r="K718" s="157"/>
    </row>
    <row r="719" spans="1:11" x14ac:dyDescent="0.3">
      <c r="A719" s="127"/>
      <c r="B719" s="109"/>
      <c r="C719" s="161"/>
      <c r="D719" s="161"/>
      <c r="E719" s="161"/>
      <c r="F719" s="118"/>
      <c r="G719" s="119"/>
      <c r="H719" s="165"/>
      <c r="I719" s="119"/>
      <c r="J719" s="119"/>
      <c r="K719" s="157"/>
    </row>
    <row r="720" spans="1:11" x14ac:dyDescent="0.3">
      <c r="A720" s="127"/>
      <c r="B720" s="109"/>
      <c r="C720" s="161"/>
      <c r="D720" s="161"/>
      <c r="E720" s="161"/>
      <c r="F720" s="118"/>
      <c r="G720" s="119"/>
      <c r="H720" s="165"/>
      <c r="I720" s="119"/>
      <c r="J720" s="119"/>
      <c r="K720" s="157"/>
    </row>
    <row r="721" spans="1:11" x14ac:dyDescent="0.3">
      <c r="A721" s="127"/>
      <c r="B721" s="109"/>
      <c r="C721" s="161"/>
      <c r="D721" s="161"/>
      <c r="E721" s="161"/>
      <c r="F721" s="118"/>
      <c r="G721" s="119"/>
      <c r="H721" s="165"/>
      <c r="I721" s="119"/>
      <c r="J721" s="119"/>
      <c r="K721" s="157"/>
    </row>
    <row r="722" spans="1:11" x14ac:dyDescent="0.3">
      <c r="A722" s="127"/>
      <c r="B722" s="109"/>
      <c r="C722" s="161"/>
      <c r="D722" s="161"/>
      <c r="E722" s="161"/>
      <c r="F722" s="118"/>
      <c r="G722" s="119"/>
      <c r="H722" s="165"/>
      <c r="I722" s="119"/>
      <c r="J722" s="119"/>
      <c r="K722" s="157"/>
    </row>
    <row r="723" spans="1:11" x14ac:dyDescent="0.3">
      <c r="A723" s="127"/>
      <c r="B723" s="109"/>
      <c r="C723" s="161"/>
      <c r="D723" s="161"/>
      <c r="E723" s="161"/>
      <c r="F723" s="118"/>
      <c r="G723" s="119"/>
      <c r="H723" s="165"/>
      <c r="I723" s="119"/>
      <c r="J723" s="119"/>
      <c r="K723" s="157"/>
    </row>
    <row r="724" spans="1:11" x14ac:dyDescent="0.3">
      <c r="A724" s="127"/>
      <c r="B724" s="109"/>
      <c r="C724" s="161"/>
      <c r="D724" s="161"/>
      <c r="E724" s="161"/>
      <c r="F724" s="118"/>
      <c r="G724" s="119"/>
      <c r="H724" s="165"/>
      <c r="I724" s="119"/>
      <c r="J724" s="119"/>
      <c r="K724" s="157"/>
    </row>
    <row r="725" spans="1:11" x14ac:dyDescent="0.3">
      <c r="A725" s="127"/>
      <c r="B725" s="109"/>
      <c r="C725" s="161"/>
      <c r="D725" s="161"/>
      <c r="E725" s="161"/>
      <c r="F725" s="118"/>
      <c r="G725" s="119"/>
      <c r="H725" s="165"/>
      <c r="I725" s="119"/>
      <c r="J725" s="119"/>
      <c r="K725" s="157"/>
    </row>
    <row r="726" spans="1:11" x14ac:dyDescent="0.3">
      <c r="A726" s="127"/>
      <c r="B726" s="109"/>
      <c r="C726" s="161"/>
      <c r="D726" s="161"/>
      <c r="E726" s="161"/>
      <c r="F726" s="118"/>
      <c r="G726" s="119"/>
      <c r="H726" s="165"/>
      <c r="I726" s="119"/>
      <c r="J726" s="119"/>
      <c r="K726" s="157"/>
    </row>
    <row r="727" spans="1:11" x14ac:dyDescent="0.3">
      <c r="A727" s="127"/>
      <c r="B727" s="109"/>
      <c r="C727" s="161"/>
      <c r="D727" s="161"/>
      <c r="E727" s="161"/>
      <c r="F727" s="118"/>
      <c r="G727" s="119"/>
      <c r="H727" s="165"/>
      <c r="I727" s="119"/>
      <c r="J727" s="119"/>
      <c r="K727" s="157"/>
    </row>
    <row r="728" spans="1:11" x14ac:dyDescent="0.3">
      <c r="A728" s="127"/>
      <c r="B728" s="109"/>
      <c r="C728" s="161"/>
      <c r="D728" s="161"/>
      <c r="E728" s="161"/>
      <c r="F728" s="118"/>
      <c r="G728" s="119"/>
      <c r="H728" s="165"/>
      <c r="I728" s="119"/>
      <c r="J728" s="119"/>
      <c r="K728" s="157"/>
    </row>
    <row r="729" spans="1:11" x14ac:dyDescent="0.3">
      <c r="A729" s="127"/>
      <c r="B729" s="109"/>
      <c r="C729" s="161"/>
      <c r="D729" s="161"/>
      <c r="E729" s="161"/>
      <c r="F729" s="118"/>
      <c r="G729" s="119"/>
      <c r="H729" s="165"/>
      <c r="I729" s="119"/>
      <c r="J729" s="119"/>
      <c r="K729" s="157"/>
    </row>
    <row r="730" spans="1:11" x14ac:dyDescent="0.3">
      <c r="A730" s="127"/>
      <c r="B730" s="109"/>
      <c r="C730" s="161"/>
      <c r="D730" s="161"/>
      <c r="E730" s="161"/>
      <c r="F730" s="118"/>
      <c r="G730" s="119"/>
      <c r="H730" s="165"/>
      <c r="I730" s="119"/>
      <c r="J730" s="119"/>
      <c r="K730" s="157"/>
    </row>
    <row r="731" spans="1:11" x14ac:dyDescent="0.3">
      <c r="A731" s="127"/>
      <c r="B731" s="109"/>
      <c r="C731" s="161"/>
      <c r="D731" s="161"/>
      <c r="E731" s="161"/>
      <c r="F731" s="118"/>
      <c r="G731" s="119"/>
      <c r="H731" s="165"/>
      <c r="I731" s="119"/>
      <c r="J731" s="119"/>
      <c r="K731" s="157"/>
    </row>
    <row r="732" spans="1:11" x14ac:dyDescent="0.3">
      <c r="A732" s="127"/>
      <c r="B732" s="109"/>
      <c r="C732" s="161"/>
      <c r="D732" s="161"/>
      <c r="E732" s="161"/>
      <c r="F732" s="118"/>
      <c r="G732" s="119"/>
      <c r="H732" s="165"/>
      <c r="I732" s="119"/>
      <c r="J732" s="119"/>
      <c r="K732" s="157"/>
    </row>
    <row r="733" spans="1:11" x14ac:dyDescent="0.3">
      <c r="A733" s="127"/>
      <c r="B733" s="109"/>
      <c r="C733" s="161"/>
      <c r="D733" s="161"/>
      <c r="E733" s="161"/>
      <c r="F733" s="118"/>
      <c r="G733" s="119"/>
      <c r="H733" s="165"/>
      <c r="I733" s="119"/>
      <c r="J733" s="119"/>
      <c r="K733" s="157"/>
    </row>
    <row r="734" spans="1:11" x14ac:dyDescent="0.3">
      <c r="A734" s="127"/>
      <c r="B734" s="109"/>
      <c r="C734" s="161"/>
      <c r="D734" s="161"/>
      <c r="E734" s="161"/>
      <c r="F734" s="118"/>
      <c r="G734" s="119"/>
      <c r="H734" s="165"/>
      <c r="I734" s="119"/>
      <c r="J734" s="119"/>
      <c r="K734" s="157"/>
    </row>
    <row r="735" spans="1:11" x14ac:dyDescent="0.3">
      <c r="A735" s="127"/>
      <c r="B735" s="109"/>
      <c r="C735" s="161"/>
      <c r="D735" s="161"/>
      <c r="E735" s="161"/>
      <c r="F735" s="118"/>
      <c r="G735" s="119"/>
      <c r="H735" s="165"/>
      <c r="I735" s="119"/>
      <c r="J735" s="119"/>
      <c r="K735" s="157"/>
    </row>
    <row r="736" spans="1:11" x14ac:dyDescent="0.3">
      <c r="A736" s="127"/>
      <c r="B736" s="109"/>
      <c r="C736" s="161"/>
      <c r="D736" s="161"/>
      <c r="E736" s="161"/>
      <c r="F736" s="118"/>
      <c r="G736" s="119"/>
      <c r="H736" s="165"/>
      <c r="I736" s="119"/>
      <c r="J736" s="119"/>
      <c r="K736" s="157"/>
    </row>
    <row r="737" spans="1:11" x14ac:dyDescent="0.3">
      <c r="A737" s="127"/>
      <c r="B737" s="109"/>
      <c r="C737" s="161"/>
      <c r="D737" s="161"/>
      <c r="E737" s="161"/>
      <c r="F737" s="118"/>
      <c r="G737" s="119"/>
      <c r="H737" s="165"/>
      <c r="I737" s="119"/>
      <c r="J737" s="119"/>
      <c r="K737" s="157"/>
    </row>
    <row r="738" spans="1:11" x14ac:dyDescent="0.3">
      <c r="A738" s="127"/>
      <c r="B738" s="109"/>
      <c r="C738" s="161"/>
      <c r="D738" s="161"/>
      <c r="E738" s="161"/>
      <c r="F738" s="118"/>
      <c r="G738" s="119"/>
      <c r="H738" s="165"/>
      <c r="I738" s="119"/>
      <c r="J738" s="119"/>
      <c r="K738" s="157"/>
    </row>
    <row r="739" spans="1:11" x14ac:dyDescent="0.3">
      <c r="A739" s="127"/>
      <c r="B739" s="109"/>
      <c r="C739" s="161"/>
      <c r="D739" s="161"/>
      <c r="E739" s="161"/>
      <c r="F739" s="118"/>
      <c r="G739" s="119"/>
      <c r="H739" s="165"/>
      <c r="I739" s="119"/>
      <c r="J739" s="119"/>
      <c r="K739" s="157"/>
    </row>
    <row r="740" spans="1:11" x14ac:dyDescent="0.3">
      <c r="A740" s="127"/>
      <c r="B740" s="109"/>
      <c r="C740" s="161"/>
      <c r="D740" s="161"/>
      <c r="E740" s="161"/>
      <c r="F740" s="118"/>
      <c r="G740" s="119"/>
      <c r="H740" s="165"/>
      <c r="I740" s="119"/>
      <c r="J740" s="119"/>
      <c r="K740" s="157"/>
    </row>
    <row r="741" spans="1:11" x14ac:dyDescent="0.3">
      <c r="A741" s="127"/>
      <c r="B741" s="109"/>
      <c r="C741" s="161"/>
      <c r="D741" s="161"/>
      <c r="E741" s="161"/>
      <c r="F741" s="118"/>
      <c r="G741" s="119"/>
      <c r="H741" s="165"/>
      <c r="I741" s="119"/>
      <c r="J741" s="119"/>
      <c r="K741" s="157"/>
    </row>
    <row r="742" spans="1:11" x14ac:dyDescent="0.3">
      <c r="A742" s="127"/>
      <c r="B742" s="109"/>
      <c r="C742" s="161"/>
      <c r="D742" s="161"/>
      <c r="E742" s="161"/>
      <c r="F742" s="118"/>
      <c r="G742" s="119"/>
      <c r="H742" s="165"/>
      <c r="I742" s="119"/>
      <c r="J742" s="119"/>
      <c r="K742" s="157"/>
    </row>
    <row r="743" spans="1:11" x14ac:dyDescent="0.3">
      <c r="A743" s="127"/>
      <c r="B743" s="109"/>
      <c r="C743" s="161"/>
      <c r="D743" s="161"/>
      <c r="E743" s="161"/>
      <c r="F743" s="118"/>
      <c r="G743" s="119"/>
      <c r="H743" s="165"/>
      <c r="I743" s="119"/>
      <c r="J743" s="119"/>
      <c r="K743" s="157"/>
    </row>
    <row r="744" spans="1:11" x14ac:dyDescent="0.3">
      <c r="A744" s="127"/>
      <c r="B744" s="109"/>
      <c r="C744" s="161"/>
      <c r="D744" s="161"/>
      <c r="E744" s="161"/>
      <c r="F744" s="118"/>
      <c r="G744" s="119"/>
      <c r="H744" s="165"/>
      <c r="I744" s="119"/>
      <c r="J744" s="119"/>
      <c r="K744" s="157"/>
    </row>
    <row r="745" spans="1:11" x14ac:dyDescent="0.3">
      <c r="A745" s="127"/>
      <c r="B745" s="109"/>
      <c r="C745" s="161"/>
      <c r="D745" s="161"/>
      <c r="E745" s="161"/>
      <c r="F745" s="118"/>
      <c r="G745" s="119"/>
      <c r="H745" s="165"/>
      <c r="I745" s="119"/>
      <c r="J745" s="119"/>
      <c r="K745" s="157"/>
    </row>
    <row r="746" spans="1:11" x14ac:dyDescent="0.3">
      <c r="A746" s="127"/>
      <c r="B746" s="109"/>
      <c r="C746" s="161"/>
      <c r="D746" s="161"/>
      <c r="E746" s="161"/>
      <c r="F746" s="118"/>
      <c r="G746" s="119"/>
      <c r="H746" s="165"/>
      <c r="I746" s="119"/>
      <c r="J746" s="119"/>
      <c r="K746" s="157"/>
    </row>
    <row r="747" spans="1:11" x14ac:dyDescent="0.3">
      <c r="A747" s="127"/>
      <c r="B747" s="109"/>
      <c r="C747" s="161"/>
      <c r="D747" s="161"/>
      <c r="E747" s="161"/>
      <c r="F747" s="118"/>
      <c r="G747" s="119"/>
      <c r="H747" s="165"/>
      <c r="I747" s="119"/>
      <c r="J747" s="119"/>
      <c r="K747" s="157"/>
    </row>
    <row r="748" spans="1:11" x14ac:dyDescent="0.3">
      <c r="A748" s="127"/>
      <c r="B748" s="109"/>
      <c r="C748" s="161"/>
      <c r="D748" s="161"/>
      <c r="E748" s="161"/>
      <c r="F748" s="118"/>
      <c r="G748" s="119"/>
      <c r="H748" s="165"/>
      <c r="I748" s="119"/>
      <c r="J748" s="119"/>
      <c r="K748" s="157"/>
    </row>
    <row r="749" spans="1:11" x14ac:dyDescent="0.3">
      <c r="A749" s="127"/>
      <c r="B749" s="109"/>
      <c r="C749" s="161"/>
      <c r="D749" s="161"/>
      <c r="E749" s="161"/>
      <c r="F749" s="118"/>
      <c r="G749" s="119"/>
      <c r="H749" s="165"/>
      <c r="I749" s="119"/>
      <c r="J749" s="119"/>
      <c r="K749" s="157"/>
    </row>
    <row r="750" spans="1:11" x14ac:dyDescent="0.3">
      <c r="A750" s="127"/>
      <c r="B750" s="109"/>
      <c r="C750" s="161"/>
      <c r="D750" s="161"/>
      <c r="E750" s="161"/>
      <c r="F750" s="118"/>
      <c r="G750" s="119"/>
      <c r="H750" s="165"/>
      <c r="I750" s="119"/>
      <c r="J750" s="119"/>
      <c r="K750" s="157"/>
    </row>
    <row r="751" spans="1:11" x14ac:dyDescent="0.3">
      <c r="A751" s="127"/>
      <c r="B751" s="109"/>
      <c r="C751" s="161"/>
      <c r="D751" s="161"/>
      <c r="E751" s="161"/>
      <c r="F751" s="118"/>
      <c r="G751" s="119"/>
      <c r="H751" s="165"/>
      <c r="I751" s="119"/>
      <c r="J751" s="119"/>
      <c r="K751" s="157"/>
    </row>
    <row r="752" spans="1:11" x14ac:dyDescent="0.3">
      <c r="A752" s="127"/>
      <c r="B752" s="109"/>
      <c r="C752" s="161"/>
      <c r="D752" s="161"/>
      <c r="E752" s="161"/>
      <c r="F752" s="118"/>
      <c r="G752" s="119"/>
      <c r="H752" s="165"/>
      <c r="I752" s="119"/>
      <c r="J752" s="119"/>
      <c r="K752" s="157"/>
    </row>
    <row r="753" spans="1:11" x14ac:dyDescent="0.3">
      <c r="A753" s="127"/>
      <c r="B753" s="109"/>
      <c r="C753" s="161"/>
      <c r="D753" s="161"/>
      <c r="E753" s="161"/>
      <c r="F753" s="118"/>
      <c r="G753" s="119"/>
      <c r="H753" s="165"/>
      <c r="I753" s="119"/>
      <c r="J753" s="119"/>
      <c r="K753" s="157"/>
    </row>
    <row r="754" spans="1:11" x14ac:dyDescent="0.3">
      <c r="A754" s="127"/>
      <c r="B754" s="109"/>
      <c r="C754" s="161"/>
      <c r="D754" s="161"/>
      <c r="E754" s="161"/>
      <c r="F754" s="118"/>
      <c r="G754" s="119"/>
      <c r="H754" s="165"/>
      <c r="I754" s="119"/>
      <c r="J754" s="119"/>
      <c r="K754" s="157"/>
    </row>
    <row r="755" spans="1:11" x14ac:dyDescent="0.3">
      <c r="A755" s="127"/>
      <c r="B755" s="109"/>
      <c r="C755" s="161"/>
      <c r="D755" s="161"/>
      <c r="E755" s="161"/>
      <c r="F755" s="118"/>
      <c r="G755" s="119"/>
      <c r="H755" s="165"/>
      <c r="I755" s="119"/>
      <c r="J755" s="119"/>
      <c r="K755" s="157"/>
    </row>
    <row r="756" spans="1:11" x14ac:dyDescent="0.3">
      <c r="A756" s="127"/>
      <c r="B756" s="109"/>
      <c r="C756" s="161"/>
      <c r="D756" s="161"/>
      <c r="E756" s="161"/>
      <c r="F756" s="118"/>
      <c r="G756" s="119"/>
      <c r="H756" s="165"/>
      <c r="I756" s="119"/>
      <c r="J756" s="119"/>
      <c r="K756" s="157"/>
    </row>
    <row r="757" spans="1:11" x14ac:dyDescent="0.3">
      <c r="A757" s="127"/>
      <c r="B757" s="109"/>
      <c r="C757" s="161"/>
      <c r="D757" s="161"/>
      <c r="E757" s="161"/>
      <c r="F757" s="118"/>
      <c r="G757" s="119"/>
      <c r="H757" s="165"/>
      <c r="I757" s="119"/>
      <c r="J757" s="119"/>
      <c r="K757" s="157"/>
    </row>
    <row r="758" spans="1:11" x14ac:dyDescent="0.3">
      <c r="A758" s="127"/>
      <c r="B758" s="109"/>
      <c r="C758" s="161"/>
      <c r="D758" s="161"/>
      <c r="E758" s="161"/>
      <c r="F758" s="118"/>
      <c r="G758" s="119"/>
      <c r="H758" s="165"/>
      <c r="I758" s="119"/>
      <c r="J758" s="119"/>
      <c r="K758" s="157"/>
    </row>
    <row r="759" spans="1:11" x14ac:dyDescent="0.3">
      <c r="A759" s="127"/>
      <c r="B759" s="109"/>
      <c r="C759" s="161"/>
      <c r="D759" s="161"/>
      <c r="E759" s="161"/>
      <c r="F759" s="118"/>
      <c r="G759" s="119"/>
      <c r="H759" s="165"/>
      <c r="I759" s="119"/>
      <c r="J759" s="119"/>
      <c r="K759" s="157"/>
    </row>
    <row r="760" spans="1:11" x14ac:dyDescent="0.3">
      <c r="A760" s="127"/>
      <c r="B760" s="109"/>
      <c r="C760" s="161"/>
      <c r="D760" s="161"/>
      <c r="E760" s="161"/>
      <c r="F760" s="118"/>
      <c r="G760" s="119"/>
      <c r="H760" s="165"/>
      <c r="I760" s="119"/>
      <c r="J760" s="119"/>
      <c r="K760" s="157"/>
    </row>
    <row r="761" spans="1:11" x14ac:dyDescent="0.3">
      <c r="A761" s="127"/>
      <c r="B761" s="109"/>
      <c r="C761" s="161"/>
      <c r="D761" s="161"/>
      <c r="E761" s="161"/>
      <c r="F761" s="118"/>
      <c r="G761" s="119"/>
      <c r="H761" s="165"/>
      <c r="I761" s="119"/>
      <c r="J761" s="119"/>
      <c r="K761" s="157"/>
    </row>
    <row r="762" spans="1:11" x14ac:dyDescent="0.3">
      <c r="A762" s="127"/>
      <c r="B762" s="109"/>
      <c r="C762" s="161"/>
      <c r="D762" s="161"/>
      <c r="E762" s="161"/>
      <c r="F762" s="118"/>
      <c r="G762" s="119"/>
      <c r="H762" s="165"/>
      <c r="I762" s="119"/>
      <c r="J762" s="119"/>
      <c r="K762" s="157"/>
    </row>
    <row r="763" spans="1:11" x14ac:dyDescent="0.3">
      <c r="A763" s="127"/>
      <c r="B763" s="109"/>
      <c r="C763" s="161"/>
      <c r="D763" s="161"/>
      <c r="E763" s="161"/>
      <c r="F763" s="118"/>
      <c r="G763" s="119"/>
      <c r="H763" s="165"/>
      <c r="I763" s="119"/>
      <c r="J763" s="119"/>
      <c r="K763" s="157"/>
    </row>
    <row r="764" spans="1:11" x14ac:dyDescent="0.3">
      <c r="A764" s="127"/>
      <c r="B764" s="109"/>
      <c r="C764" s="161"/>
      <c r="D764" s="161"/>
      <c r="E764" s="161"/>
      <c r="F764" s="118"/>
      <c r="G764" s="119"/>
      <c r="H764" s="165"/>
      <c r="I764" s="119"/>
      <c r="J764" s="119"/>
      <c r="K764" s="157"/>
    </row>
    <row r="765" spans="1:11" x14ac:dyDescent="0.3">
      <c r="A765" s="127"/>
      <c r="B765" s="109"/>
      <c r="C765" s="161"/>
      <c r="D765" s="161"/>
      <c r="E765" s="161"/>
      <c r="F765" s="118"/>
      <c r="G765" s="119"/>
      <c r="H765" s="165"/>
      <c r="I765" s="119"/>
      <c r="J765" s="119"/>
      <c r="K765" s="157"/>
    </row>
    <row r="766" spans="1:11" x14ac:dyDescent="0.3">
      <c r="A766" s="127"/>
      <c r="B766" s="109"/>
      <c r="C766" s="161"/>
      <c r="D766" s="161"/>
      <c r="E766" s="161"/>
      <c r="F766" s="118"/>
      <c r="G766" s="119"/>
      <c r="H766" s="165"/>
      <c r="I766" s="119"/>
      <c r="J766" s="119"/>
      <c r="K766" s="157"/>
    </row>
    <row r="767" spans="1:11" x14ac:dyDescent="0.3">
      <c r="A767" s="127"/>
      <c r="B767" s="109"/>
      <c r="C767" s="161"/>
      <c r="D767" s="161"/>
      <c r="E767" s="161"/>
      <c r="F767" s="118"/>
      <c r="G767" s="119"/>
      <c r="H767" s="165"/>
      <c r="I767" s="119"/>
      <c r="J767" s="119"/>
      <c r="K767" s="157"/>
    </row>
    <row r="768" spans="1:11" x14ac:dyDescent="0.3">
      <c r="A768" s="127"/>
      <c r="B768" s="109"/>
      <c r="C768" s="161"/>
      <c r="D768" s="161"/>
      <c r="E768" s="161"/>
      <c r="F768" s="118"/>
      <c r="G768" s="119"/>
      <c r="H768" s="165"/>
      <c r="I768" s="119"/>
      <c r="J768" s="119"/>
      <c r="K768" s="157"/>
    </row>
    <row r="769" spans="1:11" x14ac:dyDescent="0.3">
      <c r="A769" s="127"/>
      <c r="B769" s="109"/>
      <c r="C769" s="161"/>
      <c r="D769" s="161"/>
      <c r="E769" s="161"/>
      <c r="F769" s="118"/>
      <c r="G769" s="119"/>
      <c r="H769" s="165"/>
      <c r="I769" s="119"/>
      <c r="J769" s="119"/>
      <c r="K769" s="157"/>
    </row>
    <row r="770" spans="1:11" x14ac:dyDescent="0.3">
      <c r="A770" s="127"/>
      <c r="B770" s="109"/>
      <c r="C770" s="161"/>
      <c r="D770" s="161"/>
      <c r="E770" s="161"/>
      <c r="F770" s="118"/>
      <c r="G770" s="119"/>
      <c r="H770" s="165"/>
      <c r="I770" s="119"/>
      <c r="J770" s="119"/>
      <c r="K770" s="157"/>
    </row>
    <row r="771" spans="1:11" x14ac:dyDescent="0.3">
      <c r="A771" s="127"/>
      <c r="B771" s="109"/>
      <c r="C771" s="161"/>
      <c r="D771" s="161"/>
      <c r="E771" s="161"/>
      <c r="F771" s="118"/>
      <c r="G771" s="119"/>
      <c r="H771" s="165"/>
      <c r="I771" s="119"/>
      <c r="J771" s="119"/>
      <c r="K771" s="157"/>
    </row>
    <row r="772" spans="1:11" x14ac:dyDescent="0.3">
      <c r="A772" s="127"/>
      <c r="B772" s="109"/>
      <c r="C772" s="161"/>
      <c r="D772" s="161"/>
      <c r="E772" s="161"/>
      <c r="F772" s="118"/>
      <c r="G772" s="119"/>
      <c r="H772" s="165"/>
      <c r="I772" s="119"/>
      <c r="J772" s="119"/>
      <c r="K772" s="157"/>
    </row>
    <row r="773" spans="1:11" x14ac:dyDescent="0.3">
      <c r="A773" s="127"/>
      <c r="B773" s="109"/>
      <c r="C773" s="161"/>
      <c r="D773" s="161"/>
      <c r="E773" s="161"/>
      <c r="F773" s="118"/>
      <c r="G773" s="119"/>
      <c r="H773" s="165"/>
      <c r="I773" s="119"/>
      <c r="J773" s="119"/>
      <c r="K773" s="157"/>
    </row>
    <row r="774" spans="1:11" x14ac:dyDescent="0.3">
      <c r="A774" s="127"/>
      <c r="B774" s="109"/>
      <c r="C774" s="161"/>
      <c r="D774" s="161"/>
      <c r="E774" s="161"/>
      <c r="F774" s="118"/>
      <c r="G774" s="119"/>
      <c r="H774" s="165"/>
      <c r="I774" s="119"/>
      <c r="J774" s="119"/>
      <c r="K774" s="157"/>
    </row>
    <row r="775" spans="1:11" x14ac:dyDescent="0.3">
      <c r="A775" s="127"/>
      <c r="B775" s="109"/>
      <c r="C775" s="161"/>
      <c r="D775" s="161"/>
      <c r="E775" s="161"/>
      <c r="F775" s="118"/>
      <c r="G775" s="119"/>
      <c r="H775" s="165"/>
      <c r="I775" s="119"/>
      <c r="J775" s="119"/>
      <c r="K775" s="157"/>
    </row>
    <row r="776" spans="1:11" x14ac:dyDescent="0.3">
      <c r="A776" s="127"/>
      <c r="B776" s="109"/>
      <c r="C776" s="161"/>
      <c r="D776" s="161"/>
      <c r="E776" s="161"/>
      <c r="F776" s="118"/>
      <c r="G776" s="119"/>
      <c r="H776" s="165"/>
      <c r="I776" s="119"/>
      <c r="J776" s="119"/>
      <c r="K776" s="157"/>
    </row>
    <row r="777" spans="1:11" x14ac:dyDescent="0.3">
      <c r="A777" s="127"/>
      <c r="B777" s="109"/>
      <c r="C777" s="161"/>
      <c r="D777" s="161"/>
      <c r="E777" s="161"/>
      <c r="F777" s="118"/>
      <c r="G777" s="119"/>
      <c r="H777" s="165"/>
      <c r="I777" s="119"/>
      <c r="J777" s="119"/>
      <c r="K777" s="157"/>
    </row>
    <row r="778" spans="1:11" x14ac:dyDescent="0.3">
      <c r="A778" s="127"/>
      <c r="B778" s="109"/>
      <c r="C778" s="161"/>
      <c r="D778" s="161"/>
      <c r="E778" s="161"/>
      <c r="F778" s="118"/>
      <c r="G778" s="119"/>
      <c r="H778" s="165"/>
      <c r="I778" s="119"/>
      <c r="J778" s="119"/>
      <c r="K778" s="157"/>
    </row>
    <row r="779" spans="1:11" x14ac:dyDescent="0.3">
      <c r="A779" s="127"/>
      <c r="B779" s="109"/>
      <c r="C779" s="161"/>
      <c r="D779" s="161"/>
      <c r="E779" s="161"/>
      <c r="F779" s="118"/>
      <c r="G779" s="119"/>
      <c r="H779" s="165"/>
      <c r="I779" s="119"/>
      <c r="J779" s="119"/>
      <c r="K779" s="157"/>
    </row>
    <row r="780" spans="1:11" x14ac:dyDescent="0.3">
      <c r="A780" s="127"/>
      <c r="B780" s="109"/>
      <c r="C780" s="161"/>
      <c r="D780" s="161"/>
      <c r="E780" s="161"/>
      <c r="F780" s="118"/>
      <c r="G780" s="119"/>
      <c r="H780" s="165"/>
      <c r="I780" s="119"/>
      <c r="J780" s="119"/>
      <c r="K780" s="157"/>
    </row>
    <row r="781" spans="1:11" x14ac:dyDescent="0.3">
      <c r="A781" s="127"/>
      <c r="B781" s="109"/>
      <c r="C781" s="161"/>
      <c r="D781" s="161"/>
      <c r="E781" s="161"/>
      <c r="F781" s="118"/>
      <c r="G781" s="119"/>
      <c r="H781" s="165"/>
      <c r="I781" s="119"/>
      <c r="J781" s="119"/>
      <c r="K781" s="157"/>
    </row>
    <row r="782" spans="1:11" x14ac:dyDescent="0.3">
      <c r="A782" s="127"/>
      <c r="B782" s="109"/>
      <c r="C782" s="161"/>
      <c r="D782" s="161"/>
      <c r="E782" s="161"/>
      <c r="F782" s="118"/>
      <c r="G782" s="119"/>
      <c r="H782" s="165"/>
      <c r="I782" s="119"/>
      <c r="J782" s="119"/>
      <c r="K782" s="157"/>
    </row>
    <row r="783" spans="1:11" x14ac:dyDescent="0.3">
      <c r="A783" s="127"/>
      <c r="B783" s="109"/>
      <c r="C783" s="161"/>
      <c r="D783" s="161"/>
      <c r="E783" s="161"/>
      <c r="F783" s="118"/>
      <c r="G783" s="119"/>
      <c r="H783" s="165"/>
      <c r="I783" s="119"/>
      <c r="J783" s="119"/>
      <c r="K783" s="157"/>
    </row>
    <row r="784" spans="1:11" x14ac:dyDescent="0.3">
      <c r="A784" s="127"/>
      <c r="B784" s="109"/>
      <c r="C784" s="161"/>
      <c r="D784" s="161"/>
      <c r="E784" s="161"/>
      <c r="F784" s="118"/>
      <c r="G784" s="119"/>
      <c r="H784" s="165"/>
      <c r="I784" s="119"/>
      <c r="J784" s="119"/>
      <c r="K784" s="157"/>
    </row>
    <row r="785" spans="1:11" x14ac:dyDescent="0.3">
      <c r="A785" s="127"/>
      <c r="B785" s="109"/>
      <c r="C785" s="161"/>
      <c r="D785" s="161"/>
      <c r="E785" s="161"/>
      <c r="F785" s="118"/>
      <c r="G785" s="119"/>
      <c r="H785" s="165"/>
      <c r="I785" s="119"/>
      <c r="J785" s="119"/>
      <c r="K785" s="157"/>
    </row>
    <row r="786" spans="1:11" x14ac:dyDescent="0.3">
      <c r="A786" s="127"/>
      <c r="B786" s="109"/>
      <c r="C786" s="161"/>
      <c r="D786" s="161"/>
      <c r="E786" s="161"/>
      <c r="F786" s="118"/>
      <c r="G786" s="119"/>
      <c r="H786" s="165"/>
      <c r="I786" s="119"/>
      <c r="J786" s="119"/>
      <c r="K786" s="157"/>
    </row>
    <row r="787" spans="1:11" x14ac:dyDescent="0.3">
      <c r="A787" s="127"/>
      <c r="B787" s="109"/>
      <c r="C787" s="161"/>
      <c r="D787" s="161"/>
      <c r="E787" s="161"/>
      <c r="F787" s="118"/>
      <c r="G787" s="119"/>
      <c r="H787" s="165"/>
      <c r="I787" s="119"/>
      <c r="J787" s="119"/>
      <c r="K787" s="157"/>
    </row>
    <row r="788" spans="1:11" x14ac:dyDescent="0.3">
      <c r="A788" s="127"/>
      <c r="B788" s="109"/>
      <c r="C788" s="161"/>
      <c r="D788" s="161"/>
      <c r="E788" s="161"/>
      <c r="F788" s="118"/>
      <c r="G788" s="119"/>
      <c r="H788" s="165"/>
      <c r="I788" s="119"/>
      <c r="J788" s="119"/>
      <c r="K788" s="157"/>
    </row>
    <row r="789" spans="1:11" x14ac:dyDescent="0.3">
      <c r="A789" s="127"/>
      <c r="B789" s="109"/>
      <c r="C789" s="161"/>
      <c r="D789" s="161"/>
      <c r="E789" s="161"/>
      <c r="F789" s="118"/>
      <c r="G789" s="119"/>
      <c r="H789" s="165"/>
      <c r="I789" s="119"/>
      <c r="J789" s="119"/>
      <c r="K789" s="157"/>
    </row>
    <row r="790" spans="1:11" x14ac:dyDescent="0.3">
      <c r="A790" s="127"/>
      <c r="B790" s="109"/>
      <c r="C790" s="161"/>
      <c r="D790" s="161"/>
      <c r="E790" s="161"/>
      <c r="F790" s="118"/>
      <c r="G790" s="119"/>
      <c r="H790" s="165"/>
      <c r="I790" s="119"/>
      <c r="J790" s="119"/>
      <c r="K790" s="157"/>
    </row>
    <row r="791" spans="1:11" x14ac:dyDescent="0.3">
      <c r="A791" s="127"/>
      <c r="B791" s="109"/>
      <c r="C791" s="161"/>
      <c r="D791" s="161"/>
      <c r="E791" s="161"/>
      <c r="F791" s="118"/>
      <c r="G791" s="119"/>
      <c r="H791" s="165"/>
      <c r="I791" s="119"/>
      <c r="J791" s="119"/>
      <c r="K791" s="157"/>
    </row>
    <row r="792" spans="1:11" x14ac:dyDescent="0.3">
      <c r="A792" s="127"/>
      <c r="B792" s="109"/>
      <c r="C792" s="161"/>
      <c r="D792" s="161"/>
      <c r="E792" s="161"/>
      <c r="F792" s="118"/>
      <c r="G792" s="119"/>
      <c r="H792" s="165"/>
      <c r="I792" s="119"/>
      <c r="J792" s="119"/>
      <c r="K792" s="157"/>
    </row>
    <row r="793" spans="1:11" x14ac:dyDescent="0.3">
      <c r="A793" s="127"/>
      <c r="B793" s="109"/>
      <c r="C793" s="161"/>
      <c r="D793" s="161"/>
      <c r="E793" s="161"/>
      <c r="F793" s="118"/>
      <c r="G793" s="119"/>
      <c r="H793" s="165"/>
      <c r="I793" s="119"/>
      <c r="J793" s="119"/>
      <c r="K793" s="157"/>
    </row>
    <row r="794" spans="1:11" x14ac:dyDescent="0.3">
      <c r="A794" s="127"/>
      <c r="B794" s="109"/>
      <c r="C794" s="161"/>
      <c r="D794" s="161"/>
      <c r="E794" s="161"/>
      <c r="F794" s="118"/>
      <c r="G794" s="119"/>
      <c r="H794" s="165"/>
      <c r="I794" s="119"/>
      <c r="J794" s="119"/>
      <c r="K794" s="157"/>
    </row>
    <row r="795" spans="1:11" x14ac:dyDescent="0.3">
      <c r="A795" s="127"/>
      <c r="B795" s="109"/>
      <c r="C795" s="161"/>
      <c r="D795" s="161"/>
      <c r="E795" s="161"/>
      <c r="F795" s="118"/>
      <c r="G795" s="119"/>
      <c r="H795" s="165"/>
      <c r="I795" s="119"/>
      <c r="J795" s="119"/>
      <c r="K795" s="157"/>
    </row>
    <row r="796" spans="1:11" x14ac:dyDescent="0.3">
      <c r="A796" s="127"/>
      <c r="B796" s="109"/>
      <c r="C796" s="161"/>
      <c r="D796" s="161"/>
      <c r="E796" s="161"/>
      <c r="F796" s="118"/>
      <c r="G796" s="119"/>
      <c r="H796" s="165"/>
      <c r="I796" s="119"/>
      <c r="J796" s="119"/>
      <c r="K796" s="157"/>
    </row>
    <row r="797" spans="1:11" x14ac:dyDescent="0.3">
      <c r="A797" s="127"/>
      <c r="B797" s="109"/>
      <c r="C797" s="161"/>
      <c r="D797" s="161"/>
      <c r="E797" s="161"/>
      <c r="F797" s="118"/>
      <c r="G797" s="119"/>
      <c r="H797" s="165"/>
      <c r="I797" s="119"/>
      <c r="J797" s="119"/>
      <c r="K797" s="157"/>
    </row>
    <row r="798" spans="1:11" x14ac:dyDescent="0.3">
      <c r="A798" s="127"/>
      <c r="B798" s="109"/>
      <c r="C798" s="161"/>
      <c r="D798" s="161"/>
      <c r="E798" s="161"/>
      <c r="F798" s="118"/>
      <c r="G798" s="119"/>
      <c r="H798" s="165"/>
      <c r="I798" s="119"/>
      <c r="J798" s="119"/>
      <c r="K798" s="157"/>
    </row>
    <row r="799" spans="1:11" x14ac:dyDescent="0.3">
      <c r="A799" s="127"/>
      <c r="B799" s="109"/>
      <c r="C799" s="161"/>
      <c r="D799" s="161"/>
      <c r="E799" s="161"/>
      <c r="F799" s="118"/>
      <c r="G799" s="119"/>
      <c r="H799" s="165"/>
      <c r="I799" s="119"/>
      <c r="J799" s="119"/>
      <c r="K799" s="157"/>
    </row>
    <row r="800" spans="1:11" x14ac:dyDescent="0.3">
      <c r="A800" s="127"/>
      <c r="B800" s="109"/>
      <c r="C800" s="161"/>
      <c r="D800" s="161"/>
      <c r="E800" s="161"/>
      <c r="F800" s="118"/>
      <c r="G800" s="119"/>
      <c r="H800" s="165"/>
      <c r="I800" s="119"/>
      <c r="J800" s="119"/>
      <c r="K800" s="157"/>
    </row>
    <row r="801" spans="1:11" x14ac:dyDescent="0.3">
      <c r="A801" s="127"/>
      <c r="B801" s="109"/>
      <c r="C801" s="161"/>
      <c r="D801" s="161"/>
      <c r="E801" s="161"/>
      <c r="F801" s="118"/>
      <c r="G801" s="119"/>
      <c r="H801" s="165"/>
      <c r="I801" s="119"/>
      <c r="J801" s="119"/>
      <c r="K801" s="157"/>
    </row>
    <row r="802" spans="1:11" x14ac:dyDescent="0.3">
      <c r="A802" s="127"/>
      <c r="B802" s="109"/>
      <c r="C802" s="161"/>
      <c r="D802" s="161"/>
      <c r="E802" s="161"/>
      <c r="F802" s="118"/>
      <c r="G802" s="119"/>
      <c r="H802" s="165"/>
      <c r="I802" s="119"/>
      <c r="J802" s="119"/>
      <c r="K802" s="157"/>
    </row>
    <row r="803" spans="1:11" x14ac:dyDescent="0.3">
      <c r="A803" s="127"/>
      <c r="B803" s="109"/>
      <c r="C803" s="161"/>
      <c r="D803" s="161"/>
      <c r="E803" s="161"/>
      <c r="F803" s="118"/>
      <c r="G803" s="119"/>
      <c r="H803" s="165"/>
      <c r="I803" s="119"/>
      <c r="J803" s="119"/>
      <c r="K803" s="157"/>
    </row>
    <row r="804" spans="1:11" x14ac:dyDescent="0.3">
      <c r="A804" s="127"/>
      <c r="B804" s="109"/>
      <c r="C804" s="161"/>
      <c r="D804" s="161"/>
      <c r="E804" s="161"/>
      <c r="F804" s="118"/>
      <c r="G804" s="119"/>
      <c r="H804" s="165"/>
      <c r="I804" s="119"/>
      <c r="J804" s="119"/>
      <c r="K804" s="157"/>
    </row>
    <row r="805" spans="1:11" x14ac:dyDescent="0.3">
      <c r="A805" s="127"/>
      <c r="B805" s="109"/>
      <c r="C805" s="161"/>
      <c r="D805" s="161"/>
      <c r="E805" s="161"/>
      <c r="F805" s="118"/>
      <c r="G805" s="119"/>
      <c r="H805" s="165"/>
      <c r="I805" s="119"/>
      <c r="J805" s="119"/>
      <c r="K805" s="157"/>
    </row>
    <row r="806" spans="1:11" x14ac:dyDescent="0.3">
      <c r="A806" s="127"/>
      <c r="B806" s="109"/>
      <c r="C806" s="161"/>
      <c r="D806" s="161"/>
      <c r="E806" s="161"/>
      <c r="F806" s="118"/>
      <c r="G806" s="119"/>
      <c r="H806" s="165"/>
      <c r="I806" s="119"/>
      <c r="J806" s="119"/>
      <c r="K806" s="157"/>
    </row>
    <row r="807" spans="1:11" x14ac:dyDescent="0.3">
      <c r="A807" s="127"/>
      <c r="B807" s="109"/>
      <c r="C807" s="161"/>
      <c r="D807" s="161"/>
      <c r="E807" s="161"/>
      <c r="F807" s="118"/>
      <c r="G807" s="119"/>
      <c r="H807" s="165"/>
      <c r="I807" s="119"/>
      <c r="J807" s="119"/>
      <c r="K807" s="157"/>
    </row>
    <row r="808" spans="1:11" x14ac:dyDescent="0.3">
      <c r="A808" s="127"/>
      <c r="B808" s="109"/>
      <c r="C808" s="161"/>
      <c r="D808" s="161"/>
      <c r="E808" s="161"/>
      <c r="F808" s="118"/>
      <c r="G808" s="119"/>
      <c r="H808" s="165"/>
      <c r="I808" s="119"/>
      <c r="J808" s="119"/>
      <c r="K808" s="157"/>
    </row>
    <row r="809" spans="1:11" x14ac:dyDescent="0.3">
      <c r="A809" s="127"/>
      <c r="B809" s="109"/>
      <c r="C809" s="161"/>
      <c r="D809" s="161"/>
      <c r="E809" s="161"/>
      <c r="F809" s="118"/>
      <c r="G809" s="119"/>
      <c r="H809" s="165"/>
      <c r="I809" s="119"/>
      <c r="J809" s="119"/>
      <c r="K809" s="157"/>
    </row>
    <row r="810" spans="1:11" x14ac:dyDescent="0.3">
      <c r="A810" s="127"/>
      <c r="B810" s="109"/>
      <c r="C810" s="161"/>
      <c r="D810" s="161"/>
      <c r="E810" s="161"/>
      <c r="F810" s="118"/>
      <c r="G810" s="119"/>
      <c r="H810" s="165"/>
      <c r="I810" s="119"/>
      <c r="J810" s="119"/>
      <c r="K810" s="157"/>
    </row>
    <row r="811" spans="1:11" x14ac:dyDescent="0.3">
      <c r="A811" s="127"/>
      <c r="B811" s="109"/>
      <c r="C811" s="161"/>
      <c r="D811" s="161"/>
      <c r="E811" s="161"/>
      <c r="F811" s="118"/>
      <c r="G811" s="119"/>
      <c r="H811" s="165"/>
      <c r="I811" s="119"/>
      <c r="J811" s="119"/>
      <c r="K811" s="157"/>
    </row>
    <row r="812" spans="1:11" x14ac:dyDescent="0.3">
      <c r="A812" s="127"/>
      <c r="B812" s="109"/>
      <c r="C812" s="161"/>
      <c r="D812" s="161"/>
      <c r="E812" s="161"/>
      <c r="F812" s="118"/>
      <c r="G812" s="119"/>
      <c r="H812" s="165"/>
      <c r="I812" s="119"/>
      <c r="J812" s="119"/>
      <c r="K812" s="157"/>
    </row>
    <row r="813" spans="1:11" x14ac:dyDescent="0.3">
      <c r="A813" s="127"/>
      <c r="B813" s="109"/>
      <c r="C813" s="161"/>
      <c r="D813" s="161"/>
      <c r="E813" s="161"/>
      <c r="F813" s="118"/>
      <c r="G813" s="119"/>
      <c r="H813" s="165"/>
      <c r="I813" s="119"/>
      <c r="J813" s="119"/>
      <c r="K813" s="157"/>
    </row>
    <row r="814" spans="1:11" x14ac:dyDescent="0.3">
      <c r="A814" s="127"/>
      <c r="B814" s="109"/>
      <c r="C814" s="161"/>
      <c r="D814" s="161"/>
      <c r="E814" s="161"/>
      <c r="F814" s="118"/>
      <c r="G814" s="119"/>
      <c r="H814" s="165"/>
      <c r="I814" s="119"/>
      <c r="J814" s="119"/>
      <c r="K814" s="157"/>
    </row>
    <row r="815" spans="1:11" x14ac:dyDescent="0.3">
      <c r="A815" s="127"/>
      <c r="B815" s="109"/>
      <c r="C815" s="161"/>
      <c r="D815" s="161"/>
      <c r="E815" s="161"/>
      <c r="F815" s="118"/>
      <c r="G815" s="119"/>
      <c r="H815" s="165"/>
      <c r="I815" s="119"/>
      <c r="J815" s="119"/>
      <c r="K815" s="157"/>
    </row>
    <row r="816" spans="1:11" x14ac:dyDescent="0.3">
      <c r="A816" s="127"/>
      <c r="B816" s="109"/>
      <c r="C816" s="161"/>
      <c r="D816" s="161"/>
      <c r="E816" s="161"/>
      <c r="F816" s="118"/>
      <c r="G816" s="119"/>
      <c r="H816" s="165"/>
      <c r="I816" s="119"/>
      <c r="J816" s="119"/>
      <c r="K816" s="157"/>
    </row>
    <row r="817" spans="1:11" x14ac:dyDescent="0.3">
      <c r="A817" s="127"/>
      <c r="B817" s="109"/>
      <c r="C817" s="161"/>
      <c r="D817" s="161"/>
      <c r="E817" s="161"/>
      <c r="F817" s="118"/>
      <c r="G817" s="119"/>
      <c r="H817" s="165"/>
      <c r="I817" s="119"/>
      <c r="J817" s="119"/>
      <c r="K817" s="157"/>
    </row>
    <row r="818" spans="1:11" x14ac:dyDescent="0.3">
      <c r="A818" s="127"/>
      <c r="B818" s="109"/>
      <c r="C818" s="161"/>
      <c r="D818" s="161"/>
      <c r="E818" s="161"/>
      <c r="F818" s="118"/>
      <c r="G818" s="119"/>
      <c r="H818" s="165"/>
      <c r="I818" s="119"/>
      <c r="J818" s="119"/>
      <c r="K818" s="157"/>
    </row>
    <row r="819" spans="1:11" x14ac:dyDescent="0.3">
      <c r="A819" s="127"/>
      <c r="B819" s="109"/>
      <c r="C819" s="161"/>
      <c r="D819" s="161"/>
      <c r="E819" s="161"/>
      <c r="F819" s="118"/>
      <c r="G819" s="119"/>
      <c r="H819" s="165"/>
      <c r="I819" s="119"/>
      <c r="J819" s="119"/>
      <c r="K819" s="157"/>
    </row>
    <row r="820" spans="1:11" x14ac:dyDescent="0.3">
      <c r="A820" s="127"/>
      <c r="B820" s="109"/>
      <c r="C820" s="161"/>
      <c r="D820" s="161"/>
      <c r="E820" s="161"/>
      <c r="F820" s="118"/>
      <c r="G820" s="119"/>
      <c r="H820" s="165"/>
      <c r="I820" s="119"/>
      <c r="J820" s="119"/>
      <c r="K820" s="157"/>
    </row>
    <row r="821" spans="1:11" x14ac:dyDescent="0.3">
      <c r="A821" s="127"/>
      <c r="B821" s="109"/>
      <c r="C821" s="161"/>
      <c r="D821" s="161"/>
      <c r="E821" s="161"/>
      <c r="F821" s="118"/>
      <c r="G821" s="119"/>
      <c r="H821" s="165"/>
      <c r="I821" s="119"/>
      <c r="J821" s="119"/>
      <c r="K821" s="157"/>
    </row>
    <row r="822" spans="1:11" x14ac:dyDescent="0.3">
      <c r="A822" s="127"/>
      <c r="B822" s="109"/>
      <c r="C822" s="161"/>
      <c r="D822" s="161"/>
      <c r="E822" s="161"/>
      <c r="F822" s="118"/>
      <c r="G822" s="119"/>
      <c r="H822" s="165"/>
      <c r="I822" s="119"/>
      <c r="J822" s="119"/>
      <c r="K822" s="157"/>
    </row>
    <row r="823" spans="1:11" x14ac:dyDescent="0.3">
      <c r="A823" s="127"/>
      <c r="B823" s="109"/>
      <c r="C823" s="161"/>
      <c r="D823" s="161"/>
      <c r="E823" s="161"/>
      <c r="F823" s="118"/>
      <c r="G823" s="119"/>
      <c r="H823" s="165"/>
      <c r="I823" s="119"/>
      <c r="J823" s="119"/>
      <c r="K823" s="157"/>
    </row>
    <row r="824" spans="1:11" x14ac:dyDescent="0.3">
      <c r="A824" s="127"/>
      <c r="B824" s="109"/>
      <c r="C824" s="161"/>
      <c r="D824" s="161"/>
      <c r="E824" s="161"/>
      <c r="F824" s="118"/>
      <c r="G824" s="119"/>
      <c r="H824" s="165"/>
      <c r="I824" s="119"/>
      <c r="J824" s="119"/>
      <c r="K824" s="157"/>
    </row>
    <row r="825" spans="1:11" x14ac:dyDescent="0.3">
      <c r="A825" s="127"/>
      <c r="B825" s="109"/>
      <c r="C825" s="161"/>
      <c r="D825" s="161"/>
      <c r="E825" s="161"/>
      <c r="F825" s="118"/>
      <c r="G825" s="119"/>
      <c r="H825" s="165"/>
      <c r="I825" s="119"/>
      <c r="J825" s="119"/>
      <c r="K825" s="157"/>
    </row>
    <row r="826" spans="1:11" x14ac:dyDescent="0.3">
      <c r="A826" s="127"/>
      <c r="B826" s="109"/>
      <c r="C826" s="161"/>
      <c r="D826" s="161"/>
      <c r="E826" s="161"/>
      <c r="F826" s="118"/>
      <c r="G826" s="119"/>
      <c r="H826" s="165"/>
      <c r="I826" s="119"/>
      <c r="J826" s="119"/>
      <c r="K826" s="157"/>
    </row>
    <row r="827" spans="1:11" x14ac:dyDescent="0.3">
      <c r="A827" s="127"/>
      <c r="B827" s="109"/>
      <c r="C827" s="161"/>
      <c r="D827" s="161"/>
      <c r="E827" s="161"/>
      <c r="F827" s="118"/>
      <c r="G827" s="119"/>
      <c r="H827" s="165"/>
      <c r="I827" s="119"/>
      <c r="J827" s="119"/>
      <c r="K827" s="157"/>
    </row>
    <row r="828" spans="1:11" x14ac:dyDescent="0.3">
      <c r="A828" s="127"/>
      <c r="B828" s="109"/>
      <c r="C828" s="161"/>
      <c r="D828" s="161"/>
      <c r="E828" s="161"/>
      <c r="F828" s="118"/>
      <c r="G828" s="119"/>
      <c r="H828" s="165"/>
      <c r="I828" s="119"/>
      <c r="J828" s="119"/>
      <c r="K828" s="157"/>
    </row>
    <row r="829" spans="1:11" x14ac:dyDescent="0.3">
      <c r="A829" s="127"/>
      <c r="B829" s="109"/>
      <c r="C829" s="161"/>
      <c r="D829" s="161"/>
      <c r="E829" s="161"/>
      <c r="F829" s="118"/>
      <c r="G829" s="119"/>
      <c r="H829" s="165"/>
      <c r="I829" s="119"/>
      <c r="J829" s="119"/>
      <c r="K829" s="157"/>
    </row>
    <row r="830" spans="1:11" x14ac:dyDescent="0.3">
      <c r="A830" s="127"/>
      <c r="B830" s="109"/>
      <c r="C830" s="161"/>
      <c r="D830" s="161"/>
      <c r="E830" s="161"/>
      <c r="F830" s="118"/>
      <c r="G830" s="119"/>
      <c r="H830" s="165"/>
      <c r="I830" s="119"/>
      <c r="J830" s="119"/>
      <c r="K830" s="157"/>
    </row>
    <row r="831" spans="1:11" x14ac:dyDescent="0.3">
      <c r="A831" s="127"/>
      <c r="B831" s="109"/>
      <c r="C831" s="161"/>
      <c r="D831" s="161"/>
      <c r="E831" s="161"/>
      <c r="F831" s="118"/>
      <c r="G831" s="119"/>
      <c r="H831" s="165"/>
      <c r="I831" s="119"/>
      <c r="J831" s="119"/>
      <c r="K831" s="157"/>
    </row>
    <row r="832" spans="1:11" x14ac:dyDescent="0.3">
      <c r="A832" s="127"/>
      <c r="B832" s="109"/>
      <c r="C832" s="161"/>
      <c r="D832" s="161"/>
      <c r="E832" s="161"/>
      <c r="F832" s="118"/>
      <c r="G832" s="119"/>
      <c r="H832" s="165"/>
      <c r="I832" s="119"/>
      <c r="J832" s="119"/>
      <c r="K832" s="157"/>
    </row>
    <row r="833" spans="1:11" x14ac:dyDescent="0.3">
      <c r="A833" s="127"/>
      <c r="B833" s="109"/>
      <c r="C833" s="161"/>
      <c r="D833" s="161"/>
      <c r="E833" s="161"/>
      <c r="F833" s="118"/>
      <c r="G833" s="119"/>
      <c r="H833" s="165"/>
      <c r="I833" s="119"/>
      <c r="J833" s="119"/>
      <c r="K833" s="157"/>
    </row>
    <row r="834" spans="1:11" x14ac:dyDescent="0.3">
      <c r="A834" s="127"/>
      <c r="B834" s="109"/>
      <c r="C834" s="161"/>
      <c r="D834" s="161"/>
      <c r="E834" s="161"/>
      <c r="F834" s="118"/>
      <c r="G834" s="119"/>
      <c r="H834" s="165"/>
      <c r="I834" s="119"/>
      <c r="J834" s="119"/>
      <c r="K834" s="157"/>
    </row>
    <row r="835" spans="1:11" x14ac:dyDescent="0.3">
      <c r="A835" s="127"/>
      <c r="B835" s="109"/>
      <c r="C835" s="161"/>
      <c r="D835" s="161"/>
      <c r="E835" s="161"/>
      <c r="F835" s="118"/>
      <c r="G835" s="119"/>
      <c r="H835" s="165"/>
      <c r="I835" s="119"/>
      <c r="J835" s="119"/>
      <c r="K835" s="157"/>
    </row>
    <row r="836" spans="1:11" x14ac:dyDescent="0.3">
      <c r="A836" s="127"/>
      <c r="B836" s="109"/>
      <c r="C836" s="161"/>
      <c r="D836" s="161"/>
      <c r="E836" s="161"/>
      <c r="F836" s="118"/>
      <c r="G836" s="119"/>
      <c r="H836" s="165"/>
      <c r="I836" s="119"/>
      <c r="J836" s="119"/>
      <c r="K836" s="157"/>
    </row>
    <row r="837" spans="1:11" x14ac:dyDescent="0.3">
      <c r="A837" s="127"/>
      <c r="B837" s="109"/>
      <c r="C837" s="161"/>
      <c r="D837" s="161"/>
      <c r="E837" s="161"/>
      <c r="F837" s="118"/>
      <c r="G837" s="119"/>
      <c r="H837" s="165"/>
      <c r="I837" s="119"/>
      <c r="J837" s="119"/>
      <c r="K837" s="157"/>
    </row>
    <row r="838" spans="1:11" x14ac:dyDescent="0.3">
      <c r="A838" s="127"/>
      <c r="B838" s="109"/>
      <c r="C838" s="161"/>
      <c r="D838" s="161"/>
      <c r="E838" s="161"/>
      <c r="F838" s="118"/>
      <c r="G838" s="119"/>
      <c r="H838" s="165"/>
      <c r="I838" s="119"/>
      <c r="J838" s="119"/>
      <c r="K838" s="157"/>
    </row>
    <row r="839" spans="1:11" x14ac:dyDescent="0.3">
      <c r="A839" s="127"/>
      <c r="B839" s="109"/>
      <c r="C839" s="161"/>
      <c r="D839" s="161"/>
      <c r="E839" s="161"/>
      <c r="F839" s="118"/>
      <c r="G839" s="119"/>
      <c r="H839" s="165"/>
      <c r="I839" s="119"/>
      <c r="J839" s="119"/>
      <c r="K839" s="157"/>
    </row>
    <row r="840" spans="1:11" x14ac:dyDescent="0.3">
      <c r="A840" s="127"/>
      <c r="B840" s="109"/>
      <c r="C840" s="161"/>
      <c r="D840" s="161"/>
      <c r="E840" s="161"/>
      <c r="F840" s="118"/>
      <c r="G840" s="119"/>
      <c r="H840" s="165"/>
      <c r="I840" s="119"/>
      <c r="J840" s="119"/>
      <c r="K840" s="157"/>
    </row>
    <row r="841" spans="1:11" x14ac:dyDescent="0.3">
      <c r="A841" s="127"/>
      <c r="B841" s="109"/>
      <c r="C841" s="161"/>
      <c r="D841" s="161"/>
      <c r="E841" s="161"/>
      <c r="F841" s="118"/>
      <c r="G841" s="119"/>
      <c r="H841" s="165"/>
      <c r="I841" s="119"/>
      <c r="J841" s="119"/>
      <c r="K841" s="157"/>
    </row>
    <row r="842" spans="1:11" x14ac:dyDescent="0.3">
      <c r="A842" s="127"/>
      <c r="B842" s="109"/>
      <c r="C842" s="161"/>
      <c r="D842" s="161"/>
      <c r="E842" s="161"/>
      <c r="F842" s="118"/>
      <c r="G842" s="119"/>
      <c r="H842" s="165"/>
      <c r="I842" s="119"/>
      <c r="J842" s="119"/>
      <c r="K842" s="157"/>
    </row>
    <row r="843" spans="1:11" x14ac:dyDescent="0.3">
      <c r="A843" s="127"/>
      <c r="B843" s="109"/>
      <c r="C843" s="161"/>
      <c r="D843" s="161"/>
      <c r="E843" s="161"/>
      <c r="F843" s="118"/>
      <c r="G843" s="119"/>
      <c r="H843" s="165"/>
      <c r="I843" s="119"/>
      <c r="J843" s="119"/>
      <c r="K843" s="157"/>
    </row>
    <row r="844" spans="1:11" x14ac:dyDescent="0.3">
      <c r="A844" s="127"/>
      <c r="B844" s="109"/>
      <c r="C844" s="161"/>
      <c r="D844" s="161"/>
      <c r="E844" s="161"/>
      <c r="F844" s="118"/>
      <c r="G844" s="119"/>
      <c r="H844" s="165"/>
      <c r="I844" s="119"/>
      <c r="J844" s="119"/>
      <c r="K844" s="157"/>
    </row>
    <row r="845" spans="1:11" x14ac:dyDescent="0.3">
      <c r="A845" s="127"/>
      <c r="B845" s="109"/>
      <c r="C845" s="161"/>
      <c r="D845" s="161"/>
      <c r="E845" s="161"/>
      <c r="F845" s="118"/>
      <c r="G845" s="119"/>
      <c r="H845" s="165"/>
      <c r="I845" s="119"/>
      <c r="J845" s="119"/>
      <c r="K845" s="157"/>
    </row>
    <row r="846" spans="1:11" x14ac:dyDescent="0.3">
      <c r="A846" s="127"/>
      <c r="B846" s="109"/>
      <c r="C846" s="161"/>
      <c r="D846" s="161"/>
      <c r="E846" s="161"/>
      <c r="F846" s="118"/>
      <c r="G846" s="119"/>
      <c r="H846" s="165"/>
      <c r="I846" s="119"/>
      <c r="J846" s="119"/>
      <c r="K846" s="157"/>
    </row>
    <row r="847" spans="1:11" x14ac:dyDescent="0.3">
      <c r="A847" s="127"/>
      <c r="B847" s="109"/>
      <c r="C847" s="161"/>
      <c r="D847" s="161"/>
      <c r="E847" s="161"/>
      <c r="F847" s="118"/>
      <c r="G847" s="119"/>
      <c r="H847" s="165"/>
      <c r="I847" s="119"/>
      <c r="J847" s="119"/>
      <c r="K847" s="157"/>
    </row>
    <row r="848" spans="1:11" x14ac:dyDescent="0.3">
      <c r="A848" s="127"/>
      <c r="B848" s="109"/>
      <c r="C848" s="161"/>
      <c r="D848" s="161"/>
      <c r="E848" s="161"/>
      <c r="F848" s="118"/>
      <c r="G848" s="119"/>
      <c r="H848" s="165"/>
      <c r="I848" s="119"/>
      <c r="J848" s="119"/>
      <c r="K848" s="157"/>
    </row>
    <row r="849" spans="1:11" x14ac:dyDescent="0.3">
      <c r="A849" s="127"/>
      <c r="B849" s="109"/>
      <c r="C849" s="161"/>
      <c r="D849" s="161"/>
      <c r="E849" s="161"/>
      <c r="F849" s="118"/>
      <c r="G849" s="119"/>
      <c r="H849" s="165"/>
      <c r="I849" s="119"/>
      <c r="J849" s="119"/>
      <c r="K849" s="157"/>
    </row>
    <row r="850" spans="1:11" x14ac:dyDescent="0.3">
      <c r="A850" s="127"/>
      <c r="B850" s="109"/>
      <c r="C850" s="161"/>
      <c r="D850" s="161"/>
      <c r="E850" s="161"/>
      <c r="F850" s="118"/>
      <c r="G850" s="119"/>
      <c r="H850" s="165"/>
      <c r="I850" s="119"/>
      <c r="J850" s="119"/>
      <c r="K850" s="157"/>
    </row>
    <row r="851" spans="1:11" x14ac:dyDescent="0.3">
      <c r="A851" s="127"/>
      <c r="B851" s="109"/>
      <c r="C851" s="161"/>
      <c r="D851" s="161"/>
      <c r="E851" s="161"/>
      <c r="F851" s="118"/>
      <c r="G851" s="119"/>
      <c r="H851" s="165"/>
      <c r="I851" s="119"/>
      <c r="J851" s="119"/>
      <c r="K851" s="157"/>
    </row>
    <row r="852" spans="1:11" x14ac:dyDescent="0.3">
      <c r="A852" s="127"/>
      <c r="B852" s="109"/>
      <c r="C852" s="161"/>
      <c r="D852" s="161"/>
      <c r="E852" s="161"/>
      <c r="F852" s="118"/>
      <c r="G852" s="119"/>
      <c r="H852" s="165"/>
      <c r="I852" s="119"/>
      <c r="J852" s="119"/>
      <c r="K852" s="157"/>
    </row>
    <row r="853" spans="1:11" x14ac:dyDescent="0.3">
      <c r="A853" s="127"/>
      <c r="B853" s="109"/>
      <c r="C853" s="161"/>
      <c r="D853" s="161"/>
      <c r="E853" s="161"/>
      <c r="F853" s="118"/>
      <c r="G853" s="119"/>
      <c r="H853" s="165"/>
      <c r="I853" s="119"/>
      <c r="J853" s="119"/>
      <c r="K853" s="157"/>
    </row>
    <row r="854" spans="1:11" x14ac:dyDescent="0.3">
      <c r="A854" s="127"/>
      <c r="B854" s="109"/>
      <c r="C854" s="161"/>
      <c r="D854" s="161"/>
      <c r="E854" s="161"/>
      <c r="F854" s="118"/>
      <c r="G854" s="119"/>
      <c r="H854" s="165"/>
      <c r="I854" s="119"/>
      <c r="J854" s="119"/>
      <c r="K854" s="157"/>
    </row>
    <row r="855" spans="1:11" x14ac:dyDescent="0.3">
      <c r="A855" s="127"/>
      <c r="B855" s="109"/>
      <c r="C855" s="161"/>
      <c r="D855" s="161"/>
      <c r="E855" s="161"/>
      <c r="F855" s="118"/>
      <c r="G855" s="119"/>
      <c r="H855" s="165"/>
      <c r="I855" s="119"/>
      <c r="J855" s="119"/>
      <c r="K855" s="157"/>
    </row>
    <row r="856" spans="1:11" x14ac:dyDescent="0.3">
      <c r="A856" s="127"/>
      <c r="B856" s="109"/>
      <c r="C856" s="161"/>
      <c r="D856" s="161"/>
      <c r="E856" s="161"/>
      <c r="F856" s="118"/>
      <c r="G856" s="119"/>
      <c r="H856" s="165"/>
      <c r="I856" s="119"/>
      <c r="J856" s="119"/>
      <c r="K856" s="157"/>
    </row>
    <row r="857" spans="1:11" x14ac:dyDescent="0.3">
      <c r="A857" s="127"/>
      <c r="B857" s="109"/>
      <c r="C857" s="161"/>
      <c r="D857" s="161"/>
      <c r="E857" s="161"/>
      <c r="F857" s="118"/>
      <c r="G857" s="119"/>
      <c r="H857" s="165"/>
      <c r="I857" s="119"/>
      <c r="J857" s="119"/>
      <c r="K857" s="157"/>
    </row>
    <row r="858" spans="1:11" x14ac:dyDescent="0.3">
      <c r="A858" s="127"/>
      <c r="B858" s="109"/>
      <c r="C858" s="161"/>
      <c r="D858" s="161"/>
      <c r="E858" s="161"/>
      <c r="F858" s="118"/>
      <c r="G858" s="119"/>
      <c r="H858" s="165"/>
      <c r="I858" s="119"/>
      <c r="J858" s="119"/>
      <c r="K858" s="157"/>
    </row>
    <row r="859" spans="1:11" x14ac:dyDescent="0.3">
      <c r="A859" s="127"/>
      <c r="B859" s="109"/>
      <c r="C859" s="161"/>
      <c r="D859" s="161"/>
      <c r="E859" s="161"/>
      <c r="F859" s="118"/>
      <c r="G859" s="119"/>
      <c r="H859" s="165"/>
      <c r="I859" s="119"/>
      <c r="J859" s="119"/>
      <c r="K859" s="157"/>
    </row>
    <row r="860" spans="1:11" x14ac:dyDescent="0.3">
      <c r="A860" s="127"/>
      <c r="B860" s="109"/>
      <c r="C860" s="161"/>
      <c r="D860" s="161"/>
      <c r="E860" s="161"/>
      <c r="F860" s="118"/>
      <c r="G860" s="119"/>
      <c r="H860" s="165"/>
      <c r="I860" s="119"/>
      <c r="J860" s="119"/>
      <c r="K860" s="157"/>
    </row>
    <row r="861" spans="1:11" x14ac:dyDescent="0.3">
      <c r="A861" s="127"/>
      <c r="B861" s="109"/>
      <c r="C861" s="161"/>
      <c r="D861" s="161"/>
      <c r="E861" s="161"/>
      <c r="F861" s="118"/>
      <c r="G861" s="119"/>
      <c r="H861" s="165"/>
      <c r="I861" s="119"/>
      <c r="J861" s="119"/>
      <c r="K861" s="157"/>
    </row>
    <row r="862" spans="1:11" x14ac:dyDescent="0.3">
      <c r="A862" s="127"/>
      <c r="B862" s="109"/>
      <c r="C862" s="161"/>
      <c r="D862" s="161"/>
      <c r="E862" s="161"/>
      <c r="F862" s="118"/>
      <c r="G862" s="119"/>
      <c r="H862" s="165"/>
      <c r="I862" s="119"/>
      <c r="J862" s="119"/>
      <c r="K862" s="157"/>
    </row>
    <row r="863" spans="1:11" x14ac:dyDescent="0.3">
      <c r="A863" s="127"/>
      <c r="B863" s="109"/>
      <c r="C863" s="161"/>
      <c r="D863" s="161"/>
      <c r="E863" s="161"/>
      <c r="F863" s="118"/>
      <c r="G863" s="119"/>
      <c r="H863" s="165"/>
      <c r="I863" s="119"/>
      <c r="J863" s="119"/>
      <c r="K863" s="157"/>
    </row>
    <row r="864" spans="1:11" x14ac:dyDescent="0.3">
      <c r="A864" s="127"/>
      <c r="B864" s="109"/>
      <c r="C864" s="161"/>
      <c r="D864" s="161"/>
      <c r="E864" s="161"/>
      <c r="F864" s="118"/>
      <c r="G864" s="119"/>
      <c r="H864" s="165"/>
      <c r="I864" s="119"/>
      <c r="J864" s="119"/>
      <c r="K864" s="157"/>
    </row>
    <row r="865" spans="1:11" x14ac:dyDescent="0.3">
      <c r="A865" s="127"/>
      <c r="B865" s="109"/>
      <c r="C865" s="161"/>
      <c r="D865" s="161"/>
      <c r="E865" s="161"/>
      <c r="F865" s="118"/>
      <c r="G865" s="119"/>
      <c r="H865" s="165"/>
      <c r="I865" s="119"/>
      <c r="J865" s="119"/>
      <c r="K865" s="157"/>
    </row>
    <row r="866" spans="1:11" x14ac:dyDescent="0.3">
      <c r="A866" s="127"/>
      <c r="B866" s="109"/>
      <c r="C866" s="161"/>
      <c r="D866" s="161"/>
      <c r="E866" s="161"/>
      <c r="F866" s="118"/>
      <c r="G866" s="119"/>
      <c r="H866" s="165"/>
      <c r="I866" s="119"/>
      <c r="J866" s="119"/>
      <c r="K866" s="157"/>
    </row>
    <row r="867" spans="1:11" x14ac:dyDescent="0.3">
      <c r="A867" s="127"/>
      <c r="B867" s="109"/>
      <c r="C867" s="161"/>
      <c r="D867" s="161"/>
      <c r="E867" s="161"/>
      <c r="F867" s="118"/>
      <c r="G867" s="119"/>
      <c r="H867" s="165"/>
      <c r="I867" s="119"/>
      <c r="J867" s="119"/>
      <c r="K867" s="157"/>
    </row>
    <row r="868" spans="1:11" x14ac:dyDescent="0.3">
      <c r="A868" s="127"/>
      <c r="B868" s="109"/>
      <c r="C868" s="161"/>
      <c r="D868" s="161"/>
      <c r="E868" s="161"/>
      <c r="F868" s="118"/>
      <c r="G868" s="119"/>
      <c r="H868" s="165"/>
      <c r="I868" s="119"/>
      <c r="J868" s="119"/>
      <c r="K868" s="157"/>
    </row>
    <row r="869" spans="1:11" x14ac:dyDescent="0.3">
      <c r="A869" s="127"/>
      <c r="B869" s="109"/>
      <c r="C869" s="161"/>
      <c r="D869" s="161"/>
      <c r="E869" s="161"/>
      <c r="F869" s="118"/>
      <c r="G869" s="119"/>
      <c r="H869" s="165"/>
      <c r="I869" s="119"/>
      <c r="J869" s="119"/>
      <c r="K869" s="157"/>
    </row>
    <row r="870" spans="1:11" x14ac:dyDescent="0.3">
      <c r="A870" s="127"/>
      <c r="B870" s="109"/>
      <c r="C870" s="161"/>
      <c r="D870" s="161"/>
      <c r="E870" s="161"/>
      <c r="F870" s="118"/>
      <c r="G870" s="119"/>
      <c r="H870" s="165"/>
      <c r="I870" s="119"/>
      <c r="J870" s="119"/>
      <c r="K870" s="157"/>
    </row>
    <row r="871" spans="1:11" x14ac:dyDescent="0.3">
      <c r="A871" s="127"/>
      <c r="B871" s="109"/>
      <c r="C871" s="161"/>
      <c r="D871" s="161"/>
      <c r="E871" s="161"/>
      <c r="F871" s="118"/>
      <c r="G871" s="119"/>
      <c r="H871" s="165"/>
      <c r="I871" s="119"/>
      <c r="J871" s="119"/>
      <c r="K871" s="157"/>
    </row>
    <row r="872" spans="1:11" x14ac:dyDescent="0.3">
      <c r="A872" s="127"/>
      <c r="B872" s="109"/>
      <c r="C872" s="161"/>
      <c r="D872" s="161"/>
      <c r="E872" s="161"/>
      <c r="F872" s="118"/>
      <c r="G872" s="119"/>
      <c r="H872" s="165"/>
      <c r="I872" s="119"/>
      <c r="J872" s="119"/>
      <c r="K872" s="157"/>
    </row>
    <row r="873" spans="1:11" x14ac:dyDescent="0.3">
      <c r="A873" s="127"/>
      <c r="B873" s="109"/>
      <c r="C873" s="161"/>
      <c r="D873" s="161"/>
      <c r="E873" s="161"/>
      <c r="F873" s="118"/>
      <c r="G873" s="119"/>
      <c r="H873" s="165"/>
      <c r="I873" s="119"/>
      <c r="J873" s="119"/>
      <c r="K873" s="157"/>
    </row>
    <row r="874" spans="1:11" x14ac:dyDescent="0.3">
      <c r="A874" s="127"/>
      <c r="B874" s="109"/>
      <c r="C874" s="161"/>
      <c r="D874" s="161"/>
      <c r="E874" s="161"/>
      <c r="F874" s="118"/>
      <c r="G874" s="119"/>
      <c r="H874" s="165"/>
      <c r="I874" s="119"/>
      <c r="J874" s="119"/>
      <c r="K874" s="157"/>
    </row>
    <row r="875" spans="1:11" x14ac:dyDescent="0.3">
      <c r="A875" s="127"/>
      <c r="B875" s="109"/>
      <c r="C875" s="161"/>
      <c r="D875" s="161"/>
      <c r="E875" s="161"/>
      <c r="F875" s="118"/>
      <c r="G875" s="119"/>
      <c r="H875" s="165"/>
      <c r="I875" s="119"/>
      <c r="J875" s="119"/>
      <c r="K875" s="157"/>
    </row>
    <row r="876" spans="1:11" x14ac:dyDescent="0.3">
      <c r="A876" s="127"/>
      <c r="B876" s="109"/>
      <c r="C876" s="161"/>
      <c r="D876" s="161"/>
      <c r="E876" s="161"/>
      <c r="F876" s="118"/>
      <c r="G876" s="119"/>
      <c r="H876" s="165"/>
      <c r="I876" s="119"/>
      <c r="J876" s="119"/>
      <c r="K876" s="157"/>
    </row>
    <row r="877" spans="1:11" x14ac:dyDescent="0.3">
      <c r="A877" s="127"/>
      <c r="B877" s="109"/>
      <c r="C877" s="161"/>
      <c r="D877" s="161"/>
      <c r="E877" s="161"/>
      <c r="F877" s="118"/>
      <c r="G877" s="119"/>
      <c r="H877" s="165"/>
      <c r="I877" s="119"/>
      <c r="J877" s="119"/>
      <c r="K877" s="157"/>
    </row>
    <row r="878" spans="1:11" x14ac:dyDescent="0.3">
      <c r="A878" s="127"/>
      <c r="B878" s="109"/>
      <c r="C878" s="161"/>
      <c r="D878" s="161"/>
      <c r="E878" s="161"/>
      <c r="F878" s="118"/>
      <c r="G878" s="119"/>
      <c r="H878" s="165"/>
      <c r="I878" s="119"/>
      <c r="J878" s="119"/>
      <c r="K878" s="157"/>
    </row>
    <row r="879" spans="1:11" x14ac:dyDescent="0.3">
      <c r="A879" s="127"/>
      <c r="B879" s="109"/>
      <c r="C879" s="161"/>
      <c r="D879" s="161"/>
      <c r="E879" s="161"/>
      <c r="F879" s="118"/>
      <c r="G879" s="119"/>
      <c r="H879" s="165"/>
      <c r="I879" s="119"/>
      <c r="J879" s="119"/>
      <c r="K879" s="157"/>
    </row>
    <row r="880" spans="1:11" x14ac:dyDescent="0.3">
      <c r="A880" s="127"/>
      <c r="B880" s="109"/>
      <c r="C880" s="161"/>
      <c r="D880" s="161"/>
      <c r="E880" s="161"/>
      <c r="F880" s="118"/>
      <c r="G880" s="119"/>
      <c r="H880" s="165"/>
      <c r="I880" s="119"/>
      <c r="J880" s="119"/>
      <c r="K880" s="157"/>
    </row>
    <row r="881" spans="1:11" x14ac:dyDescent="0.3">
      <c r="A881" s="127"/>
      <c r="B881" s="109"/>
      <c r="C881" s="161"/>
      <c r="D881" s="161"/>
      <c r="E881" s="161"/>
      <c r="F881" s="118"/>
      <c r="G881" s="119"/>
      <c r="H881" s="165"/>
      <c r="I881" s="119"/>
      <c r="J881" s="119"/>
      <c r="K881" s="157"/>
    </row>
    <row r="882" spans="1:11" x14ac:dyDescent="0.3">
      <c r="A882" s="127"/>
      <c r="B882" s="109"/>
      <c r="C882" s="161"/>
      <c r="D882" s="161"/>
      <c r="E882" s="161"/>
      <c r="F882" s="118"/>
      <c r="G882" s="119"/>
      <c r="H882" s="165"/>
      <c r="I882" s="119"/>
      <c r="J882" s="119"/>
      <c r="K882" s="157"/>
    </row>
    <row r="883" spans="1:11" x14ac:dyDescent="0.3">
      <c r="A883" s="127"/>
      <c r="B883" s="109"/>
      <c r="C883" s="161"/>
      <c r="D883" s="161"/>
      <c r="E883" s="161"/>
      <c r="F883" s="118"/>
      <c r="G883" s="119"/>
      <c r="H883" s="165"/>
      <c r="I883" s="119"/>
      <c r="J883" s="119"/>
      <c r="K883" s="157"/>
    </row>
    <row r="884" spans="1:11" x14ac:dyDescent="0.3">
      <c r="A884" s="127"/>
      <c r="B884" s="109"/>
      <c r="C884" s="161"/>
      <c r="D884" s="161"/>
      <c r="E884" s="161"/>
      <c r="F884" s="118"/>
      <c r="G884" s="119"/>
      <c r="H884" s="165"/>
      <c r="I884" s="119"/>
      <c r="J884" s="119"/>
      <c r="K884" s="157"/>
    </row>
    <row r="885" spans="1:11" x14ac:dyDescent="0.3">
      <c r="A885" s="127"/>
      <c r="B885" s="109"/>
      <c r="C885" s="161"/>
      <c r="D885" s="161"/>
      <c r="E885" s="161"/>
      <c r="F885" s="118"/>
      <c r="G885" s="119"/>
      <c r="H885" s="165"/>
      <c r="I885" s="119"/>
      <c r="J885" s="119"/>
      <c r="K885" s="157"/>
    </row>
    <row r="886" spans="1:11" x14ac:dyDescent="0.3">
      <c r="A886" s="127"/>
      <c r="B886" s="109"/>
      <c r="C886" s="161"/>
      <c r="D886" s="161"/>
      <c r="E886" s="161"/>
      <c r="F886" s="118"/>
      <c r="G886" s="119"/>
      <c r="H886" s="165"/>
      <c r="I886" s="119"/>
      <c r="J886" s="119"/>
      <c r="K886" s="157"/>
    </row>
    <row r="887" spans="1:11" x14ac:dyDescent="0.3">
      <c r="A887" s="127"/>
      <c r="B887" s="109"/>
      <c r="C887" s="161"/>
      <c r="D887" s="161"/>
      <c r="E887" s="161"/>
      <c r="F887" s="118"/>
      <c r="G887" s="119"/>
      <c r="H887" s="165"/>
      <c r="I887" s="119"/>
      <c r="J887" s="119"/>
      <c r="K887" s="157"/>
    </row>
    <row r="888" spans="1:11" x14ac:dyDescent="0.3">
      <c r="A888" s="127"/>
      <c r="B888" s="109"/>
      <c r="C888" s="161"/>
      <c r="D888" s="161"/>
      <c r="E888" s="161"/>
      <c r="F888" s="118"/>
      <c r="G888" s="119"/>
      <c r="H888" s="165"/>
      <c r="I888" s="119"/>
      <c r="J888" s="119"/>
      <c r="K888" s="157"/>
    </row>
    <row r="889" spans="1:11" x14ac:dyDescent="0.3">
      <c r="A889" s="127"/>
      <c r="B889" s="109"/>
      <c r="C889" s="161"/>
      <c r="D889" s="161"/>
      <c r="E889" s="161"/>
      <c r="F889" s="118"/>
      <c r="G889" s="119"/>
      <c r="H889" s="165"/>
      <c r="I889" s="119"/>
      <c r="J889" s="119"/>
      <c r="K889" s="157"/>
    </row>
    <row r="890" spans="1:11" x14ac:dyDescent="0.3">
      <c r="A890" s="127"/>
      <c r="B890" s="109"/>
      <c r="C890" s="161"/>
      <c r="D890" s="161"/>
      <c r="E890" s="161"/>
      <c r="F890" s="118"/>
      <c r="G890" s="119"/>
      <c r="H890" s="165"/>
      <c r="I890" s="119"/>
      <c r="J890" s="119"/>
      <c r="K890" s="157"/>
    </row>
    <row r="891" spans="1:11" x14ac:dyDescent="0.3">
      <c r="A891" s="127"/>
      <c r="B891" s="109"/>
      <c r="C891" s="161"/>
      <c r="D891" s="161"/>
      <c r="E891" s="161"/>
      <c r="F891" s="118"/>
      <c r="G891" s="119"/>
      <c r="H891" s="165"/>
      <c r="I891" s="119"/>
      <c r="J891" s="119"/>
      <c r="K891" s="157"/>
    </row>
    <row r="892" spans="1:11" x14ac:dyDescent="0.3">
      <c r="A892" s="127"/>
      <c r="B892" s="109"/>
      <c r="C892" s="161"/>
      <c r="D892" s="161"/>
      <c r="E892" s="161"/>
      <c r="F892" s="118"/>
      <c r="G892" s="119"/>
      <c r="H892" s="165"/>
      <c r="I892" s="119"/>
      <c r="J892" s="119"/>
      <c r="K892" s="157"/>
    </row>
    <row r="893" spans="1:11" x14ac:dyDescent="0.3">
      <c r="A893" s="127"/>
      <c r="B893" s="109"/>
      <c r="C893" s="161"/>
      <c r="D893" s="161"/>
      <c r="E893" s="161"/>
      <c r="F893" s="118"/>
      <c r="G893" s="119"/>
      <c r="H893" s="165"/>
      <c r="I893" s="119"/>
      <c r="J893" s="119"/>
      <c r="K893" s="157"/>
    </row>
    <row r="894" spans="1:11" x14ac:dyDescent="0.3">
      <c r="A894" s="127"/>
      <c r="B894" s="109"/>
      <c r="C894" s="161"/>
      <c r="D894" s="161"/>
      <c r="E894" s="161"/>
      <c r="F894" s="118"/>
      <c r="G894" s="119"/>
      <c r="H894" s="165"/>
      <c r="I894" s="119"/>
      <c r="J894" s="119"/>
      <c r="K894" s="157"/>
    </row>
    <row r="895" spans="1:11" x14ac:dyDescent="0.3">
      <c r="A895" s="127"/>
      <c r="B895" s="109"/>
      <c r="C895" s="161"/>
      <c r="D895" s="161"/>
      <c r="E895" s="161"/>
      <c r="F895" s="118"/>
      <c r="G895" s="119"/>
      <c r="H895" s="165"/>
      <c r="I895" s="119"/>
      <c r="J895" s="119"/>
      <c r="K895" s="157"/>
    </row>
    <row r="896" spans="1:11" x14ac:dyDescent="0.3">
      <c r="A896" s="127"/>
      <c r="B896" s="109"/>
      <c r="C896" s="161"/>
      <c r="D896" s="161"/>
      <c r="E896" s="161"/>
      <c r="F896" s="118"/>
      <c r="G896" s="119"/>
      <c r="H896" s="165"/>
      <c r="I896" s="119"/>
      <c r="J896" s="119"/>
      <c r="K896" s="157"/>
    </row>
    <row r="897" spans="1:11" x14ac:dyDescent="0.3">
      <c r="A897" s="127"/>
      <c r="B897" s="109"/>
      <c r="C897" s="161"/>
      <c r="D897" s="161"/>
      <c r="E897" s="161"/>
      <c r="F897" s="118"/>
      <c r="G897" s="119"/>
      <c r="H897" s="165"/>
      <c r="I897" s="119"/>
      <c r="J897" s="119"/>
      <c r="K897" s="157"/>
    </row>
    <row r="898" spans="1:11" x14ac:dyDescent="0.3">
      <c r="A898" s="127"/>
      <c r="B898" s="109"/>
      <c r="C898" s="161"/>
      <c r="D898" s="161"/>
      <c r="E898" s="161"/>
      <c r="F898" s="118"/>
      <c r="G898" s="119"/>
      <c r="H898" s="165"/>
      <c r="I898" s="119"/>
      <c r="J898" s="119"/>
      <c r="K898" s="157"/>
    </row>
    <row r="899" spans="1:11" x14ac:dyDescent="0.3">
      <c r="A899" s="127"/>
      <c r="B899" s="109"/>
      <c r="C899" s="161"/>
      <c r="D899" s="161"/>
      <c r="E899" s="161"/>
      <c r="F899" s="118"/>
      <c r="G899" s="119"/>
      <c r="H899" s="165"/>
      <c r="I899" s="119"/>
      <c r="J899" s="119"/>
      <c r="K899" s="157"/>
    </row>
    <row r="900" spans="1:11" x14ac:dyDescent="0.3">
      <c r="A900" s="127"/>
      <c r="B900" s="109"/>
      <c r="C900" s="161"/>
      <c r="D900" s="161"/>
      <c r="E900" s="161"/>
      <c r="F900" s="118"/>
      <c r="G900" s="119"/>
      <c r="H900" s="165"/>
      <c r="I900" s="119"/>
      <c r="J900" s="119"/>
      <c r="K900" s="157"/>
    </row>
    <row r="901" spans="1:11" x14ac:dyDescent="0.3">
      <c r="A901" s="127"/>
      <c r="B901" s="109"/>
      <c r="C901" s="161"/>
      <c r="D901" s="161"/>
      <c r="E901" s="161"/>
      <c r="F901" s="118"/>
      <c r="G901" s="119"/>
      <c r="H901" s="165"/>
      <c r="I901" s="119"/>
      <c r="J901" s="119"/>
      <c r="K901" s="157"/>
    </row>
    <row r="902" spans="1:11" x14ac:dyDescent="0.3">
      <c r="A902" s="127"/>
      <c r="B902" s="109"/>
      <c r="C902" s="161"/>
      <c r="D902" s="161"/>
      <c r="E902" s="161"/>
      <c r="F902" s="118"/>
      <c r="G902" s="119"/>
      <c r="H902" s="165"/>
      <c r="I902" s="119"/>
      <c r="J902" s="119"/>
      <c r="K902" s="157"/>
    </row>
    <row r="903" spans="1:11" x14ac:dyDescent="0.3">
      <c r="A903" s="127"/>
      <c r="B903" s="109"/>
      <c r="C903" s="161"/>
      <c r="D903" s="161"/>
      <c r="E903" s="161"/>
      <c r="F903" s="118"/>
      <c r="G903" s="119"/>
      <c r="H903" s="165"/>
      <c r="I903" s="119"/>
      <c r="J903" s="119"/>
      <c r="K903" s="157"/>
    </row>
    <row r="904" spans="1:11" x14ac:dyDescent="0.3">
      <c r="A904" s="127"/>
      <c r="B904" s="109"/>
      <c r="C904" s="161"/>
      <c r="D904" s="161"/>
      <c r="E904" s="161"/>
      <c r="F904" s="118"/>
      <c r="G904" s="119"/>
      <c r="H904" s="165"/>
      <c r="I904" s="119"/>
      <c r="J904" s="119"/>
      <c r="K904" s="157"/>
    </row>
    <row r="905" spans="1:11" x14ac:dyDescent="0.3">
      <c r="A905" s="127"/>
      <c r="B905" s="109"/>
      <c r="C905" s="161"/>
      <c r="D905" s="161"/>
      <c r="E905" s="161"/>
      <c r="F905" s="118"/>
      <c r="G905" s="119"/>
      <c r="H905" s="165"/>
      <c r="I905" s="119"/>
      <c r="J905" s="119"/>
      <c r="K905" s="157"/>
    </row>
    <row r="906" spans="1:11" x14ac:dyDescent="0.3">
      <c r="A906" s="127"/>
      <c r="B906" s="109"/>
      <c r="C906" s="161"/>
      <c r="D906" s="161"/>
      <c r="E906" s="161"/>
      <c r="F906" s="118"/>
      <c r="G906" s="119"/>
      <c r="H906" s="165"/>
      <c r="I906" s="119"/>
      <c r="J906" s="119"/>
      <c r="K906" s="157"/>
    </row>
    <row r="907" spans="1:11" x14ac:dyDescent="0.3">
      <c r="A907" s="127"/>
      <c r="B907" s="109"/>
      <c r="C907" s="161"/>
      <c r="D907" s="161"/>
      <c r="E907" s="161"/>
      <c r="F907" s="118"/>
      <c r="G907" s="119"/>
      <c r="H907" s="165"/>
      <c r="I907" s="119"/>
      <c r="J907" s="119"/>
      <c r="K907" s="157"/>
    </row>
    <row r="908" spans="1:11" x14ac:dyDescent="0.3">
      <c r="A908" s="127"/>
      <c r="B908" s="109"/>
      <c r="C908" s="161"/>
      <c r="D908" s="161"/>
      <c r="E908" s="161"/>
      <c r="F908" s="118"/>
      <c r="G908" s="119"/>
      <c r="H908" s="165"/>
      <c r="I908" s="119"/>
      <c r="J908" s="119"/>
      <c r="K908" s="157"/>
    </row>
    <row r="909" spans="1:11" x14ac:dyDescent="0.3">
      <c r="A909" s="127"/>
      <c r="B909" s="109"/>
      <c r="C909" s="161"/>
      <c r="D909" s="161"/>
      <c r="E909" s="161"/>
      <c r="F909" s="118"/>
      <c r="G909" s="119"/>
      <c r="H909" s="165"/>
      <c r="I909" s="119"/>
      <c r="J909" s="119"/>
      <c r="K909" s="157"/>
    </row>
    <row r="910" spans="1:11" x14ac:dyDescent="0.3">
      <c r="A910" s="127"/>
      <c r="B910" s="109"/>
      <c r="C910" s="161"/>
      <c r="D910" s="161"/>
      <c r="E910" s="161"/>
      <c r="F910" s="118"/>
      <c r="G910" s="119"/>
      <c r="H910" s="165"/>
      <c r="I910" s="119"/>
      <c r="J910" s="119"/>
      <c r="K910" s="157"/>
    </row>
    <row r="911" spans="1:11" x14ac:dyDescent="0.3">
      <c r="A911" s="127"/>
      <c r="B911" s="109"/>
      <c r="C911" s="161"/>
      <c r="D911" s="161"/>
      <c r="E911" s="161"/>
      <c r="F911" s="118"/>
      <c r="G911" s="119"/>
      <c r="H911" s="165"/>
      <c r="I911" s="119"/>
      <c r="J911" s="119"/>
      <c r="K911" s="157"/>
    </row>
    <row r="912" spans="1:11" x14ac:dyDescent="0.3">
      <c r="A912" s="127"/>
      <c r="B912" s="109"/>
      <c r="C912" s="161"/>
      <c r="D912" s="161"/>
      <c r="E912" s="161"/>
      <c r="F912" s="118"/>
      <c r="G912" s="119"/>
      <c r="H912" s="165"/>
      <c r="I912" s="119"/>
      <c r="J912" s="119"/>
      <c r="K912" s="157"/>
    </row>
    <row r="913" spans="1:11" x14ac:dyDescent="0.3">
      <c r="A913" s="127"/>
      <c r="B913" s="109"/>
      <c r="C913" s="161"/>
      <c r="D913" s="161"/>
      <c r="E913" s="161"/>
      <c r="F913" s="118"/>
      <c r="G913" s="119"/>
      <c r="H913" s="165"/>
      <c r="I913" s="119"/>
      <c r="J913" s="119"/>
      <c r="K913" s="157"/>
    </row>
    <row r="914" spans="1:11" x14ac:dyDescent="0.3">
      <c r="A914" s="127"/>
      <c r="B914" s="109"/>
      <c r="C914" s="161"/>
      <c r="D914" s="161"/>
      <c r="E914" s="161"/>
      <c r="F914" s="118"/>
      <c r="G914" s="119"/>
      <c r="H914" s="165"/>
      <c r="I914" s="119"/>
      <c r="J914" s="119"/>
      <c r="K914" s="157"/>
    </row>
    <row r="915" spans="1:11" x14ac:dyDescent="0.3">
      <c r="A915" s="127"/>
      <c r="B915" s="109"/>
      <c r="C915" s="161"/>
      <c r="D915" s="161"/>
      <c r="E915" s="161"/>
      <c r="F915" s="118"/>
      <c r="G915" s="119"/>
      <c r="H915" s="165"/>
      <c r="I915" s="119"/>
      <c r="J915" s="119"/>
      <c r="K915" s="157"/>
    </row>
    <row r="916" spans="1:11" x14ac:dyDescent="0.3">
      <c r="A916" s="127"/>
      <c r="B916" s="109"/>
      <c r="C916" s="161"/>
      <c r="D916" s="161"/>
      <c r="E916" s="161"/>
      <c r="F916" s="118"/>
      <c r="G916" s="119"/>
      <c r="H916" s="165"/>
      <c r="I916" s="119"/>
      <c r="J916" s="119"/>
      <c r="K916" s="157"/>
    </row>
    <row r="917" spans="1:11" x14ac:dyDescent="0.3">
      <c r="A917" s="127"/>
      <c r="B917" s="109"/>
      <c r="C917" s="161"/>
      <c r="D917" s="161"/>
      <c r="E917" s="161"/>
      <c r="F917" s="118"/>
      <c r="G917" s="119"/>
      <c r="H917" s="165"/>
      <c r="I917" s="119"/>
      <c r="J917" s="119"/>
      <c r="K917" s="157"/>
    </row>
    <row r="918" spans="1:11" x14ac:dyDescent="0.3">
      <c r="A918" s="127"/>
      <c r="B918" s="109"/>
      <c r="C918" s="161"/>
      <c r="D918" s="161"/>
      <c r="E918" s="161"/>
      <c r="F918" s="118"/>
      <c r="G918" s="119"/>
      <c r="H918" s="165"/>
      <c r="I918" s="119"/>
      <c r="J918" s="119"/>
      <c r="K918" s="157"/>
    </row>
    <row r="919" spans="1:11" x14ac:dyDescent="0.3">
      <c r="A919" s="127"/>
      <c r="B919" s="109"/>
      <c r="C919" s="161"/>
      <c r="D919" s="161"/>
      <c r="E919" s="161"/>
      <c r="F919" s="118"/>
      <c r="G919" s="119"/>
      <c r="H919" s="165"/>
      <c r="I919" s="119"/>
      <c r="J919" s="119"/>
      <c r="K919" s="157"/>
    </row>
    <row r="920" spans="1:11" x14ac:dyDescent="0.3">
      <c r="A920" s="127"/>
      <c r="B920" s="109"/>
      <c r="C920" s="161"/>
      <c r="D920" s="161"/>
      <c r="E920" s="161"/>
      <c r="F920" s="118"/>
      <c r="G920" s="119"/>
      <c r="H920" s="165"/>
      <c r="I920" s="119"/>
      <c r="J920" s="119"/>
      <c r="K920" s="157"/>
    </row>
    <row r="921" spans="1:11" x14ac:dyDescent="0.3">
      <c r="A921" s="127"/>
      <c r="B921" s="109"/>
      <c r="C921" s="161"/>
      <c r="D921" s="161"/>
      <c r="E921" s="161"/>
      <c r="F921" s="118"/>
      <c r="G921" s="119"/>
      <c r="H921" s="165"/>
      <c r="I921" s="119"/>
      <c r="J921" s="119"/>
      <c r="K921" s="157"/>
    </row>
    <row r="922" spans="1:11" x14ac:dyDescent="0.3">
      <c r="A922" s="127"/>
      <c r="B922" s="109"/>
      <c r="C922" s="161"/>
      <c r="D922" s="161"/>
      <c r="E922" s="161"/>
      <c r="F922" s="118"/>
      <c r="G922" s="119"/>
      <c r="H922" s="165"/>
      <c r="I922" s="119"/>
      <c r="J922" s="119"/>
      <c r="K922" s="157"/>
    </row>
    <row r="923" spans="1:11" x14ac:dyDescent="0.3">
      <c r="A923" s="127"/>
      <c r="B923" s="109"/>
      <c r="C923" s="161"/>
      <c r="D923" s="161"/>
      <c r="E923" s="161"/>
      <c r="F923" s="118"/>
      <c r="G923" s="119"/>
      <c r="H923" s="165"/>
      <c r="I923" s="119"/>
      <c r="J923" s="119"/>
      <c r="K923" s="157"/>
    </row>
    <row r="924" spans="1:11" x14ac:dyDescent="0.3">
      <c r="A924" s="127"/>
      <c r="B924" s="109"/>
      <c r="C924" s="161"/>
      <c r="D924" s="161"/>
      <c r="E924" s="161"/>
      <c r="F924" s="118"/>
      <c r="G924" s="119"/>
      <c r="H924" s="165"/>
      <c r="I924" s="119"/>
      <c r="J924" s="119"/>
      <c r="K924" s="157"/>
    </row>
    <row r="925" spans="1:11" x14ac:dyDescent="0.3">
      <c r="A925" s="127"/>
      <c r="B925" s="109"/>
      <c r="C925" s="161"/>
      <c r="D925" s="161"/>
      <c r="E925" s="161"/>
      <c r="F925" s="118"/>
      <c r="G925" s="119"/>
      <c r="H925" s="165"/>
      <c r="I925" s="119"/>
      <c r="J925" s="119"/>
      <c r="K925" s="157"/>
    </row>
    <row r="926" spans="1:11" x14ac:dyDescent="0.3">
      <c r="A926" s="127"/>
      <c r="B926" s="109"/>
      <c r="C926" s="161"/>
      <c r="D926" s="161"/>
      <c r="E926" s="161"/>
      <c r="F926" s="118"/>
      <c r="G926" s="119"/>
      <c r="H926" s="165"/>
      <c r="I926" s="119"/>
      <c r="J926" s="119"/>
      <c r="K926" s="157"/>
    </row>
    <row r="927" spans="1:11" x14ac:dyDescent="0.3">
      <c r="A927" s="127"/>
      <c r="B927" s="109"/>
      <c r="C927" s="161"/>
      <c r="D927" s="161"/>
      <c r="E927" s="161"/>
      <c r="F927" s="118"/>
      <c r="G927" s="119"/>
      <c r="H927" s="165"/>
      <c r="I927" s="119"/>
      <c r="J927" s="119"/>
      <c r="K927" s="157"/>
    </row>
    <row r="928" spans="1:11" x14ac:dyDescent="0.3">
      <c r="A928" s="127"/>
      <c r="B928" s="109"/>
      <c r="C928" s="161"/>
      <c r="D928" s="161"/>
      <c r="E928" s="161"/>
      <c r="F928" s="118"/>
      <c r="G928" s="119"/>
      <c r="H928" s="165"/>
      <c r="I928" s="119"/>
      <c r="J928" s="119"/>
      <c r="K928" s="157"/>
    </row>
    <row r="929" spans="1:11" x14ac:dyDescent="0.3">
      <c r="A929" s="127"/>
      <c r="B929" s="109"/>
      <c r="C929" s="161"/>
      <c r="D929" s="161"/>
      <c r="E929" s="161"/>
      <c r="F929" s="118"/>
      <c r="G929" s="119"/>
      <c r="H929" s="165"/>
      <c r="I929" s="119"/>
      <c r="J929" s="119"/>
      <c r="K929" s="157"/>
    </row>
    <row r="930" spans="1:11" x14ac:dyDescent="0.3">
      <c r="A930" s="127"/>
      <c r="B930" s="109"/>
      <c r="C930" s="161"/>
      <c r="D930" s="161"/>
      <c r="E930" s="161"/>
      <c r="F930" s="118"/>
      <c r="G930" s="119"/>
      <c r="H930" s="165"/>
      <c r="I930" s="119"/>
      <c r="J930" s="119"/>
      <c r="K930" s="157"/>
    </row>
    <row r="931" spans="1:11" x14ac:dyDescent="0.3">
      <c r="A931" s="127"/>
      <c r="B931" s="109"/>
      <c r="C931" s="161"/>
      <c r="D931" s="161"/>
      <c r="E931" s="161"/>
      <c r="F931" s="118"/>
      <c r="G931" s="119"/>
      <c r="H931" s="165"/>
      <c r="I931" s="119"/>
      <c r="J931" s="119"/>
      <c r="K931" s="157"/>
    </row>
    <row r="932" spans="1:11" x14ac:dyDescent="0.3">
      <c r="A932" s="127"/>
      <c r="B932" s="109"/>
      <c r="C932" s="161"/>
      <c r="D932" s="161"/>
      <c r="E932" s="161"/>
      <c r="F932" s="118"/>
      <c r="G932" s="119"/>
      <c r="H932" s="165"/>
      <c r="I932" s="119"/>
      <c r="J932" s="119"/>
      <c r="K932" s="157"/>
    </row>
    <row r="933" spans="1:11" x14ac:dyDescent="0.3">
      <c r="A933" s="127"/>
      <c r="B933" s="109"/>
      <c r="C933" s="161"/>
      <c r="D933" s="161"/>
      <c r="E933" s="161"/>
      <c r="F933" s="118"/>
      <c r="G933" s="119"/>
      <c r="H933" s="165"/>
      <c r="I933" s="119"/>
      <c r="J933" s="119"/>
      <c r="K933" s="157"/>
    </row>
    <row r="934" spans="1:11" x14ac:dyDescent="0.3">
      <c r="A934" s="127"/>
      <c r="B934" s="109"/>
      <c r="C934" s="161"/>
      <c r="D934" s="161"/>
      <c r="E934" s="161"/>
      <c r="F934" s="118"/>
      <c r="G934" s="119"/>
      <c r="H934" s="165"/>
      <c r="I934" s="119"/>
      <c r="J934" s="119"/>
      <c r="K934" s="157"/>
    </row>
    <row r="935" spans="1:11" x14ac:dyDescent="0.3">
      <c r="A935" s="127"/>
      <c r="B935" s="109"/>
      <c r="C935" s="161"/>
      <c r="D935" s="161"/>
      <c r="E935" s="161"/>
      <c r="F935" s="118"/>
      <c r="G935" s="119"/>
      <c r="H935" s="165"/>
      <c r="I935" s="119"/>
      <c r="J935" s="119"/>
      <c r="K935" s="157"/>
    </row>
    <row r="936" spans="1:11" x14ac:dyDescent="0.3">
      <c r="A936" s="127"/>
      <c r="B936" s="109"/>
      <c r="C936" s="161"/>
      <c r="D936" s="161"/>
      <c r="E936" s="161"/>
      <c r="F936" s="118"/>
      <c r="G936" s="119"/>
      <c r="H936" s="165"/>
      <c r="I936" s="119"/>
      <c r="J936" s="119"/>
      <c r="K936" s="157"/>
    </row>
    <row r="937" spans="1:11" x14ac:dyDescent="0.3">
      <c r="A937" s="127"/>
      <c r="B937" s="109"/>
      <c r="C937" s="161"/>
      <c r="D937" s="161"/>
      <c r="E937" s="161"/>
      <c r="F937" s="118"/>
      <c r="G937" s="119"/>
      <c r="H937" s="165"/>
      <c r="I937" s="119"/>
      <c r="J937" s="119"/>
      <c r="K937" s="157"/>
    </row>
    <row r="938" spans="1:11" x14ac:dyDescent="0.3">
      <c r="A938" s="127"/>
      <c r="B938" s="109"/>
      <c r="C938" s="161"/>
      <c r="D938" s="161"/>
      <c r="E938" s="161"/>
      <c r="F938" s="118"/>
      <c r="G938" s="119"/>
      <c r="H938" s="165"/>
      <c r="I938" s="119"/>
      <c r="J938" s="119"/>
      <c r="K938" s="157"/>
    </row>
    <row r="939" spans="1:11" x14ac:dyDescent="0.3">
      <c r="A939" s="127"/>
      <c r="B939" s="109"/>
      <c r="C939" s="161"/>
      <c r="D939" s="161"/>
      <c r="E939" s="161"/>
      <c r="F939" s="118"/>
      <c r="G939" s="119"/>
      <c r="H939" s="165"/>
      <c r="I939" s="119"/>
      <c r="J939" s="119"/>
      <c r="K939" s="157"/>
    </row>
    <row r="940" spans="1:11" x14ac:dyDescent="0.3">
      <c r="A940" s="127"/>
      <c r="B940" s="109"/>
      <c r="C940" s="161"/>
      <c r="D940" s="161"/>
      <c r="E940" s="161"/>
      <c r="F940" s="118"/>
      <c r="G940" s="119"/>
      <c r="H940" s="165"/>
      <c r="I940" s="119"/>
      <c r="J940" s="119"/>
      <c r="K940" s="157"/>
    </row>
    <row r="941" spans="1:11" x14ac:dyDescent="0.3">
      <c r="A941" s="127"/>
      <c r="B941" s="109"/>
      <c r="C941" s="161"/>
      <c r="D941" s="161"/>
      <c r="E941" s="161"/>
      <c r="F941" s="118"/>
      <c r="G941" s="119"/>
      <c r="H941" s="165"/>
      <c r="I941" s="119"/>
      <c r="J941" s="119"/>
      <c r="K941" s="157"/>
    </row>
    <row r="942" spans="1:11" x14ac:dyDescent="0.3">
      <c r="A942" s="127"/>
      <c r="B942" s="109"/>
      <c r="C942" s="161"/>
      <c r="D942" s="161"/>
      <c r="E942" s="161"/>
      <c r="F942" s="118"/>
      <c r="G942" s="119"/>
      <c r="H942" s="165"/>
      <c r="I942" s="119"/>
      <c r="J942" s="119"/>
      <c r="K942" s="157"/>
    </row>
    <row r="943" spans="1:11" x14ac:dyDescent="0.3">
      <c r="A943" s="127"/>
      <c r="B943" s="109"/>
      <c r="C943" s="161"/>
      <c r="D943" s="161"/>
      <c r="E943" s="161"/>
      <c r="F943" s="118"/>
      <c r="G943" s="119"/>
      <c r="H943" s="165"/>
      <c r="I943" s="119"/>
      <c r="J943" s="119"/>
      <c r="K943" s="157"/>
    </row>
    <row r="944" spans="1:11" x14ac:dyDescent="0.3">
      <c r="A944" s="127"/>
      <c r="B944" s="109"/>
      <c r="C944" s="161"/>
      <c r="D944" s="161"/>
      <c r="E944" s="161"/>
      <c r="F944" s="118"/>
      <c r="G944" s="119"/>
      <c r="H944" s="165"/>
      <c r="I944" s="119"/>
      <c r="J944" s="119"/>
      <c r="K944" s="157"/>
    </row>
    <row r="945" spans="1:11" x14ac:dyDescent="0.3">
      <c r="A945" s="127"/>
      <c r="B945" s="109"/>
      <c r="C945" s="161"/>
      <c r="D945" s="161"/>
      <c r="E945" s="161"/>
      <c r="F945" s="118"/>
      <c r="G945" s="119"/>
      <c r="H945" s="165"/>
      <c r="I945" s="119"/>
      <c r="J945" s="119"/>
      <c r="K945" s="157"/>
    </row>
    <row r="946" spans="1:11" x14ac:dyDescent="0.3">
      <c r="A946" s="127"/>
      <c r="B946" s="109"/>
      <c r="C946" s="161"/>
      <c r="D946" s="161"/>
      <c r="E946" s="161"/>
      <c r="F946" s="118"/>
      <c r="G946" s="119"/>
      <c r="H946" s="165"/>
      <c r="I946" s="119"/>
      <c r="J946" s="119"/>
      <c r="K946" s="157"/>
    </row>
    <row r="947" spans="1:11" x14ac:dyDescent="0.3">
      <c r="A947" s="127"/>
      <c r="B947" s="109"/>
      <c r="C947" s="161"/>
      <c r="D947" s="161"/>
      <c r="E947" s="161"/>
      <c r="F947" s="118"/>
      <c r="G947" s="119"/>
      <c r="H947" s="165"/>
      <c r="I947" s="119"/>
      <c r="J947" s="119"/>
      <c r="K947" s="157"/>
    </row>
    <row r="948" spans="1:11" x14ac:dyDescent="0.3">
      <c r="A948" s="127"/>
      <c r="B948" s="109"/>
      <c r="C948" s="161"/>
      <c r="D948" s="161"/>
      <c r="E948" s="161"/>
      <c r="F948" s="118"/>
      <c r="G948" s="119"/>
      <c r="H948" s="165"/>
      <c r="I948" s="119"/>
      <c r="J948" s="119"/>
      <c r="K948" s="157"/>
    </row>
    <row r="949" spans="1:11" x14ac:dyDescent="0.3">
      <c r="A949" s="127"/>
      <c r="B949" s="109"/>
      <c r="C949" s="161"/>
      <c r="D949" s="161"/>
      <c r="E949" s="161"/>
      <c r="F949" s="118"/>
      <c r="G949" s="119"/>
      <c r="H949" s="165"/>
      <c r="I949" s="119"/>
      <c r="J949" s="119"/>
      <c r="K949" s="157"/>
    </row>
    <row r="950" spans="1:11" x14ac:dyDescent="0.3">
      <c r="A950" s="127"/>
      <c r="B950" s="109"/>
      <c r="C950" s="161"/>
      <c r="D950" s="161"/>
      <c r="E950" s="161"/>
      <c r="F950" s="118"/>
      <c r="G950" s="119"/>
      <c r="H950" s="165"/>
      <c r="I950" s="119"/>
      <c r="J950" s="119"/>
      <c r="K950" s="157"/>
    </row>
    <row r="951" spans="1:11" x14ac:dyDescent="0.3">
      <c r="A951" s="127"/>
      <c r="B951" s="109"/>
      <c r="C951" s="161"/>
      <c r="D951" s="161"/>
      <c r="E951" s="161"/>
      <c r="F951" s="118"/>
      <c r="G951" s="119"/>
      <c r="H951" s="165"/>
      <c r="I951" s="119"/>
      <c r="J951" s="119"/>
      <c r="K951" s="157"/>
    </row>
    <row r="952" spans="1:11" x14ac:dyDescent="0.3">
      <c r="A952" s="127"/>
      <c r="B952" s="109"/>
      <c r="C952" s="161"/>
      <c r="D952" s="161"/>
      <c r="E952" s="161"/>
      <c r="F952" s="118"/>
      <c r="G952" s="119"/>
      <c r="H952" s="165"/>
      <c r="I952" s="119"/>
      <c r="J952" s="119"/>
      <c r="K952" s="157"/>
    </row>
    <row r="953" spans="1:11" x14ac:dyDescent="0.3">
      <c r="A953" s="127"/>
      <c r="B953" s="109"/>
      <c r="C953" s="161"/>
      <c r="D953" s="161"/>
      <c r="E953" s="161"/>
      <c r="F953" s="118"/>
      <c r="G953" s="119"/>
      <c r="H953" s="165"/>
      <c r="I953" s="119"/>
      <c r="J953" s="119"/>
      <c r="K953" s="157"/>
    </row>
    <row r="954" spans="1:11" x14ac:dyDescent="0.3">
      <c r="A954" s="127"/>
      <c r="B954" s="109"/>
      <c r="C954" s="161"/>
      <c r="D954" s="161"/>
      <c r="E954" s="161"/>
      <c r="F954" s="118"/>
      <c r="G954" s="119"/>
      <c r="H954" s="165"/>
      <c r="I954" s="119"/>
      <c r="J954" s="119"/>
      <c r="K954" s="157"/>
    </row>
    <row r="955" spans="1:11" x14ac:dyDescent="0.3">
      <c r="A955" s="127"/>
      <c r="B955" s="109"/>
      <c r="C955" s="161"/>
      <c r="D955" s="161"/>
      <c r="E955" s="161"/>
      <c r="F955" s="118"/>
      <c r="G955" s="119"/>
      <c r="H955" s="165"/>
      <c r="I955" s="119"/>
      <c r="J955" s="119"/>
      <c r="K955" s="157"/>
    </row>
    <row r="956" spans="1:11" x14ac:dyDescent="0.3">
      <c r="A956" s="127"/>
      <c r="B956" s="109"/>
      <c r="C956" s="161"/>
      <c r="D956" s="161"/>
      <c r="E956" s="161"/>
      <c r="F956" s="118"/>
      <c r="G956" s="119"/>
      <c r="H956" s="165"/>
      <c r="I956" s="119"/>
      <c r="J956" s="119"/>
      <c r="K956" s="157"/>
    </row>
    <row r="957" spans="1:11" x14ac:dyDescent="0.3">
      <c r="A957" s="127"/>
      <c r="B957" s="109"/>
      <c r="C957" s="161"/>
      <c r="D957" s="161"/>
      <c r="E957" s="161"/>
      <c r="F957" s="118"/>
      <c r="G957" s="119"/>
      <c r="H957" s="165"/>
      <c r="I957" s="119"/>
      <c r="J957" s="119"/>
      <c r="K957" s="157"/>
    </row>
    <row r="958" spans="1:11" x14ac:dyDescent="0.3">
      <c r="A958" s="127"/>
      <c r="B958" s="109"/>
      <c r="C958" s="161"/>
      <c r="D958" s="161"/>
      <c r="E958" s="161"/>
      <c r="F958" s="118"/>
      <c r="G958" s="119"/>
      <c r="H958" s="165"/>
      <c r="I958" s="119"/>
      <c r="J958" s="119"/>
      <c r="K958" s="157"/>
    </row>
    <row r="959" spans="1:11" x14ac:dyDescent="0.3">
      <c r="A959" s="127"/>
      <c r="B959" s="109"/>
      <c r="C959" s="161"/>
      <c r="D959" s="161"/>
      <c r="E959" s="161"/>
      <c r="F959" s="118"/>
      <c r="G959" s="119"/>
      <c r="H959" s="165"/>
      <c r="I959" s="119"/>
      <c r="J959" s="119"/>
      <c r="K959" s="157"/>
    </row>
    <row r="960" spans="1:11" x14ac:dyDescent="0.3">
      <c r="A960" s="127"/>
      <c r="B960" s="109"/>
      <c r="C960" s="161"/>
      <c r="D960" s="161"/>
      <c r="E960" s="161"/>
      <c r="F960" s="118"/>
      <c r="G960" s="119"/>
      <c r="H960" s="165"/>
      <c r="I960" s="119"/>
      <c r="J960" s="119"/>
      <c r="K960" s="157"/>
    </row>
    <row r="961" spans="1:11" x14ac:dyDescent="0.3">
      <c r="A961" s="127"/>
      <c r="B961" s="109"/>
      <c r="C961" s="161"/>
      <c r="D961" s="161"/>
      <c r="E961" s="161"/>
      <c r="F961" s="118"/>
      <c r="G961" s="119"/>
      <c r="H961" s="165"/>
      <c r="I961" s="119"/>
      <c r="J961" s="119"/>
      <c r="K961" s="157"/>
    </row>
    <row r="962" spans="1:11" x14ac:dyDescent="0.3">
      <c r="A962" s="127"/>
      <c r="B962" s="109"/>
      <c r="C962" s="161"/>
      <c r="D962" s="161"/>
      <c r="E962" s="161"/>
      <c r="F962" s="118"/>
      <c r="G962" s="119"/>
      <c r="H962" s="165"/>
      <c r="I962" s="119"/>
      <c r="J962" s="119"/>
      <c r="K962" s="157"/>
    </row>
    <row r="963" spans="1:11" x14ac:dyDescent="0.3">
      <c r="A963" s="127"/>
      <c r="B963" s="109"/>
      <c r="C963" s="161"/>
      <c r="D963" s="161"/>
      <c r="E963" s="161"/>
      <c r="F963" s="118"/>
      <c r="G963" s="119"/>
      <c r="H963" s="165"/>
      <c r="I963" s="119"/>
      <c r="J963" s="119"/>
      <c r="K963" s="157"/>
    </row>
    <row r="964" spans="1:11" x14ac:dyDescent="0.3">
      <c r="A964" s="127"/>
      <c r="B964" s="109"/>
      <c r="C964" s="161"/>
      <c r="D964" s="161"/>
      <c r="E964" s="161"/>
      <c r="F964" s="118"/>
      <c r="G964" s="119"/>
      <c r="H964" s="165"/>
      <c r="I964" s="119"/>
      <c r="J964" s="119"/>
      <c r="K964" s="157"/>
    </row>
    <row r="965" spans="1:11" x14ac:dyDescent="0.3">
      <c r="A965" s="127"/>
      <c r="B965" s="109"/>
      <c r="C965" s="161"/>
      <c r="D965" s="161"/>
      <c r="E965" s="161"/>
      <c r="F965" s="118"/>
      <c r="G965" s="119"/>
      <c r="H965" s="165"/>
      <c r="I965" s="119"/>
      <c r="J965" s="119"/>
      <c r="K965" s="157"/>
    </row>
    <row r="966" spans="1:11" x14ac:dyDescent="0.3">
      <c r="A966" s="127"/>
      <c r="B966" s="109"/>
      <c r="C966" s="161"/>
      <c r="D966" s="161"/>
      <c r="E966" s="161"/>
      <c r="F966" s="118"/>
      <c r="G966" s="119"/>
      <c r="H966" s="165"/>
      <c r="I966" s="119"/>
      <c r="J966" s="119"/>
      <c r="K966" s="157"/>
    </row>
    <row r="967" spans="1:11" x14ac:dyDescent="0.3">
      <c r="A967" s="127"/>
      <c r="B967" s="109"/>
      <c r="C967" s="161"/>
      <c r="D967" s="161"/>
      <c r="E967" s="161"/>
      <c r="F967" s="118"/>
      <c r="G967" s="119"/>
      <c r="H967" s="165"/>
      <c r="I967" s="119"/>
      <c r="J967" s="119"/>
      <c r="K967" s="157"/>
    </row>
    <row r="968" spans="1:11" x14ac:dyDescent="0.3">
      <c r="A968" s="127"/>
      <c r="B968" s="109"/>
      <c r="C968" s="161"/>
      <c r="D968" s="161"/>
      <c r="E968" s="161"/>
      <c r="F968" s="118"/>
      <c r="G968" s="119"/>
      <c r="H968" s="165"/>
      <c r="I968" s="119"/>
      <c r="J968" s="119"/>
      <c r="K968" s="157"/>
    </row>
    <row r="969" spans="1:11" x14ac:dyDescent="0.3">
      <c r="A969" s="127"/>
      <c r="B969" s="109"/>
      <c r="C969" s="161"/>
      <c r="D969" s="161"/>
      <c r="E969" s="161"/>
      <c r="F969" s="118"/>
      <c r="G969" s="119"/>
      <c r="H969" s="165"/>
      <c r="I969" s="119"/>
      <c r="J969" s="119"/>
      <c r="K969" s="157"/>
    </row>
    <row r="970" spans="1:11" x14ac:dyDescent="0.3">
      <c r="A970" s="127"/>
      <c r="B970" s="109"/>
      <c r="C970" s="161"/>
      <c r="D970" s="161"/>
      <c r="E970" s="161"/>
      <c r="F970" s="118"/>
      <c r="G970" s="119"/>
      <c r="H970" s="165"/>
      <c r="I970" s="119"/>
      <c r="J970" s="119"/>
      <c r="K970" s="157"/>
    </row>
    <row r="971" spans="1:11" x14ac:dyDescent="0.3">
      <c r="A971" s="127"/>
      <c r="B971" s="109"/>
      <c r="C971" s="161"/>
      <c r="D971" s="161"/>
      <c r="E971" s="161"/>
      <c r="F971" s="118"/>
      <c r="G971" s="119"/>
      <c r="H971" s="165"/>
      <c r="I971" s="119"/>
      <c r="J971" s="119"/>
      <c r="K971" s="157"/>
    </row>
    <row r="972" spans="1:11" x14ac:dyDescent="0.3">
      <c r="A972" s="127"/>
      <c r="B972" s="109"/>
      <c r="C972" s="161"/>
      <c r="D972" s="161"/>
      <c r="E972" s="161"/>
      <c r="F972" s="118"/>
      <c r="G972" s="119"/>
      <c r="H972" s="165"/>
      <c r="I972" s="119"/>
      <c r="J972" s="119"/>
      <c r="K972" s="157"/>
    </row>
    <row r="973" spans="1:11" x14ac:dyDescent="0.3">
      <c r="A973" s="127"/>
      <c r="B973" s="109"/>
      <c r="C973" s="161"/>
      <c r="D973" s="161"/>
      <c r="E973" s="161"/>
      <c r="F973" s="118"/>
      <c r="G973" s="119"/>
      <c r="H973" s="165"/>
      <c r="I973" s="119"/>
      <c r="J973" s="119"/>
      <c r="K973" s="157"/>
    </row>
    <row r="974" spans="1:11" x14ac:dyDescent="0.3">
      <c r="A974" s="127"/>
      <c r="B974" s="109"/>
      <c r="C974" s="161"/>
      <c r="D974" s="161"/>
      <c r="E974" s="161"/>
      <c r="F974" s="118"/>
      <c r="G974" s="119"/>
      <c r="H974" s="165"/>
      <c r="I974" s="119"/>
      <c r="J974" s="119"/>
      <c r="K974" s="157"/>
    </row>
    <row r="975" spans="1:11" x14ac:dyDescent="0.3">
      <c r="A975" s="127"/>
      <c r="B975" s="109"/>
      <c r="C975" s="161"/>
      <c r="D975" s="161"/>
      <c r="E975" s="161"/>
      <c r="F975" s="118"/>
      <c r="G975" s="119"/>
      <c r="H975" s="165"/>
      <c r="I975" s="119"/>
      <c r="J975" s="119"/>
      <c r="K975" s="157"/>
    </row>
    <row r="976" spans="1:11" x14ac:dyDescent="0.3">
      <c r="A976" s="127"/>
      <c r="B976" s="109"/>
      <c r="C976" s="161"/>
      <c r="D976" s="161"/>
      <c r="E976" s="161"/>
      <c r="F976" s="118"/>
      <c r="G976" s="119"/>
      <c r="H976" s="165"/>
      <c r="I976" s="119"/>
      <c r="J976" s="119"/>
      <c r="K976" s="157"/>
    </row>
    <row r="977" spans="1:11" x14ac:dyDescent="0.3">
      <c r="A977" s="127"/>
      <c r="B977" s="109"/>
      <c r="C977" s="161"/>
      <c r="D977" s="161"/>
      <c r="E977" s="161"/>
      <c r="F977" s="118"/>
      <c r="G977" s="119"/>
      <c r="H977" s="165"/>
      <c r="I977" s="119"/>
      <c r="J977" s="119"/>
      <c r="K977" s="157"/>
    </row>
    <row r="978" spans="1:11" x14ac:dyDescent="0.3">
      <c r="A978" s="127"/>
      <c r="B978" s="109"/>
      <c r="C978" s="161"/>
      <c r="D978" s="161"/>
      <c r="E978" s="161"/>
      <c r="F978" s="118"/>
      <c r="G978" s="119"/>
      <c r="H978" s="165"/>
      <c r="I978" s="119"/>
      <c r="J978" s="119"/>
      <c r="K978" s="157"/>
    </row>
    <row r="979" spans="1:11" x14ac:dyDescent="0.3">
      <c r="A979" s="127"/>
      <c r="B979" s="109"/>
      <c r="C979" s="161"/>
      <c r="D979" s="161"/>
      <c r="E979" s="161"/>
      <c r="F979" s="118"/>
      <c r="G979" s="119"/>
      <c r="H979" s="165"/>
      <c r="I979" s="119"/>
      <c r="J979" s="119"/>
      <c r="K979" s="157"/>
    </row>
    <row r="980" spans="1:11" x14ac:dyDescent="0.3">
      <c r="A980" s="127"/>
      <c r="B980" s="109"/>
      <c r="C980" s="161"/>
      <c r="D980" s="161"/>
      <c r="E980" s="161"/>
      <c r="F980" s="118"/>
      <c r="G980" s="119"/>
      <c r="H980" s="165"/>
      <c r="I980" s="119"/>
      <c r="J980" s="119"/>
      <c r="K980" s="157"/>
    </row>
    <row r="981" spans="1:11" x14ac:dyDescent="0.3">
      <c r="A981" s="127"/>
      <c r="B981" s="109"/>
      <c r="C981" s="161"/>
      <c r="D981" s="161"/>
      <c r="E981" s="161"/>
      <c r="F981" s="118"/>
      <c r="G981" s="119"/>
      <c r="H981" s="165"/>
      <c r="I981" s="119"/>
      <c r="J981" s="119"/>
      <c r="K981" s="157"/>
    </row>
    <row r="982" spans="1:11" x14ac:dyDescent="0.3">
      <c r="A982" s="127"/>
      <c r="B982" s="109"/>
      <c r="C982" s="161"/>
      <c r="D982" s="161"/>
      <c r="E982" s="161"/>
      <c r="F982" s="118"/>
      <c r="G982" s="119"/>
      <c r="H982" s="165"/>
      <c r="I982" s="119"/>
      <c r="J982" s="119"/>
      <c r="K982" s="157"/>
    </row>
    <row r="983" spans="1:11" x14ac:dyDescent="0.3">
      <c r="A983" s="127"/>
      <c r="B983" s="109"/>
      <c r="C983" s="161"/>
      <c r="D983" s="161"/>
      <c r="E983" s="161"/>
      <c r="F983" s="118"/>
      <c r="G983" s="119"/>
      <c r="H983" s="165"/>
      <c r="I983" s="119"/>
      <c r="J983" s="119"/>
      <c r="K983" s="157"/>
    </row>
    <row r="984" spans="1:11" x14ac:dyDescent="0.3">
      <c r="A984" s="127"/>
      <c r="B984" s="109"/>
      <c r="C984" s="161"/>
      <c r="D984" s="161"/>
      <c r="E984" s="161"/>
      <c r="F984" s="118"/>
      <c r="G984" s="119"/>
      <c r="H984" s="165"/>
      <c r="I984" s="119"/>
      <c r="J984" s="119"/>
      <c r="K984" s="157"/>
    </row>
    <row r="985" spans="1:11" x14ac:dyDescent="0.3">
      <c r="A985" s="127"/>
      <c r="B985" s="109"/>
      <c r="C985" s="161"/>
      <c r="D985" s="161"/>
      <c r="E985" s="161"/>
      <c r="F985" s="118"/>
      <c r="G985" s="119"/>
      <c r="H985" s="165"/>
      <c r="I985" s="119"/>
      <c r="J985" s="119"/>
      <c r="K985" s="157"/>
    </row>
    <row r="986" spans="1:11" x14ac:dyDescent="0.3">
      <c r="A986" s="127"/>
      <c r="B986" s="109"/>
      <c r="C986" s="161"/>
      <c r="D986" s="161"/>
      <c r="E986" s="161"/>
      <c r="F986" s="118"/>
      <c r="G986" s="119"/>
      <c r="H986" s="165"/>
      <c r="I986" s="119"/>
      <c r="J986" s="119"/>
      <c r="K986" s="157"/>
    </row>
    <row r="987" spans="1:11" x14ac:dyDescent="0.3">
      <c r="A987" s="127"/>
      <c r="B987" s="109"/>
      <c r="C987" s="161"/>
      <c r="D987" s="161"/>
      <c r="E987" s="161"/>
      <c r="F987" s="118"/>
      <c r="G987" s="119"/>
      <c r="H987" s="165"/>
      <c r="I987" s="119"/>
      <c r="J987" s="119"/>
      <c r="K987" s="157"/>
    </row>
    <row r="988" spans="1:11" x14ac:dyDescent="0.3">
      <c r="A988" s="127"/>
      <c r="B988" s="109"/>
      <c r="C988" s="161"/>
      <c r="D988" s="161"/>
      <c r="E988" s="161"/>
      <c r="F988" s="118"/>
      <c r="G988" s="119"/>
      <c r="H988" s="165"/>
      <c r="I988" s="119"/>
      <c r="J988" s="119"/>
      <c r="K988" s="157"/>
    </row>
    <row r="989" spans="1:11" x14ac:dyDescent="0.3">
      <c r="A989" s="127"/>
      <c r="B989" s="109"/>
      <c r="C989" s="161"/>
      <c r="D989" s="161"/>
      <c r="E989" s="161"/>
      <c r="F989" s="118"/>
      <c r="G989" s="119"/>
      <c r="H989" s="165"/>
      <c r="I989" s="119"/>
      <c r="J989" s="119"/>
      <c r="K989" s="157"/>
    </row>
    <row r="990" spans="1:11" x14ac:dyDescent="0.3">
      <c r="A990" s="127"/>
      <c r="B990" s="109"/>
      <c r="C990" s="161"/>
      <c r="D990" s="161"/>
      <c r="E990" s="161"/>
      <c r="F990" s="118"/>
      <c r="G990" s="119"/>
      <c r="H990" s="165"/>
      <c r="I990" s="119"/>
      <c r="J990" s="119"/>
      <c r="K990" s="157"/>
    </row>
    <row r="991" spans="1:11" x14ac:dyDescent="0.3">
      <c r="A991" s="127"/>
      <c r="B991" s="109"/>
      <c r="C991" s="161"/>
      <c r="D991" s="161"/>
      <c r="E991" s="161"/>
      <c r="F991" s="118"/>
      <c r="G991" s="119"/>
      <c r="H991" s="165"/>
      <c r="I991" s="119"/>
      <c r="J991" s="119"/>
      <c r="K991" s="157"/>
    </row>
    <row r="992" spans="1:11" x14ac:dyDescent="0.3">
      <c r="A992" s="127"/>
      <c r="B992" s="109"/>
      <c r="C992" s="161"/>
      <c r="D992" s="161"/>
      <c r="E992" s="161"/>
      <c r="F992" s="118"/>
      <c r="G992" s="119"/>
      <c r="H992" s="165"/>
      <c r="I992" s="119"/>
      <c r="J992" s="119"/>
      <c r="K992" s="157"/>
    </row>
    <row r="993" spans="1:11" x14ac:dyDescent="0.3">
      <c r="A993" s="127"/>
      <c r="B993" s="109"/>
      <c r="C993" s="161"/>
      <c r="D993" s="161"/>
      <c r="E993" s="161"/>
      <c r="F993" s="118"/>
      <c r="G993" s="119"/>
      <c r="H993" s="165"/>
      <c r="I993" s="119"/>
      <c r="J993" s="119"/>
      <c r="K993" s="157"/>
    </row>
    <row r="994" spans="1:11" x14ac:dyDescent="0.3">
      <c r="A994" s="127"/>
      <c r="B994" s="109"/>
      <c r="C994" s="161"/>
      <c r="D994" s="161"/>
      <c r="E994" s="161"/>
      <c r="F994" s="118"/>
      <c r="G994" s="119"/>
      <c r="H994" s="165"/>
      <c r="I994" s="119"/>
      <c r="J994" s="119"/>
      <c r="K994" s="157"/>
    </row>
    <row r="995" spans="1:11" x14ac:dyDescent="0.3">
      <c r="A995" s="127"/>
      <c r="B995" s="109"/>
      <c r="C995" s="161"/>
      <c r="D995" s="161"/>
      <c r="E995" s="161"/>
      <c r="F995" s="118"/>
      <c r="G995" s="119"/>
      <c r="H995" s="165"/>
      <c r="I995" s="119"/>
      <c r="J995" s="119"/>
      <c r="K995" s="157"/>
    </row>
    <row r="996" spans="1:11" x14ac:dyDescent="0.3">
      <c r="A996" s="127"/>
      <c r="B996" s="109"/>
      <c r="C996" s="161"/>
      <c r="D996" s="161"/>
      <c r="E996" s="161"/>
      <c r="F996" s="118"/>
      <c r="G996" s="119"/>
      <c r="H996" s="165"/>
      <c r="I996" s="119"/>
      <c r="J996" s="119"/>
      <c r="K996" s="157"/>
    </row>
    <row r="997" spans="1:11" x14ac:dyDescent="0.3">
      <c r="A997" s="127"/>
      <c r="B997" s="109"/>
      <c r="C997" s="161"/>
      <c r="D997" s="161"/>
      <c r="E997" s="161"/>
      <c r="F997" s="118"/>
      <c r="G997" s="119"/>
      <c r="H997" s="165"/>
      <c r="I997" s="119"/>
      <c r="J997" s="119"/>
      <c r="K997" s="157"/>
    </row>
    <row r="998" spans="1:11" x14ac:dyDescent="0.3">
      <c r="A998" s="127"/>
      <c r="B998" s="109"/>
      <c r="C998" s="161"/>
      <c r="D998" s="161"/>
      <c r="E998" s="161"/>
      <c r="F998" s="118"/>
      <c r="G998" s="119"/>
      <c r="H998" s="165"/>
      <c r="I998" s="119"/>
      <c r="J998" s="119"/>
      <c r="K998" s="157"/>
    </row>
    <row r="999" spans="1:11" x14ac:dyDescent="0.3">
      <c r="A999" s="128"/>
      <c r="B999" s="120"/>
      <c r="C999" s="162"/>
      <c r="D999" s="162"/>
      <c r="E999" s="162"/>
      <c r="F999" s="121"/>
      <c r="G999" s="122"/>
      <c r="H999" s="166"/>
      <c r="I999" s="122"/>
      <c r="J999" s="122"/>
      <c r="K999" s="158"/>
    </row>
  </sheetData>
  <autoFilter ref="A1:K1" xr:uid="{DEE2C6B4-8307-4F7F-9617-51069FF0D0A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2EFB-9DAD-4D18-9F21-48AD340D3331}">
  <dimension ref="A1:L9"/>
  <sheetViews>
    <sheetView workbookViewId="0">
      <selection activeCell="B15" sqref="B15"/>
    </sheetView>
  </sheetViews>
  <sheetFormatPr defaultRowHeight="14.4" x14ac:dyDescent="0.3"/>
  <cols>
    <col min="1" max="1" width="26" bestFit="1" customWidth="1"/>
    <col min="2" max="3" width="16.77734375" bestFit="1" customWidth="1"/>
    <col min="4" max="4" width="23.6640625" bestFit="1" customWidth="1"/>
    <col min="5" max="5" width="11.88671875" bestFit="1" customWidth="1"/>
    <col min="6" max="6" width="13.21875" bestFit="1" customWidth="1"/>
    <col min="7" max="7" width="19.6640625" bestFit="1" customWidth="1"/>
  </cols>
  <sheetData>
    <row r="1" spans="1:12" x14ac:dyDescent="0.3">
      <c r="A1" s="102" t="s">
        <v>333</v>
      </c>
      <c r="B1" s="103" t="s">
        <v>334</v>
      </c>
      <c r="C1" s="103" t="s">
        <v>335</v>
      </c>
      <c r="D1" s="103" t="s">
        <v>336</v>
      </c>
      <c r="E1" s="159" t="s">
        <v>332</v>
      </c>
      <c r="F1" s="159" t="s">
        <v>10</v>
      </c>
      <c r="G1" s="169" t="s">
        <v>337</v>
      </c>
    </row>
    <row r="2" spans="1:12" x14ac:dyDescent="0.3">
      <c r="A2" s="112" t="s">
        <v>25</v>
      </c>
      <c r="B2" s="184">
        <v>45458</v>
      </c>
      <c r="C2" s="184">
        <v>45488</v>
      </c>
      <c r="D2" s="106" t="s">
        <v>338</v>
      </c>
      <c r="E2" s="160">
        <v>85000</v>
      </c>
      <c r="F2" s="160">
        <v>950000</v>
      </c>
      <c r="G2" s="170">
        <v>0.45</v>
      </c>
    </row>
    <row r="3" spans="1:12" x14ac:dyDescent="0.3">
      <c r="A3" s="114" t="s">
        <v>38</v>
      </c>
      <c r="B3" s="185">
        <v>45566</v>
      </c>
      <c r="C3" s="185">
        <v>45596</v>
      </c>
      <c r="D3" s="109" t="s">
        <v>339</v>
      </c>
      <c r="E3" s="161">
        <v>60000</v>
      </c>
      <c r="F3" s="161">
        <v>780000</v>
      </c>
      <c r="G3" s="171">
        <v>0.38</v>
      </c>
    </row>
    <row r="4" spans="1:12" x14ac:dyDescent="0.3">
      <c r="A4" s="112" t="s">
        <v>15</v>
      </c>
      <c r="B4" s="184">
        <v>45651</v>
      </c>
      <c r="C4" s="184">
        <v>45667</v>
      </c>
      <c r="D4" s="106" t="s">
        <v>340</v>
      </c>
      <c r="E4" s="160">
        <v>55000</v>
      </c>
      <c r="F4" s="160">
        <v>700000</v>
      </c>
      <c r="G4" s="170">
        <v>0.41</v>
      </c>
    </row>
    <row r="5" spans="1:12" x14ac:dyDescent="0.3">
      <c r="A5" s="114" t="s">
        <v>22</v>
      </c>
      <c r="B5" s="185">
        <v>45717</v>
      </c>
      <c r="C5" s="185">
        <v>45747</v>
      </c>
      <c r="D5" s="109" t="s">
        <v>341</v>
      </c>
      <c r="E5" s="161">
        <v>40000</v>
      </c>
      <c r="F5" s="161">
        <v>550000</v>
      </c>
      <c r="G5" s="171">
        <v>0.32</v>
      </c>
    </row>
    <row r="6" spans="1:12" x14ac:dyDescent="0.3">
      <c r="A6" s="116" t="s">
        <v>18</v>
      </c>
      <c r="B6" s="186">
        <v>45901</v>
      </c>
      <c r="C6" s="186">
        <v>45930</v>
      </c>
      <c r="D6" s="99" t="s">
        <v>342</v>
      </c>
      <c r="E6" s="168">
        <v>75000</v>
      </c>
      <c r="F6" s="168">
        <v>880000</v>
      </c>
      <c r="G6" s="172">
        <v>0.47</v>
      </c>
    </row>
    <row r="8" spans="1:12" ht="18" x14ac:dyDescent="0.35">
      <c r="A8" s="144" t="s">
        <v>491</v>
      </c>
      <c r="B8" s="142"/>
      <c r="C8" s="142"/>
      <c r="D8" s="142"/>
      <c r="E8" s="142"/>
      <c r="F8" s="187"/>
    </row>
    <row r="9" spans="1:12" ht="18" x14ac:dyDescent="0.3">
      <c r="A9" s="144" t="s">
        <v>493</v>
      </c>
      <c r="B9" s="144"/>
      <c r="C9" s="144"/>
      <c r="D9" s="144"/>
      <c r="E9" s="144"/>
      <c r="F9" s="129"/>
      <c r="G9" s="129"/>
      <c r="H9" s="129"/>
      <c r="I9" s="129"/>
      <c r="J9" s="129"/>
      <c r="K9" s="129"/>
      <c r="L9" s="1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531A-D63E-4F3C-B3DA-37F85A7AA88D}">
  <dimension ref="A1:P83"/>
  <sheetViews>
    <sheetView topLeftCell="A46" workbookViewId="0">
      <selection activeCell="D73" sqref="D73:F77"/>
    </sheetView>
  </sheetViews>
  <sheetFormatPr defaultRowHeight="14.4" x14ac:dyDescent="0.3"/>
  <cols>
    <col min="1" max="1" width="12.5546875" bestFit="1" customWidth="1"/>
    <col min="2" max="2" width="31.88671875" bestFit="1" customWidth="1"/>
    <col min="3" max="3" width="15.33203125" bestFit="1" customWidth="1"/>
    <col min="4" max="4" width="16.6640625" bestFit="1" customWidth="1"/>
    <col min="6" max="6" width="10.21875" customWidth="1"/>
    <col min="7" max="7" width="20.44140625" customWidth="1"/>
    <col min="13" max="13" width="16.6640625" bestFit="1" customWidth="1"/>
    <col min="14" max="14" width="11.5546875" hidden="1" customWidth="1"/>
    <col min="15" max="15" width="13.109375" hidden="1" customWidth="1"/>
    <col min="16" max="16" width="16.6640625" hidden="1" customWidth="1"/>
    <col min="17" max="17" width="16.33203125" bestFit="1" customWidth="1"/>
    <col min="18" max="18" width="17.88671875" bestFit="1" customWidth="1"/>
    <col min="19" max="19" width="21.5546875" bestFit="1" customWidth="1"/>
  </cols>
  <sheetData>
    <row r="1" spans="1:11" x14ac:dyDescent="0.3">
      <c r="A1" s="130" t="s">
        <v>354</v>
      </c>
      <c r="B1" s="131"/>
      <c r="C1" s="131"/>
      <c r="D1" s="131"/>
      <c r="E1" s="131"/>
      <c r="F1" s="40"/>
      <c r="G1" s="40"/>
      <c r="H1" s="40"/>
    </row>
    <row r="2" spans="1:11" x14ac:dyDescent="0.3">
      <c r="A2" s="130" t="s">
        <v>355</v>
      </c>
      <c r="B2" s="131"/>
      <c r="C2" s="131"/>
      <c r="D2" s="131"/>
      <c r="E2" s="131"/>
      <c r="F2" s="40"/>
      <c r="G2" s="40"/>
      <c r="H2" s="40"/>
    </row>
    <row r="3" spans="1:11" x14ac:dyDescent="0.3">
      <c r="A3" s="130" t="s">
        <v>356</v>
      </c>
      <c r="B3" s="131"/>
      <c r="C3" s="131"/>
      <c r="D3" s="131"/>
      <c r="E3" s="131"/>
      <c r="F3" s="40"/>
      <c r="G3" s="40"/>
      <c r="H3" s="40"/>
    </row>
    <row r="4" spans="1:11" x14ac:dyDescent="0.3">
      <c r="A4" s="130" t="s">
        <v>357</v>
      </c>
      <c r="B4" s="131"/>
      <c r="C4" s="131"/>
      <c r="D4" s="131"/>
      <c r="E4" s="131"/>
      <c r="F4" s="40"/>
      <c r="G4" s="40"/>
      <c r="H4" s="40"/>
    </row>
    <row r="5" spans="1:11" x14ac:dyDescent="0.3">
      <c r="A5" s="130" t="s">
        <v>358</v>
      </c>
      <c r="B5" s="131"/>
      <c r="C5" s="131"/>
      <c r="D5" s="131"/>
      <c r="E5" s="131"/>
      <c r="F5" s="40"/>
      <c r="G5" s="40"/>
      <c r="H5" s="40"/>
    </row>
    <row r="6" spans="1:11" x14ac:dyDescent="0.3">
      <c r="A6" s="130" t="s">
        <v>359</v>
      </c>
      <c r="B6" s="131"/>
      <c r="C6" s="131"/>
      <c r="D6" s="131"/>
      <c r="E6" s="131"/>
      <c r="F6" s="40"/>
      <c r="G6" s="40"/>
      <c r="H6" s="40"/>
    </row>
    <row r="7" spans="1:11" x14ac:dyDescent="0.3">
      <c r="A7" s="130" t="s">
        <v>360</v>
      </c>
      <c r="B7" s="131"/>
      <c r="C7" s="131"/>
      <c r="D7" s="131"/>
      <c r="E7" s="131"/>
      <c r="F7" s="40"/>
      <c r="G7" s="40"/>
      <c r="H7" s="40"/>
    </row>
    <row r="8" spans="1:11" x14ac:dyDescent="0.3">
      <c r="A8" s="130" t="s">
        <v>361</v>
      </c>
      <c r="B8" s="131"/>
      <c r="C8" s="131"/>
      <c r="D8" s="131"/>
      <c r="E8" s="131"/>
      <c r="F8" s="131"/>
      <c r="G8" s="40"/>
      <c r="H8" s="40"/>
    </row>
    <row r="14" spans="1:11" x14ac:dyDescent="0.3">
      <c r="A14" s="130" t="s">
        <v>355</v>
      </c>
      <c r="B14" s="132"/>
      <c r="C14" s="132"/>
    </row>
    <row r="15" spans="1:11" x14ac:dyDescent="0.3">
      <c r="A15" s="37" t="s">
        <v>1</v>
      </c>
      <c r="B15" s="39" t="s">
        <v>365</v>
      </c>
    </row>
    <row r="16" spans="1:11" ht="15.6" x14ac:dyDescent="0.3">
      <c r="A16" s="38" t="s">
        <v>20</v>
      </c>
      <c r="B16" s="39">
        <v>0.1177713560163894</v>
      </c>
      <c r="C16" s="136" t="s">
        <v>433</v>
      </c>
      <c r="D16" s="136"/>
      <c r="E16" s="136"/>
      <c r="F16" s="136"/>
      <c r="G16" s="136"/>
      <c r="H16" s="136"/>
      <c r="I16" s="136"/>
      <c r="J16" s="137"/>
      <c r="K16" s="137"/>
    </row>
    <row r="17" spans="1:13" ht="15.6" x14ac:dyDescent="0.3">
      <c r="A17" s="38" t="s">
        <v>17</v>
      </c>
      <c r="B17" s="39">
        <v>0.12413746843755114</v>
      </c>
      <c r="C17" s="136" t="s">
        <v>434</v>
      </c>
      <c r="D17" s="136"/>
      <c r="E17" s="136"/>
      <c r="F17" s="136"/>
      <c r="G17" s="137"/>
    </row>
    <row r="18" spans="1:13" x14ac:dyDescent="0.3">
      <c r="A18" s="138" t="s">
        <v>34</v>
      </c>
      <c r="B18" s="139">
        <v>0.13887772583296507</v>
      </c>
    </row>
    <row r="19" spans="1:13" x14ac:dyDescent="0.3">
      <c r="A19" s="38" t="s">
        <v>13</v>
      </c>
      <c r="B19" s="39">
        <v>0.1121882803999053</v>
      </c>
    </row>
    <row r="20" spans="1:13" x14ac:dyDescent="0.3">
      <c r="A20" s="38" t="s">
        <v>364</v>
      </c>
      <c r="B20" s="39">
        <v>0.12284132745362931</v>
      </c>
    </row>
    <row r="25" spans="1:13" x14ac:dyDescent="0.3">
      <c r="A25" s="130" t="s">
        <v>357</v>
      </c>
      <c r="B25" s="132"/>
      <c r="C25" s="132"/>
    </row>
    <row r="26" spans="1:13" x14ac:dyDescent="0.3">
      <c r="A26" s="2" t="s">
        <v>0</v>
      </c>
      <c r="B26" s="3" t="s">
        <v>1</v>
      </c>
      <c r="C26" s="40" t="s">
        <v>353</v>
      </c>
    </row>
    <row r="27" spans="1:13" x14ac:dyDescent="0.3">
      <c r="A27" s="6" t="s">
        <v>108</v>
      </c>
      <c r="B27" s="7" t="s">
        <v>17</v>
      </c>
      <c r="C27" s="47">
        <v>0.49054105563022848</v>
      </c>
      <c r="D27" s="134"/>
    </row>
    <row r="28" spans="1:13" ht="15.6" x14ac:dyDescent="0.3">
      <c r="A28" s="6" t="s">
        <v>227</v>
      </c>
      <c r="B28" s="7" t="s">
        <v>13</v>
      </c>
      <c r="C28" s="47">
        <v>0.48803915290673738</v>
      </c>
      <c r="E28" s="136" t="s">
        <v>435</v>
      </c>
      <c r="F28" s="136"/>
      <c r="G28" s="136"/>
      <c r="H28" s="136"/>
      <c r="I28" s="136"/>
      <c r="J28" s="136"/>
      <c r="K28" s="136"/>
      <c r="L28" s="136"/>
      <c r="M28" s="137"/>
    </row>
    <row r="29" spans="1:13" ht="15.6" x14ac:dyDescent="0.3">
      <c r="A29" s="6" t="s">
        <v>147</v>
      </c>
      <c r="B29" s="7" t="s">
        <v>17</v>
      </c>
      <c r="C29" s="47">
        <v>0.454928065278076</v>
      </c>
      <c r="E29" s="136" t="s">
        <v>436</v>
      </c>
      <c r="F29" s="137"/>
      <c r="G29" s="137"/>
      <c r="H29" s="137"/>
      <c r="I29" s="137"/>
      <c r="J29" s="137"/>
      <c r="K29" s="137"/>
      <c r="L29" s="137"/>
      <c r="M29" s="137"/>
    </row>
    <row r="30" spans="1:13" x14ac:dyDescent="0.3">
      <c r="A30" s="6" t="s">
        <v>153</v>
      </c>
      <c r="B30" s="7" t="s">
        <v>34</v>
      </c>
      <c r="C30" s="47">
        <v>0.41655672298962027</v>
      </c>
    </row>
    <row r="31" spans="1:13" x14ac:dyDescent="0.3">
      <c r="A31" s="6" t="s">
        <v>37</v>
      </c>
      <c r="B31" s="7" t="s">
        <v>13</v>
      </c>
      <c r="C31" s="47">
        <v>0.40382152376337016</v>
      </c>
    </row>
    <row r="32" spans="1:13" x14ac:dyDescent="0.3">
      <c r="A32" s="6" t="s">
        <v>149</v>
      </c>
      <c r="B32" s="7" t="s">
        <v>34</v>
      </c>
      <c r="C32" s="47">
        <v>0.39401343921808185</v>
      </c>
    </row>
    <row r="33" spans="1:10" x14ac:dyDescent="0.3">
      <c r="A33" s="6" t="s">
        <v>313</v>
      </c>
      <c r="B33" s="7" t="s">
        <v>20</v>
      </c>
      <c r="C33" s="47">
        <v>0.36764099509781462</v>
      </c>
    </row>
    <row r="34" spans="1:10" x14ac:dyDescent="0.3">
      <c r="A34" s="6" t="s">
        <v>252</v>
      </c>
      <c r="B34" s="7" t="s">
        <v>34</v>
      </c>
      <c r="C34" s="47">
        <v>0.35412345125301342</v>
      </c>
    </row>
    <row r="35" spans="1:10" x14ac:dyDescent="0.3">
      <c r="A35" s="6" t="s">
        <v>257</v>
      </c>
      <c r="B35" s="7" t="s">
        <v>34</v>
      </c>
      <c r="C35" s="47">
        <v>0.33944448049841003</v>
      </c>
    </row>
    <row r="36" spans="1:10" x14ac:dyDescent="0.3">
      <c r="A36" s="10" t="s">
        <v>211</v>
      </c>
      <c r="B36" s="11" t="s">
        <v>20</v>
      </c>
      <c r="C36" s="48">
        <v>0.33811899081905589</v>
      </c>
    </row>
    <row r="39" spans="1:10" ht="15.6" x14ac:dyDescent="0.3">
      <c r="A39" s="130" t="s">
        <v>359</v>
      </c>
      <c r="B39" s="132"/>
      <c r="C39" s="132"/>
      <c r="D39" s="132"/>
      <c r="F39" s="136" t="s">
        <v>437</v>
      </c>
      <c r="G39" s="136"/>
      <c r="H39" s="137"/>
      <c r="I39" s="137"/>
      <c r="J39" s="137"/>
    </row>
    <row r="40" spans="1:10" ht="15.6" x14ac:dyDescent="0.3">
      <c r="A40" s="45" t="s">
        <v>362</v>
      </c>
      <c r="B40" s="14" t="s">
        <v>367</v>
      </c>
      <c r="C40" s="14" t="s">
        <v>370</v>
      </c>
      <c r="D40" s="14" t="s">
        <v>372</v>
      </c>
      <c r="E40" s="135"/>
      <c r="F40" s="136" t="s">
        <v>438</v>
      </c>
      <c r="G40" s="137"/>
      <c r="H40" s="137"/>
      <c r="I40" s="137"/>
      <c r="J40" s="137"/>
    </row>
    <row r="41" spans="1:10" x14ac:dyDescent="0.3">
      <c r="A41" s="46" t="s">
        <v>20</v>
      </c>
      <c r="B41" s="14">
        <v>947196</v>
      </c>
      <c r="C41" s="14">
        <v>63205</v>
      </c>
      <c r="D41" s="14">
        <v>40786</v>
      </c>
    </row>
    <row r="42" spans="1:10" x14ac:dyDescent="0.3">
      <c r="A42" s="67" t="s">
        <v>30</v>
      </c>
      <c r="B42" s="14">
        <v>278757</v>
      </c>
      <c r="C42" s="14">
        <v>16508</v>
      </c>
      <c r="D42" s="14">
        <v>13676</v>
      </c>
    </row>
    <row r="43" spans="1:10" x14ac:dyDescent="0.3">
      <c r="A43" s="67" t="s">
        <v>14</v>
      </c>
      <c r="B43" s="14">
        <v>218031</v>
      </c>
      <c r="C43" s="14">
        <v>18753</v>
      </c>
      <c r="D43" s="14">
        <v>10389</v>
      </c>
    </row>
    <row r="44" spans="1:10" x14ac:dyDescent="0.3">
      <c r="A44" s="67" t="s">
        <v>21</v>
      </c>
      <c r="B44" s="14">
        <v>206053</v>
      </c>
      <c r="C44" s="14">
        <v>14750</v>
      </c>
      <c r="D44" s="14">
        <v>9295</v>
      </c>
    </row>
    <row r="45" spans="1:10" x14ac:dyDescent="0.3">
      <c r="A45" s="67" t="s">
        <v>24</v>
      </c>
      <c r="B45" s="14">
        <v>244355</v>
      </c>
      <c r="C45" s="14">
        <v>13194</v>
      </c>
      <c r="D45" s="14">
        <v>7426</v>
      </c>
    </row>
    <row r="46" spans="1:10" x14ac:dyDescent="0.3">
      <c r="A46" s="140" t="s">
        <v>17</v>
      </c>
      <c r="B46" s="141">
        <v>1134366</v>
      </c>
      <c r="C46" s="141">
        <v>70960</v>
      </c>
      <c r="D46" s="141">
        <v>49700</v>
      </c>
    </row>
    <row r="47" spans="1:10" hidden="1" x14ac:dyDescent="0.3">
      <c r="A47" s="67" t="s">
        <v>30</v>
      </c>
      <c r="B47" s="14">
        <v>246297</v>
      </c>
      <c r="C47" s="14">
        <v>18856</v>
      </c>
      <c r="D47" s="14">
        <v>12611</v>
      </c>
    </row>
    <row r="48" spans="1:10" x14ac:dyDescent="0.3">
      <c r="A48" s="67" t="s">
        <v>14</v>
      </c>
      <c r="B48" s="14">
        <v>329722</v>
      </c>
      <c r="C48" s="14">
        <v>19905</v>
      </c>
      <c r="D48" s="14">
        <v>14305</v>
      </c>
    </row>
    <row r="49" spans="1:4" x14ac:dyDescent="0.3">
      <c r="A49" s="67" t="s">
        <v>21</v>
      </c>
      <c r="B49" s="14">
        <v>279588</v>
      </c>
      <c r="C49" s="14">
        <v>17963</v>
      </c>
      <c r="D49" s="14">
        <v>11014</v>
      </c>
    </row>
    <row r="50" spans="1:4" x14ac:dyDescent="0.3">
      <c r="A50" s="67" t="s">
        <v>24</v>
      </c>
      <c r="B50" s="14">
        <v>278759</v>
      </c>
      <c r="C50" s="14">
        <v>14236</v>
      </c>
      <c r="D50" s="14">
        <v>11770</v>
      </c>
    </row>
    <row r="51" spans="1:4" x14ac:dyDescent="0.3">
      <c r="A51" s="46" t="s">
        <v>34</v>
      </c>
      <c r="B51" s="14">
        <v>1037623</v>
      </c>
      <c r="C51" s="14">
        <v>59661</v>
      </c>
      <c r="D51" s="14">
        <v>39273</v>
      </c>
    </row>
    <row r="52" spans="1:4" x14ac:dyDescent="0.3">
      <c r="A52" s="67" t="s">
        <v>30</v>
      </c>
      <c r="B52" s="14">
        <v>394886</v>
      </c>
      <c r="C52" s="14">
        <v>21298</v>
      </c>
      <c r="D52" s="14">
        <v>14381</v>
      </c>
    </row>
    <row r="53" spans="1:4" x14ac:dyDescent="0.3">
      <c r="A53" s="67" t="s">
        <v>14</v>
      </c>
      <c r="B53" s="14">
        <v>148676</v>
      </c>
      <c r="C53" s="14">
        <v>7832</v>
      </c>
      <c r="D53" s="14">
        <v>6092</v>
      </c>
    </row>
    <row r="54" spans="1:4" x14ac:dyDescent="0.3">
      <c r="A54" s="67" t="s">
        <v>21</v>
      </c>
      <c r="B54" s="14">
        <v>249305</v>
      </c>
      <c r="C54" s="14">
        <v>15862</v>
      </c>
      <c r="D54" s="14">
        <v>9160</v>
      </c>
    </row>
    <row r="55" spans="1:4" x14ac:dyDescent="0.3">
      <c r="A55" s="67" t="s">
        <v>24</v>
      </c>
      <c r="B55" s="14">
        <v>244756</v>
      </c>
      <c r="C55" s="14">
        <v>14669</v>
      </c>
      <c r="D55" s="14">
        <v>9640</v>
      </c>
    </row>
    <row r="56" spans="1:4" x14ac:dyDescent="0.3">
      <c r="A56" s="46" t="s">
        <v>13</v>
      </c>
      <c r="B56" s="14">
        <v>948258</v>
      </c>
      <c r="C56" s="14">
        <v>67460</v>
      </c>
      <c r="D56" s="14">
        <v>42629</v>
      </c>
    </row>
    <row r="57" spans="1:4" x14ac:dyDescent="0.3">
      <c r="A57" s="67" t="s">
        <v>30</v>
      </c>
      <c r="B57" s="14">
        <v>279732</v>
      </c>
      <c r="C57" s="14">
        <v>24668</v>
      </c>
      <c r="D57" s="14">
        <v>13714</v>
      </c>
    </row>
    <row r="58" spans="1:4" x14ac:dyDescent="0.3">
      <c r="A58" s="67" t="s">
        <v>14</v>
      </c>
      <c r="B58" s="14">
        <v>195079</v>
      </c>
      <c r="C58" s="14">
        <v>10604</v>
      </c>
      <c r="D58" s="14">
        <v>8277</v>
      </c>
    </row>
    <row r="59" spans="1:4" x14ac:dyDescent="0.3">
      <c r="A59" s="67" t="s">
        <v>21</v>
      </c>
      <c r="B59" s="14">
        <v>187129</v>
      </c>
      <c r="C59" s="14">
        <v>14136</v>
      </c>
      <c r="D59" s="14">
        <v>8101</v>
      </c>
    </row>
    <row r="60" spans="1:4" x14ac:dyDescent="0.3">
      <c r="A60" s="67" t="s">
        <v>24</v>
      </c>
      <c r="B60" s="14">
        <v>286318</v>
      </c>
      <c r="C60" s="14">
        <v>18052</v>
      </c>
      <c r="D60" s="14">
        <v>12537</v>
      </c>
    </row>
    <row r="61" spans="1:4" x14ac:dyDescent="0.3">
      <c r="A61" s="46" t="s">
        <v>364</v>
      </c>
      <c r="B61" s="14">
        <v>4067443</v>
      </c>
      <c r="C61" s="14">
        <v>261286</v>
      </c>
      <c r="D61" s="14">
        <v>172388</v>
      </c>
    </row>
    <row r="66" spans="1:12" ht="15.6" x14ac:dyDescent="0.3">
      <c r="A66" s="133" t="s">
        <v>375</v>
      </c>
      <c r="B66" s="132"/>
      <c r="C66" s="132"/>
      <c r="D66" s="132"/>
      <c r="E66" s="132"/>
      <c r="F66" s="132"/>
      <c r="G66" s="132"/>
    </row>
    <row r="67" spans="1:12" ht="15.6" x14ac:dyDescent="0.3">
      <c r="A67" s="133" t="s">
        <v>376</v>
      </c>
      <c r="B67" s="150"/>
      <c r="C67" s="150"/>
      <c r="D67" s="150"/>
      <c r="E67" s="150"/>
      <c r="F67" s="150"/>
      <c r="G67" s="150"/>
    </row>
    <row r="70" spans="1:12" ht="15.6" x14ac:dyDescent="0.3">
      <c r="B70" s="45" t="s">
        <v>4</v>
      </c>
      <c r="C70" s="50" t="s">
        <v>374</v>
      </c>
      <c r="D70" s="136" t="s">
        <v>481</v>
      </c>
      <c r="E70" s="136"/>
      <c r="F70" s="136"/>
      <c r="G70" s="136"/>
      <c r="H70" s="137"/>
      <c r="I70" s="137"/>
      <c r="J70" s="137"/>
    </row>
    <row r="71" spans="1:12" ht="15.6" x14ac:dyDescent="0.3">
      <c r="B71" s="146" t="s">
        <v>349</v>
      </c>
      <c r="C71" s="147">
        <v>1811.3103448275863</v>
      </c>
      <c r="D71" s="136" t="s">
        <v>439</v>
      </c>
      <c r="E71" s="136"/>
      <c r="F71" s="136"/>
      <c r="G71" s="136"/>
      <c r="H71" s="136"/>
      <c r="I71" s="136"/>
      <c r="J71" s="136"/>
      <c r="K71" s="135"/>
      <c r="L71" s="135"/>
    </row>
    <row r="72" spans="1:12" ht="15.6" x14ac:dyDescent="0.3">
      <c r="B72" s="55" t="s">
        <v>348</v>
      </c>
      <c r="C72" s="178">
        <v>1711.5135135135135</v>
      </c>
      <c r="D72" s="136" t="s">
        <v>482</v>
      </c>
      <c r="E72" s="136"/>
      <c r="F72" s="136"/>
      <c r="G72" s="136"/>
      <c r="H72" s="136"/>
      <c r="I72" s="136"/>
      <c r="J72" s="137"/>
    </row>
    <row r="73" spans="1:12" ht="15.6" x14ac:dyDescent="0.3">
      <c r="B73" s="55" t="s">
        <v>351</v>
      </c>
      <c r="C73" s="178">
        <v>1706.76</v>
      </c>
      <c r="D73" s="145" t="s">
        <v>349</v>
      </c>
      <c r="E73" s="136"/>
      <c r="F73" s="136"/>
      <c r="G73" s="136"/>
      <c r="H73" s="136"/>
      <c r="I73" s="136"/>
      <c r="J73" s="137"/>
    </row>
    <row r="74" spans="1:12" ht="15.6" x14ac:dyDescent="0.3">
      <c r="B74" s="55" t="s">
        <v>344</v>
      </c>
      <c r="C74" s="178">
        <v>1680.3571428571429</v>
      </c>
      <c r="D74" s="145" t="s">
        <v>348</v>
      </c>
      <c r="E74" s="136"/>
      <c r="F74" s="136"/>
      <c r="G74" s="136"/>
      <c r="H74" s="136"/>
      <c r="I74" s="136"/>
      <c r="J74" s="137"/>
    </row>
    <row r="75" spans="1:12" ht="15.6" x14ac:dyDescent="0.3">
      <c r="B75" s="55" t="s">
        <v>343</v>
      </c>
      <c r="C75" s="178">
        <v>1674.96</v>
      </c>
      <c r="D75" s="145" t="s">
        <v>351</v>
      </c>
      <c r="E75" s="136"/>
      <c r="F75" s="136"/>
      <c r="G75" s="136"/>
      <c r="H75" s="136"/>
      <c r="I75" s="136"/>
      <c r="J75" s="137"/>
    </row>
    <row r="76" spans="1:12" ht="15.6" x14ac:dyDescent="0.3">
      <c r="B76" s="46" t="s">
        <v>28</v>
      </c>
      <c r="C76" s="56">
        <v>1592.9375</v>
      </c>
      <c r="D76" s="145" t="s">
        <v>344</v>
      </c>
      <c r="E76" s="136"/>
      <c r="F76" s="136"/>
      <c r="G76" s="136"/>
      <c r="H76" s="136"/>
      <c r="I76" s="136"/>
      <c r="J76" s="137"/>
    </row>
    <row r="77" spans="1:12" ht="15.6" x14ac:dyDescent="0.3">
      <c r="B77" s="46" t="s">
        <v>345</v>
      </c>
      <c r="C77" s="56">
        <v>1592.72</v>
      </c>
      <c r="D77" s="145" t="s">
        <v>343</v>
      </c>
      <c r="E77" s="136"/>
      <c r="F77" s="136"/>
      <c r="G77" s="136"/>
      <c r="H77" s="136"/>
      <c r="I77" s="136"/>
      <c r="J77" s="137"/>
    </row>
    <row r="78" spans="1:12" x14ac:dyDescent="0.3">
      <c r="B78" s="46" t="s">
        <v>350</v>
      </c>
      <c r="C78" s="56">
        <v>1579.4375</v>
      </c>
    </row>
    <row r="79" spans="1:12" x14ac:dyDescent="0.3">
      <c r="B79" s="46" t="s">
        <v>346</v>
      </c>
      <c r="C79" s="56">
        <v>1477.2631578947369</v>
      </c>
    </row>
    <row r="80" spans="1:12" x14ac:dyDescent="0.3">
      <c r="B80" s="46" t="s">
        <v>347</v>
      </c>
      <c r="C80" s="56">
        <v>1463.2941176470588</v>
      </c>
    </row>
    <row r="81" spans="2:3" x14ac:dyDescent="0.3">
      <c r="B81" s="46" t="s">
        <v>352</v>
      </c>
      <c r="C81" s="56">
        <v>1459.3076923076924</v>
      </c>
    </row>
    <row r="82" spans="2:3" x14ac:dyDescent="0.3">
      <c r="B82" s="46" t="s">
        <v>55</v>
      </c>
      <c r="C82" s="56">
        <v>1289.4117647058824</v>
      </c>
    </row>
    <row r="83" spans="2:3" x14ac:dyDescent="0.3">
      <c r="B83" s="46" t="s">
        <v>364</v>
      </c>
      <c r="C83" s="56">
        <v>1606.6833333333334</v>
      </c>
    </row>
  </sheetData>
  <conditionalFormatting sqref="A26:A36">
    <cfRule type="duplicateValues" dxfId="44" priority="2"/>
  </conditionalFormatting>
  <pageMargins left="0.7" right="0.7" top="0.75" bottom="0.75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0BED-134C-4E03-946A-AA2BF74964D4}">
  <dimension ref="A1:C11"/>
  <sheetViews>
    <sheetView workbookViewId="0">
      <pane xSplit="2" ySplit="1" topLeftCell="C2" activePane="bottomRight" state="frozen"/>
      <selection pane="topRight" activeCell="L1" sqref="L1"/>
      <selection pane="bottomLeft" activeCell="A11" sqref="A11"/>
      <selection pane="bottomRight" sqref="A1:C11"/>
    </sheetView>
  </sheetViews>
  <sheetFormatPr defaultRowHeight="14.4" x14ac:dyDescent="0.3"/>
  <cols>
    <col min="2" max="2" width="12.77734375" bestFit="1" customWidth="1"/>
    <col min="3" max="3" width="17.21875" customWidth="1"/>
  </cols>
  <sheetData>
    <row r="1" spans="1:3" ht="14.25" customHeight="1" x14ac:dyDescent="0.3">
      <c r="A1" s="2" t="s">
        <v>0</v>
      </c>
      <c r="B1" s="3" t="s">
        <v>1</v>
      </c>
      <c r="C1" s="40" t="s">
        <v>353</v>
      </c>
    </row>
    <row r="2" spans="1:3" ht="14.25" customHeight="1" x14ac:dyDescent="0.3">
      <c r="A2" s="6" t="s">
        <v>108</v>
      </c>
      <c r="B2" s="7" t="s">
        <v>17</v>
      </c>
      <c r="C2" s="43">
        <v>0.49054105563022848</v>
      </c>
    </row>
    <row r="3" spans="1:3" ht="14.25" customHeight="1" x14ac:dyDescent="0.3">
      <c r="A3" s="6" t="s">
        <v>227</v>
      </c>
      <c r="B3" s="7" t="s">
        <v>13</v>
      </c>
      <c r="C3" s="43">
        <v>0.48803915290673738</v>
      </c>
    </row>
    <row r="4" spans="1:3" ht="14.25" customHeight="1" x14ac:dyDescent="0.3">
      <c r="A4" s="6" t="s">
        <v>147</v>
      </c>
      <c r="B4" s="7" t="s">
        <v>17</v>
      </c>
      <c r="C4" s="43">
        <v>0.454928065278076</v>
      </c>
    </row>
    <row r="5" spans="1:3" ht="14.25" customHeight="1" x14ac:dyDescent="0.3">
      <c r="A5" s="6" t="s">
        <v>153</v>
      </c>
      <c r="B5" s="7" t="s">
        <v>34</v>
      </c>
      <c r="C5" s="43">
        <v>0.41655672298962027</v>
      </c>
    </row>
    <row r="6" spans="1:3" ht="14.25" customHeight="1" x14ac:dyDescent="0.3">
      <c r="A6" s="6" t="s">
        <v>37</v>
      </c>
      <c r="B6" s="7" t="s">
        <v>13</v>
      </c>
      <c r="C6" s="43">
        <v>0.40382152376337016</v>
      </c>
    </row>
    <row r="7" spans="1:3" ht="14.25" customHeight="1" x14ac:dyDescent="0.3">
      <c r="A7" s="6" t="s">
        <v>149</v>
      </c>
      <c r="B7" s="7" t="s">
        <v>34</v>
      </c>
      <c r="C7" s="43">
        <v>0.39401343921808185</v>
      </c>
    </row>
    <row r="8" spans="1:3" ht="14.25" customHeight="1" x14ac:dyDescent="0.3">
      <c r="A8" s="6" t="s">
        <v>313</v>
      </c>
      <c r="B8" s="7" t="s">
        <v>20</v>
      </c>
      <c r="C8" s="43">
        <v>0.36764099509781462</v>
      </c>
    </row>
    <row r="9" spans="1:3" ht="14.25" customHeight="1" x14ac:dyDescent="0.3">
      <c r="A9" s="6" t="s">
        <v>252</v>
      </c>
      <c r="B9" s="7" t="s">
        <v>34</v>
      </c>
      <c r="C9" s="43">
        <v>0.35412345125301342</v>
      </c>
    </row>
    <row r="10" spans="1:3" ht="14.25" customHeight="1" x14ac:dyDescent="0.3">
      <c r="A10" s="6" t="s">
        <v>257</v>
      </c>
      <c r="B10" s="7" t="s">
        <v>34</v>
      </c>
      <c r="C10" s="43">
        <v>0.33944448049841003</v>
      </c>
    </row>
    <row r="11" spans="1:3" ht="14.25" customHeight="1" x14ac:dyDescent="0.3">
      <c r="A11" s="10" t="s">
        <v>211</v>
      </c>
      <c r="B11" s="11" t="s">
        <v>20</v>
      </c>
      <c r="C11" s="44">
        <v>0.33811899081905589</v>
      </c>
    </row>
  </sheetData>
  <conditionalFormatting sqref="A1:A11">
    <cfRule type="duplicateValues" dxfId="43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F460-FFAC-4470-A2AF-26E2026B1920}">
  <dimension ref="A3:S11"/>
  <sheetViews>
    <sheetView topLeftCell="I1" workbookViewId="0">
      <selection activeCell="A3" sqref="A3:S11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109375" bestFit="1" customWidth="1"/>
    <col min="4" max="4" width="16.6640625" bestFit="1" customWidth="1"/>
    <col min="5" max="5" width="11.5546875" bestFit="1" customWidth="1"/>
    <col min="6" max="6" width="13.109375" bestFit="1" customWidth="1"/>
    <col min="7" max="7" width="16.6640625" bestFit="1" customWidth="1"/>
    <col min="8" max="8" width="11.5546875" bestFit="1" customWidth="1"/>
    <col min="9" max="9" width="13.109375" bestFit="1" customWidth="1"/>
    <col min="10" max="10" width="16.6640625" bestFit="1" customWidth="1"/>
    <col min="11" max="11" width="11.5546875" bestFit="1" customWidth="1"/>
    <col min="12" max="12" width="13.109375" bestFit="1" customWidth="1"/>
    <col min="13" max="13" width="16.6640625" bestFit="1" customWidth="1"/>
    <col min="14" max="14" width="11.5546875" bestFit="1" customWidth="1"/>
    <col min="15" max="15" width="13.109375" bestFit="1" customWidth="1"/>
    <col min="16" max="16" width="16.6640625" bestFit="1" customWidth="1"/>
    <col min="17" max="17" width="16.33203125" bestFit="1" customWidth="1"/>
    <col min="18" max="18" width="17.88671875" bestFit="1" customWidth="1"/>
    <col min="19" max="19" width="21.5546875" bestFit="1" customWidth="1"/>
  </cols>
  <sheetData>
    <row r="3" spans="1:19" x14ac:dyDescent="0.3">
      <c r="B3" s="37" t="s">
        <v>366</v>
      </c>
    </row>
    <row r="4" spans="1:19" x14ac:dyDescent="0.3">
      <c r="B4" t="s">
        <v>30</v>
      </c>
      <c r="E4" t="s">
        <v>14</v>
      </c>
      <c r="H4" t="s">
        <v>21</v>
      </c>
      <c r="K4" t="s">
        <v>24</v>
      </c>
      <c r="N4" t="s">
        <v>363</v>
      </c>
      <c r="Q4" t="s">
        <v>368</v>
      </c>
      <c r="R4" t="s">
        <v>369</v>
      </c>
      <c r="S4" t="s">
        <v>371</v>
      </c>
    </row>
    <row r="5" spans="1:19" x14ac:dyDescent="0.3">
      <c r="A5" s="37" t="s">
        <v>362</v>
      </c>
      <c r="B5" t="s">
        <v>367</v>
      </c>
      <c r="C5" t="s">
        <v>370</v>
      </c>
      <c r="D5" t="s">
        <v>372</v>
      </c>
      <c r="E5" t="s">
        <v>367</v>
      </c>
      <c r="F5" t="s">
        <v>370</v>
      </c>
      <c r="G5" t="s">
        <v>372</v>
      </c>
      <c r="H5" t="s">
        <v>367</v>
      </c>
      <c r="I5" t="s">
        <v>370</v>
      </c>
      <c r="J5" t="s">
        <v>372</v>
      </c>
      <c r="K5" t="s">
        <v>367</v>
      </c>
      <c r="L5" t="s">
        <v>370</v>
      </c>
      <c r="M5" t="s">
        <v>372</v>
      </c>
      <c r="N5" t="s">
        <v>367</v>
      </c>
      <c r="O5" t="s">
        <v>370</v>
      </c>
      <c r="P5" t="s">
        <v>372</v>
      </c>
    </row>
    <row r="6" spans="1:19" x14ac:dyDescent="0.3">
      <c r="A6" s="38" t="s">
        <v>20</v>
      </c>
      <c r="B6">
        <v>278757</v>
      </c>
      <c r="C6">
        <v>16508</v>
      </c>
      <c r="D6">
        <v>13676</v>
      </c>
      <c r="E6">
        <v>218031</v>
      </c>
      <c r="F6">
        <v>18753</v>
      </c>
      <c r="G6">
        <v>10389</v>
      </c>
      <c r="H6">
        <v>206053</v>
      </c>
      <c r="I6">
        <v>14750</v>
      </c>
      <c r="J6">
        <v>9295</v>
      </c>
      <c r="K6">
        <v>244355</v>
      </c>
      <c r="L6">
        <v>13194</v>
      </c>
      <c r="M6">
        <v>7426</v>
      </c>
      <c r="Q6">
        <v>947196</v>
      </c>
      <c r="R6">
        <v>63205</v>
      </c>
      <c r="S6">
        <v>40786</v>
      </c>
    </row>
    <row r="7" spans="1:19" x14ac:dyDescent="0.3">
      <c r="A7" s="38" t="s">
        <v>17</v>
      </c>
      <c r="B7">
        <v>246297</v>
      </c>
      <c r="C7">
        <v>18856</v>
      </c>
      <c r="D7">
        <v>12611</v>
      </c>
      <c r="E7">
        <v>329722</v>
      </c>
      <c r="F7">
        <v>19905</v>
      </c>
      <c r="G7">
        <v>14305</v>
      </c>
      <c r="H7">
        <v>279588</v>
      </c>
      <c r="I7">
        <v>17963</v>
      </c>
      <c r="J7">
        <v>11014</v>
      </c>
      <c r="K7">
        <v>278759</v>
      </c>
      <c r="L7">
        <v>14236</v>
      </c>
      <c r="M7">
        <v>11770</v>
      </c>
      <c r="Q7">
        <v>1134366</v>
      </c>
      <c r="R7">
        <v>70960</v>
      </c>
      <c r="S7">
        <v>49700</v>
      </c>
    </row>
    <row r="8" spans="1:19" x14ac:dyDescent="0.3">
      <c r="A8" s="38" t="s">
        <v>34</v>
      </c>
      <c r="B8">
        <v>394886</v>
      </c>
      <c r="C8">
        <v>21298</v>
      </c>
      <c r="D8">
        <v>14381</v>
      </c>
      <c r="E8">
        <v>148676</v>
      </c>
      <c r="F8">
        <v>7832</v>
      </c>
      <c r="G8">
        <v>6092</v>
      </c>
      <c r="H8">
        <v>249305</v>
      </c>
      <c r="I8">
        <v>15862</v>
      </c>
      <c r="J8">
        <v>9160</v>
      </c>
      <c r="K8">
        <v>244756</v>
      </c>
      <c r="L8">
        <v>14669</v>
      </c>
      <c r="M8">
        <v>9640</v>
      </c>
      <c r="Q8">
        <v>1037623</v>
      </c>
      <c r="R8">
        <v>59661</v>
      </c>
      <c r="S8">
        <v>39273</v>
      </c>
    </row>
    <row r="9" spans="1:19" x14ac:dyDescent="0.3">
      <c r="A9" s="38" t="s">
        <v>13</v>
      </c>
      <c r="B9">
        <v>279732</v>
      </c>
      <c r="C9">
        <v>24668</v>
      </c>
      <c r="D9">
        <v>13714</v>
      </c>
      <c r="E9">
        <v>195079</v>
      </c>
      <c r="F9">
        <v>10604</v>
      </c>
      <c r="G9">
        <v>8277</v>
      </c>
      <c r="H9">
        <v>187129</v>
      </c>
      <c r="I9">
        <v>14136</v>
      </c>
      <c r="J9">
        <v>8101</v>
      </c>
      <c r="K9">
        <v>286318</v>
      </c>
      <c r="L9">
        <v>18052</v>
      </c>
      <c r="M9">
        <v>12537</v>
      </c>
      <c r="Q9">
        <v>948258</v>
      </c>
      <c r="R9">
        <v>67460</v>
      </c>
      <c r="S9">
        <v>42629</v>
      </c>
    </row>
    <row r="10" spans="1:19" x14ac:dyDescent="0.3">
      <c r="A10" s="38" t="s">
        <v>363</v>
      </c>
    </row>
    <row r="11" spans="1:19" x14ac:dyDescent="0.3">
      <c r="A11" s="38" t="s">
        <v>364</v>
      </c>
      <c r="B11">
        <v>1199672</v>
      </c>
      <c r="C11">
        <v>81330</v>
      </c>
      <c r="D11">
        <v>54382</v>
      </c>
      <c r="E11">
        <v>891508</v>
      </c>
      <c r="F11">
        <v>57094</v>
      </c>
      <c r="G11">
        <v>39063</v>
      </c>
      <c r="H11">
        <v>922075</v>
      </c>
      <c r="I11">
        <v>62711</v>
      </c>
      <c r="J11">
        <v>37570</v>
      </c>
      <c r="K11">
        <v>1054188</v>
      </c>
      <c r="L11">
        <v>60151</v>
      </c>
      <c r="M11">
        <v>41373</v>
      </c>
      <c r="Q11">
        <v>4067443</v>
      </c>
      <c r="R11">
        <v>261286</v>
      </c>
      <c r="S11">
        <v>172388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AAD7-7555-4246-808A-4F9E9EAC24B8}">
  <dimension ref="A3:B17"/>
  <sheetViews>
    <sheetView workbookViewId="0">
      <selection activeCell="A3" sqref="A3:B17"/>
    </sheetView>
  </sheetViews>
  <sheetFormatPr defaultRowHeight="14.4" x14ac:dyDescent="0.3"/>
  <cols>
    <col min="1" max="1" width="31.88671875" bestFit="1" customWidth="1"/>
    <col min="2" max="2" width="15.33203125" bestFit="1" customWidth="1"/>
  </cols>
  <sheetData>
    <row r="3" spans="1:2" x14ac:dyDescent="0.3">
      <c r="A3" s="37" t="s">
        <v>4</v>
      </c>
      <c r="B3" s="52" t="s">
        <v>374</v>
      </c>
    </row>
    <row r="4" spans="1:2" x14ac:dyDescent="0.3">
      <c r="A4" s="53" t="s">
        <v>349</v>
      </c>
      <c r="B4" s="54">
        <v>1811.3103448275863</v>
      </c>
    </row>
    <row r="5" spans="1:2" x14ac:dyDescent="0.3">
      <c r="A5" s="53" t="s">
        <v>348</v>
      </c>
      <c r="B5" s="54">
        <v>1711.5135135135135</v>
      </c>
    </row>
    <row r="6" spans="1:2" x14ac:dyDescent="0.3">
      <c r="A6" s="53" t="s">
        <v>351</v>
      </c>
      <c r="B6" s="54">
        <v>1706.76</v>
      </c>
    </row>
    <row r="7" spans="1:2" x14ac:dyDescent="0.3">
      <c r="A7" s="53" t="s">
        <v>344</v>
      </c>
      <c r="B7" s="54">
        <v>1680.3571428571429</v>
      </c>
    </row>
    <row r="8" spans="1:2" x14ac:dyDescent="0.3">
      <c r="A8" s="53" t="s">
        <v>343</v>
      </c>
      <c r="B8" s="54">
        <v>1674.96</v>
      </c>
    </row>
    <row r="9" spans="1:2" x14ac:dyDescent="0.3">
      <c r="A9" s="53" t="s">
        <v>28</v>
      </c>
      <c r="B9" s="54">
        <v>1592.9375</v>
      </c>
    </row>
    <row r="10" spans="1:2" x14ac:dyDescent="0.3">
      <c r="A10" s="38" t="s">
        <v>345</v>
      </c>
      <c r="B10" s="51">
        <v>1592.72</v>
      </c>
    </row>
    <row r="11" spans="1:2" x14ac:dyDescent="0.3">
      <c r="A11" s="38" t="s">
        <v>350</v>
      </c>
      <c r="B11" s="51">
        <v>1579.4375</v>
      </c>
    </row>
    <row r="12" spans="1:2" x14ac:dyDescent="0.3">
      <c r="A12" s="38" t="s">
        <v>346</v>
      </c>
      <c r="B12" s="51">
        <v>1477.2631578947369</v>
      </c>
    </row>
    <row r="13" spans="1:2" x14ac:dyDescent="0.3">
      <c r="A13" s="38" t="s">
        <v>347</v>
      </c>
      <c r="B13" s="51">
        <v>1463.2941176470588</v>
      </c>
    </row>
    <row r="14" spans="1:2" x14ac:dyDescent="0.3">
      <c r="A14" s="38" t="s">
        <v>352</v>
      </c>
      <c r="B14" s="51">
        <v>1459.3076923076924</v>
      </c>
    </row>
    <row r="15" spans="1:2" x14ac:dyDescent="0.3">
      <c r="A15" s="38" t="s">
        <v>55</v>
      </c>
      <c r="B15" s="51">
        <v>1289.4117647058824</v>
      </c>
    </row>
    <row r="16" spans="1:2" x14ac:dyDescent="0.3">
      <c r="A16" s="38" t="s">
        <v>363</v>
      </c>
      <c r="B16" s="51"/>
    </row>
    <row r="17" spans="1:2" x14ac:dyDescent="0.3">
      <c r="A17" s="38" t="s">
        <v>364</v>
      </c>
      <c r="B17" s="51">
        <v>1606.6833333333334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32DB-450F-452C-AA18-1D9BFA524D10}">
  <dimension ref="A1:G38"/>
  <sheetViews>
    <sheetView workbookViewId="0">
      <selection activeCell="A30" sqref="A29:A32"/>
      <pivotSelection pane="bottomRight" showHeader="1" axis="axisRow" activeRow="29" previousRow="29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4" x14ac:dyDescent="0.3"/>
  <cols>
    <col min="1" max="1" width="29.33203125" customWidth="1"/>
    <col min="2" max="2" width="30.21875" bestFit="1" customWidth="1"/>
    <col min="3" max="3" width="8.21875" bestFit="1" customWidth="1"/>
    <col min="4" max="4" width="9.44140625" bestFit="1" customWidth="1"/>
    <col min="5" max="5" width="8.44140625" bestFit="1" customWidth="1"/>
    <col min="6" max="6" width="30.44140625" bestFit="1" customWidth="1"/>
    <col min="7" max="7" width="26.6640625" bestFit="1" customWidth="1"/>
    <col min="8" max="8" width="7" bestFit="1" customWidth="1"/>
    <col min="9" max="9" width="9.44140625" bestFit="1" customWidth="1"/>
    <col min="10" max="10" width="8.44140625" bestFit="1" customWidth="1"/>
    <col min="11" max="11" width="29.5546875" bestFit="1" customWidth="1"/>
    <col min="12" max="12" width="18" bestFit="1" customWidth="1"/>
    <col min="13" max="13" width="8.21875" bestFit="1" customWidth="1"/>
    <col min="14" max="14" width="8.44140625" bestFit="1" customWidth="1"/>
    <col min="15" max="15" width="9.44140625" bestFit="1" customWidth="1"/>
    <col min="16" max="16" width="20.77734375" bestFit="1" customWidth="1"/>
    <col min="17" max="17" width="26.21875" bestFit="1" customWidth="1"/>
    <col min="18" max="18" width="8.21875" bestFit="1" customWidth="1"/>
    <col min="19" max="19" width="8.44140625" bestFit="1" customWidth="1"/>
    <col min="20" max="20" width="9.44140625" bestFit="1" customWidth="1"/>
    <col min="21" max="21" width="29" bestFit="1" customWidth="1"/>
    <col min="22" max="22" width="28.88671875" bestFit="1" customWidth="1"/>
    <col min="23" max="23" width="9.44140625" bestFit="1" customWidth="1"/>
    <col min="24" max="24" width="8.44140625" bestFit="1" customWidth="1"/>
    <col min="25" max="25" width="8.21875" bestFit="1" customWidth="1"/>
    <col min="26" max="26" width="31.6640625" bestFit="1" customWidth="1"/>
  </cols>
  <sheetData>
    <row r="1" spans="1:7" ht="18" x14ac:dyDescent="0.35">
      <c r="A1" s="151" t="s">
        <v>380</v>
      </c>
      <c r="B1" s="152"/>
      <c r="C1" s="152"/>
      <c r="D1" s="152"/>
      <c r="E1" s="152"/>
      <c r="F1" s="152"/>
      <c r="G1" s="152"/>
    </row>
    <row r="4" spans="1:7" x14ac:dyDescent="0.3">
      <c r="A4" s="37" t="s">
        <v>365</v>
      </c>
      <c r="B4" s="37" t="s">
        <v>366</v>
      </c>
    </row>
    <row r="5" spans="1:7" x14ac:dyDescent="0.3">
      <c r="A5" s="37" t="s">
        <v>362</v>
      </c>
      <c r="B5" t="s">
        <v>34</v>
      </c>
      <c r="C5" t="s">
        <v>17</v>
      </c>
      <c r="D5" t="s">
        <v>20</v>
      </c>
      <c r="E5" t="s">
        <v>13</v>
      </c>
    </row>
    <row r="6" spans="1:7" x14ac:dyDescent="0.3">
      <c r="A6" s="38" t="s">
        <v>18</v>
      </c>
      <c r="B6" s="139">
        <v>0.14856462389631162</v>
      </c>
      <c r="C6" s="39">
        <v>0.11210848008990081</v>
      </c>
      <c r="D6" s="39">
        <v>0.13193785434850405</v>
      </c>
      <c r="E6" s="39">
        <v>0.10380076283527789</v>
      </c>
    </row>
    <row r="7" spans="1:7" x14ac:dyDescent="0.3">
      <c r="A7" s="38" t="s">
        <v>15</v>
      </c>
      <c r="B7" s="39">
        <v>0.14307309794424533</v>
      </c>
      <c r="C7" s="139">
        <v>0.14411910434722347</v>
      </c>
      <c r="D7" s="39">
        <v>0.13679934102902533</v>
      </c>
      <c r="E7" s="39">
        <v>0.11973747697801142</v>
      </c>
    </row>
    <row r="8" spans="1:7" x14ac:dyDescent="0.3">
      <c r="A8" s="38" t="s">
        <v>25</v>
      </c>
      <c r="B8" s="139">
        <v>0.13526760440979541</v>
      </c>
      <c r="C8" s="39">
        <v>0.12843164970490339</v>
      </c>
      <c r="D8" s="39">
        <v>9.6402731063360003E-2</v>
      </c>
      <c r="E8" s="39">
        <v>0.11995588178006256</v>
      </c>
    </row>
    <row r="9" spans="1:7" x14ac:dyDescent="0.3">
      <c r="A9" s="38" t="s">
        <v>38</v>
      </c>
      <c r="B9" s="139">
        <v>0.14429364934468708</v>
      </c>
      <c r="C9" s="39">
        <v>0.12478605127228286</v>
      </c>
      <c r="D9" s="39">
        <v>9.5602169814834673E-2</v>
      </c>
      <c r="E9" s="39">
        <v>0.11559352954993428</v>
      </c>
    </row>
    <row r="10" spans="1:7" x14ac:dyDescent="0.3">
      <c r="A10" s="38" t="s">
        <v>22</v>
      </c>
      <c r="B10" s="139">
        <v>0.1271869444053508</v>
      </c>
      <c r="C10" s="39">
        <v>0.10208449749241447</v>
      </c>
      <c r="D10" s="39">
        <v>0.11414924007707965</v>
      </c>
      <c r="E10" s="39">
        <v>0.10497763485843797</v>
      </c>
    </row>
    <row r="12" spans="1:7" ht="15.6" x14ac:dyDescent="0.3">
      <c r="A12" s="136" t="s">
        <v>445</v>
      </c>
      <c r="B12" s="136"/>
      <c r="C12" s="137"/>
      <c r="D12" s="137"/>
    </row>
    <row r="14" spans="1:7" ht="15.6" x14ac:dyDescent="0.3">
      <c r="A14" s="136" t="s">
        <v>444</v>
      </c>
      <c r="B14" s="136"/>
    </row>
    <row r="26" spans="1:4" ht="18" x14ac:dyDescent="0.35">
      <c r="A26" s="151" t="s">
        <v>379</v>
      </c>
      <c r="B26" s="152"/>
      <c r="C26" s="152"/>
      <c r="D26" s="152"/>
    </row>
    <row r="28" spans="1:4" x14ac:dyDescent="0.3">
      <c r="A28" s="45" t="s">
        <v>1</v>
      </c>
      <c r="B28" s="14" t="s">
        <v>382</v>
      </c>
    </row>
    <row r="29" spans="1:4" x14ac:dyDescent="0.3">
      <c r="A29" s="140" t="s">
        <v>13</v>
      </c>
      <c r="B29" s="148">
        <v>1.4194033565547487E-2</v>
      </c>
    </row>
    <row r="30" spans="1:4" x14ac:dyDescent="0.3">
      <c r="A30" s="46" t="s">
        <v>34</v>
      </c>
      <c r="B30" s="61">
        <v>1.3764361711969262E-2</v>
      </c>
    </row>
    <row r="31" spans="1:4" x14ac:dyDescent="0.3">
      <c r="A31" s="46" t="s">
        <v>20</v>
      </c>
      <c r="B31" s="61">
        <v>1.2030686217981618E-2</v>
      </c>
    </row>
    <row r="32" spans="1:4" x14ac:dyDescent="0.3">
      <c r="A32" s="46" t="s">
        <v>17</v>
      </c>
      <c r="B32" s="61">
        <v>9.4286447506565681E-3</v>
      </c>
    </row>
    <row r="33" spans="1:7" x14ac:dyDescent="0.3">
      <c r="A33" s="46" t="s">
        <v>364</v>
      </c>
      <c r="B33" s="61">
        <v>1.2218035026624961E-2</v>
      </c>
    </row>
    <row r="36" spans="1:7" ht="15.6" x14ac:dyDescent="0.3">
      <c r="A36" s="136" t="s">
        <v>452</v>
      </c>
      <c r="B36" s="137"/>
      <c r="C36" s="137"/>
      <c r="D36" s="137"/>
      <c r="E36" s="137"/>
      <c r="F36" s="137"/>
      <c r="G36" s="137"/>
    </row>
    <row r="38" spans="1:7" ht="15.6" x14ac:dyDescent="0.3">
      <c r="A38" s="136" t="s">
        <v>444</v>
      </c>
      <c r="B38" s="136"/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87F1-1016-4A7D-8E50-6C07D336FD9C}">
  <dimension ref="A1:T201"/>
  <sheetViews>
    <sheetView workbookViewId="0">
      <selection activeCell="U17" sqref="U17"/>
    </sheetView>
  </sheetViews>
  <sheetFormatPr defaultRowHeight="14.4" x14ac:dyDescent="0.3"/>
  <cols>
    <col min="1" max="1" width="11.109375" customWidth="1"/>
    <col min="2" max="2" width="20.88671875" bestFit="1" customWidth="1"/>
    <col min="3" max="3" width="15" bestFit="1" customWidth="1"/>
  </cols>
  <sheetData>
    <row r="1" spans="1:20" x14ac:dyDescent="0.3">
      <c r="A1" s="3" t="s">
        <v>1</v>
      </c>
      <c r="B1" s="3" t="s">
        <v>331</v>
      </c>
      <c r="C1" s="26" t="s">
        <v>332</v>
      </c>
    </row>
    <row r="2" spans="1:20" ht="18" x14ac:dyDescent="0.35">
      <c r="A2" s="7" t="s">
        <v>20</v>
      </c>
      <c r="B2" s="7">
        <v>56.637790647253247</v>
      </c>
      <c r="C2" s="27">
        <v>23944</v>
      </c>
      <c r="H2" s="151" t="s">
        <v>381</v>
      </c>
      <c r="I2" s="152"/>
      <c r="J2" s="152"/>
      <c r="K2" s="152"/>
      <c r="L2" s="152"/>
      <c r="M2" s="152"/>
    </row>
    <row r="3" spans="1:20" x14ac:dyDescent="0.3">
      <c r="A3" s="7" t="s">
        <v>20</v>
      </c>
      <c r="B3" s="7">
        <v>35.577824398518047</v>
      </c>
      <c r="C3" s="27">
        <v>25379</v>
      </c>
    </row>
    <row r="4" spans="1:20" ht="18" x14ac:dyDescent="0.35">
      <c r="A4" s="7" t="s">
        <v>20</v>
      </c>
      <c r="B4" s="7">
        <v>12.2263294381709</v>
      </c>
      <c r="C4" s="27">
        <v>15110</v>
      </c>
      <c r="G4" s="153"/>
      <c r="H4" s="153" t="s">
        <v>449</v>
      </c>
      <c r="I4" s="153"/>
      <c r="J4" s="153"/>
      <c r="K4" s="153"/>
      <c r="L4" s="153"/>
      <c r="M4" s="153"/>
      <c r="N4" s="153"/>
      <c r="O4" s="153"/>
      <c r="P4" s="153"/>
      <c r="Q4" s="153"/>
      <c r="R4" s="137"/>
      <c r="S4" s="137"/>
      <c r="T4" s="137"/>
    </row>
    <row r="5" spans="1:20" ht="18" x14ac:dyDescent="0.35">
      <c r="A5" s="7" t="s">
        <v>20</v>
      </c>
      <c r="B5" s="7">
        <v>60.425889350496043</v>
      </c>
      <c r="C5" s="27">
        <v>27081</v>
      </c>
      <c r="G5" s="153"/>
      <c r="H5" s="153" t="s">
        <v>450</v>
      </c>
      <c r="I5" s="153"/>
      <c r="J5" s="153"/>
      <c r="K5" s="153"/>
      <c r="L5" s="153"/>
      <c r="M5" s="153"/>
      <c r="N5" s="153"/>
      <c r="O5" s="153"/>
      <c r="P5" s="153"/>
      <c r="Q5" s="153"/>
      <c r="R5" s="137"/>
      <c r="S5" s="137"/>
      <c r="T5" s="137"/>
    </row>
    <row r="6" spans="1:20" ht="18" x14ac:dyDescent="0.35">
      <c r="A6" s="7" t="s">
        <v>20</v>
      </c>
      <c r="B6" s="7">
        <v>14.827522597306769</v>
      </c>
      <c r="C6" s="27">
        <v>19596</v>
      </c>
      <c r="G6" s="137"/>
      <c r="H6" s="142" t="s">
        <v>451</v>
      </c>
      <c r="I6" s="142"/>
      <c r="J6" s="142"/>
      <c r="K6" s="142"/>
      <c r="L6" s="142"/>
      <c r="M6" s="142"/>
      <c r="N6" s="142"/>
      <c r="O6" s="142"/>
      <c r="P6" s="137"/>
      <c r="Q6" s="137"/>
      <c r="R6" s="137"/>
      <c r="S6" s="137"/>
      <c r="T6" s="137"/>
    </row>
    <row r="7" spans="1:20" x14ac:dyDescent="0.3">
      <c r="A7" s="7" t="s">
        <v>20</v>
      </c>
      <c r="B7" s="7">
        <v>12.8372197814577</v>
      </c>
      <c r="C7" s="27">
        <v>11013</v>
      </c>
    </row>
    <row r="8" spans="1:20" x14ac:dyDescent="0.3">
      <c r="A8" s="7" t="s">
        <v>20</v>
      </c>
      <c r="B8" s="7">
        <v>17.41278694508371</v>
      </c>
      <c r="C8" s="27">
        <v>59378</v>
      </c>
    </row>
    <row r="9" spans="1:20" x14ac:dyDescent="0.3">
      <c r="A9" s="7" t="s">
        <v>20</v>
      </c>
      <c r="B9" s="7">
        <v>13.6355899921383</v>
      </c>
      <c r="C9" s="27">
        <v>23109</v>
      </c>
    </row>
    <row r="10" spans="1:20" x14ac:dyDescent="0.3">
      <c r="A10" s="7" t="s">
        <v>20</v>
      </c>
      <c r="B10" s="7">
        <v>12.15762550327738</v>
      </c>
      <c r="C10" s="27">
        <v>36661</v>
      </c>
    </row>
    <row r="11" spans="1:20" x14ac:dyDescent="0.3">
      <c r="A11" s="7" t="s">
        <v>20</v>
      </c>
      <c r="B11" s="7">
        <v>27.765518533715429</v>
      </c>
      <c r="C11" s="27">
        <v>39197</v>
      </c>
    </row>
    <row r="12" spans="1:20" x14ac:dyDescent="0.3">
      <c r="A12" s="7" t="s">
        <v>20</v>
      </c>
      <c r="B12" s="7">
        <v>44.450416151231643</v>
      </c>
      <c r="C12" s="27">
        <v>39750</v>
      </c>
    </row>
    <row r="13" spans="1:20" x14ac:dyDescent="0.3">
      <c r="A13" s="7" t="s">
        <v>20</v>
      </c>
      <c r="B13" s="7">
        <v>13.47730290104799</v>
      </c>
      <c r="C13" s="27">
        <v>46727</v>
      </c>
    </row>
    <row r="14" spans="1:20" x14ac:dyDescent="0.3">
      <c r="A14" s="7" t="s">
        <v>20</v>
      </c>
      <c r="B14" s="7">
        <v>5.7694619613329108</v>
      </c>
      <c r="C14" s="27">
        <v>53543</v>
      </c>
    </row>
    <row r="15" spans="1:20" x14ac:dyDescent="0.3">
      <c r="A15" s="7" t="s">
        <v>20</v>
      </c>
      <c r="B15" s="7">
        <v>3.6633501706626168</v>
      </c>
      <c r="C15" s="27">
        <v>24226</v>
      </c>
    </row>
    <row r="16" spans="1:20" x14ac:dyDescent="0.3">
      <c r="A16" s="7" t="s">
        <v>20</v>
      </c>
      <c r="B16" s="7">
        <v>30.118586640851881</v>
      </c>
      <c r="C16" s="27">
        <v>53922</v>
      </c>
    </row>
    <row r="17" spans="1:3" x14ac:dyDescent="0.3">
      <c r="A17" s="7" t="s">
        <v>20</v>
      </c>
      <c r="B17" s="7">
        <v>33.909842729106657</v>
      </c>
      <c r="C17" s="27">
        <v>54848</v>
      </c>
    </row>
    <row r="18" spans="1:3" x14ac:dyDescent="0.3">
      <c r="A18" s="7" t="s">
        <v>20</v>
      </c>
      <c r="B18" s="7">
        <v>33.257448118038738</v>
      </c>
      <c r="C18" s="27">
        <v>22693</v>
      </c>
    </row>
    <row r="19" spans="1:3" x14ac:dyDescent="0.3">
      <c r="A19" s="7" t="s">
        <v>20</v>
      </c>
      <c r="B19" s="7">
        <v>31.554451487636339</v>
      </c>
      <c r="C19" s="27">
        <v>58831</v>
      </c>
    </row>
    <row r="20" spans="1:3" x14ac:dyDescent="0.3">
      <c r="A20" s="7" t="s">
        <v>20</v>
      </c>
      <c r="B20" s="7">
        <v>15.72131694865968</v>
      </c>
      <c r="C20" s="27">
        <v>26044</v>
      </c>
    </row>
    <row r="21" spans="1:3" x14ac:dyDescent="0.3">
      <c r="A21" s="7" t="s">
        <v>20</v>
      </c>
      <c r="B21" s="7">
        <v>19.214592793018038</v>
      </c>
      <c r="C21" s="27">
        <v>39411</v>
      </c>
    </row>
    <row r="22" spans="1:3" x14ac:dyDescent="0.3">
      <c r="A22" s="7" t="s">
        <v>20</v>
      </c>
      <c r="B22" s="7">
        <v>25.077864756828781</v>
      </c>
      <c r="C22" s="27">
        <v>15469</v>
      </c>
    </row>
    <row r="23" spans="1:3" x14ac:dyDescent="0.3">
      <c r="A23" s="7" t="s">
        <v>20</v>
      </c>
      <c r="B23" s="7">
        <v>13.208603641390511</v>
      </c>
      <c r="C23" s="27">
        <v>16256</v>
      </c>
    </row>
    <row r="24" spans="1:3" x14ac:dyDescent="0.3">
      <c r="A24" s="7" t="s">
        <v>20</v>
      </c>
      <c r="B24" s="7">
        <v>13.08758391243577</v>
      </c>
      <c r="C24" s="27">
        <v>29194</v>
      </c>
    </row>
    <row r="25" spans="1:3" x14ac:dyDescent="0.3">
      <c r="A25" s="7" t="s">
        <v>20</v>
      </c>
      <c r="B25" s="7">
        <v>3.4213758985797149</v>
      </c>
      <c r="C25" s="27">
        <v>26184</v>
      </c>
    </row>
    <row r="26" spans="1:3" x14ac:dyDescent="0.3">
      <c r="A26" s="7" t="s">
        <v>20</v>
      </c>
      <c r="B26" s="7">
        <v>26.921416897669499</v>
      </c>
      <c r="C26" s="27">
        <v>31621</v>
      </c>
    </row>
    <row r="27" spans="1:3" x14ac:dyDescent="0.3">
      <c r="A27" s="7" t="s">
        <v>20</v>
      </c>
      <c r="B27" s="7">
        <v>3.5131404829323132</v>
      </c>
      <c r="C27" s="27">
        <v>20028</v>
      </c>
    </row>
    <row r="28" spans="1:3" x14ac:dyDescent="0.3">
      <c r="A28" s="7" t="s">
        <v>20</v>
      </c>
      <c r="B28" s="7">
        <v>1.6774727155188811</v>
      </c>
      <c r="C28" s="27">
        <v>13471</v>
      </c>
    </row>
    <row r="29" spans="1:3" x14ac:dyDescent="0.3">
      <c r="A29" s="7" t="s">
        <v>20</v>
      </c>
      <c r="B29" s="7">
        <v>15.458517947974901</v>
      </c>
      <c r="C29" s="27">
        <v>44865</v>
      </c>
    </row>
    <row r="30" spans="1:3" x14ac:dyDescent="0.3">
      <c r="A30" s="7" t="s">
        <v>20</v>
      </c>
      <c r="B30" s="7">
        <v>15.96622018839439</v>
      </c>
      <c r="C30" s="27">
        <v>56850</v>
      </c>
    </row>
    <row r="31" spans="1:3" x14ac:dyDescent="0.3">
      <c r="A31" s="7" t="s">
        <v>20</v>
      </c>
      <c r="B31" s="7">
        <v>4.1495730660972248</v>
      </c>
      <c r="C31" s="27">
        <v>52845</v>
      </c>
    </row>
    <row r="32" spans="1:3" x14ac:dyDescent="0.3">
      <c r="A32" s="7" t="s">
        <v>20</v>
      </c>
      <c r="B32" s="7">
        <v>6.3556780346167558</v>
      </c>
      <c r="C32" s="27">
        <v>42373</v>
      </c>
    </row>
    <row r="33" spans="1:19" x14ac:dyDescent="0.3">
      <c r="A33" s="7" t="s">
        <v>20</v>
      </c>
      <c r="B33" s="7">
        <v>12.35057894004413</v>
      </c>
      <c r="C33" s="27">
        <v>28284</v>
      </c>
    </row>
    <row r="34" spans="1:19" x14ac:dyDescent="0.3">
      <c r="A34" s="7" t="s">
        <v>20</v>
      </c>
      <c r="B34" s="7">
        <v>11.56416728213479</v>
      </c>
      <c r="C34" s="27">
        <v>27833</v>
      </c>
    </row>
    <row r="35" spans="1:19" x14ac:dyDescent="0.3">
      <c r="A35" s="7" t="s">
        <v>20</v>
      </c>
      <c r="B35" s="7">
        <v>5.9603306848881932</v>
      </c>
      <c r="C35" s="27">
        <v>35122</v>
      </c>
    </row>
    <row r="36" spans="1:19" x14ac:dyDescent="0.3">
      <c r="A36" s="7" t="s">
        <v>20</v>
      </c>
      <c r="B36" s="7">
        <v>1.381177897889402</v>
      </c>
      <c r="C36" s="27">
        <v>17999</v>
      </c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</row>
    <row r="37" spans="1:19" ht="15.6" x14ac:dyDescent="0.3">
      <c r="A37" s="7" t="s">
        <v>20</v>
      </c>
      <c r="B37" s="7">
        <v>15.06231294947961</v>
      </c>
      <c r="C37" s="27">
        <v>58201</v>
      </c>
      <c r="F37" s="149" t="s">
        <v>453</v>
      </c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</row>
    <row r="38" spans="1:19" x14ac:dyDescent="0.3">
      <c r="A38" s="7" t="s">
        <v>20</v>
      </c>
      <c r="B38" s="7">
        <v>13.941172331466399</v>
      </c>
      <c r="C38" s="27">
        <v>15105</v>
      </c>
    </row>
    <row r="39" spans="1:19" x14ac:dyDescent="0.3">
      <c r="A39" s="7" t="s">
        <v>20</v>
      </c>
      <c r="B39" s="7">
        <v>11.124410036033691</v>
      </c>
      <c r="C39" s="27">
        <v>47051</v>
      </c>
      <c r="F39" s="177" t="s">
        <v>486</v>
      </c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37"/>
    </row>
    <row r="40" spans="1:19" x14ac:dyDescent="0.3">
      <c r="A40" s="7" t="s">
        <v>20</v>
      </c>
      <c r="B40" s="7">
        <v>14.789893749580139</v>
      </c>
      <c r="C40" s="27">
        <v>37037</v>
      </c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37"/>
    </row>
    <row r="41" spans="1:19" x14ac:dyDescent="0.3">
      <c r="A41" s="7" t="s">
        <v>20</v>
      </c>
      <c r="B41" s="7">
        <v>2.3800168578696428</v>
      </c>
      <c r="C41" s="27">
        <v>19557</v>
      </c>
      <c r="F41" s="177" t="s">
        <v>487</v>
      </c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37"/>
    </row>
    <row r="42" spans="1:19" x14ac:dyDescent="0.3">
      <c r="A42" s="7" t="s">
        <v>20</v>
      </c>
      <c r="B42" s="7">
        <v>3.4123325814333292</v>
      </c>
      <c r="C42" s="27">
        <v>19435</v>
      </c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37"/>
    </row>
    <row r="43" spans="1:19" x14ac:dyDescent="0.3">
      <c r="A43" s="7" t="s">
        <v>20</v>
      </c>
      <c r="B43" s="7">
        <v>7.4744446725989153</v>
      </c>
      <c r="C43" s="27">
        <v>44742</v>
      </c>
      <c r="F43" s="177" t="s">
        <v>488</v>
      </c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37"/>
    </row>
    <row r="44" spans="1:19" x14ac:dyDescent="0.3">
      <c r="A44" s="7" t="s">
        <v>20</v>
      </c>
      <c r="B44" s="7">
        <v>3.8694093263203548</v>
      </c>
      <c r="C44" s="27">
        <v>44782</v>
      </c>
    </row>
    <row r="45" spans="1:19" x14ac:dyDescent="0.3">
      <c r="A45" s="7" t="s">
        <v>20</v>
      </c>
      <c r="B45" s="7">
        <v>12.45517502708741</v>
      </c>
      <c r="C45" s="27">
        <v>59733</v>
      </c>
    </row>
    <row r="46" spans="1:19" x14ac:dyDescent="0.3">
      <c r="A46" s="7" t="s">
        <v>20</v>
      </c>
      <c r="B46" s="7">
        <v>5.5892257158735816</v>
      </c>
      <c r="C46" s="27">
        <v>48328</v>
      </c>
    </row>
    <row r="47" spans="1:19" x14ac:dyDescent="0.3">
      <c r="A47" s="7" t="s">
        <v>20</v>
      </c>
      <c r="B47" s="7">
        <v>12.709772588488899</v>
      </c>
      <c r="C47" s="27">
        <v>42262</v>
      </c>
    </row>
    <row r="48" spans="1:19" x14ac:dyDescent="0.3">
      <c r="A48" s="7" t="s">
        <v>20</v>
      </c>
      <c r="B48" s="7">
        <v>12.414411899944</v>
      </c>
      <c r="C48" s="27">
        <v>58330</v>
      </c>
    </row>
    <row r="49" spans="1:3" x14ac:dyDescent="0.3">
      <c r="A49" s="7" t="s">
        <v>20</v>
      </c>
      <c r="B49" s="7">
        <v>2.2102165031989389</v>
      </c>
      <c r="C49" s="27">
        <v>11171</v>
      </c>
    </row>
    <row r="50" spans="1:3" x14ac:dyDescent="0.3">
      <c r="A50" s="7" t="s">
        <v>20</v>
      </c>
      <c r="B50" s="7">
        <v>10.23489267325616</v>
      </c>
      <c r="C50" s="27">
        <v>51903</v>
      </c>
    </row>
    <row r="51" spans="1:3" x14ac:dyDescent="0.3">
      <c r="A51" s="7" t="s">
        <v>20</v>
      </c>
      <c r="B51" s="7">
        <v>3.8777032065622672</v>
      </c>
      <c r="C51" s="27">
        <v>30644</v>
      </c>
    </row>
    <row r="52" spans="1:3" x14ac:dyDescent="0.3">
      <c r="A52" s="7" t="s">
        <v>20</v>
      </c>
      <c r="B52" s="7">
        <v>7.2439221876024931</v>
      </c>
      <c r="C52" s="27">
        <v>28745</v>
      </c>
    </row>
    <row r="53" spans="1:3" x14ac:dyDescent="0.3">
      <c r="A53" s="7" t="s">
        <v>17</v>
      </c>
      <c r="B53" s="7">
        <v>9.2506362964613711</v>
      </c>
      <c r="C53" s="27">
        <v>33762</v>
      </c>
    </row>
    <row r="54" spans="1:3" x14ac:dyDescent="0.3">
      <c r="A54" s="7" t="s">
        <v>17</v>
      </c>
      <c r="B54" s="7">
        <v>17.894035955483691</v>
      </c>
      <c r="C54" s="27">
        <v>28313</v>
      </c>
    </row>
    <row r="55" spans="1:3" x14ac:dyDescent="0.3">
      <c r="A55" s="7" t="s">
        <v>17</v>
      </c>
      <c r="B55" s="7">
        <v>39.284614068115687</v>
      </c>
      <c r="C55" s="27">
        <v>11828</v>
      </c>
    </row>
    <row r="56" spans="1:3" x14ac:dyDescent="0.3">
      <c r="A56" s="7" t="s">
        <v>17</v>
      </c>
      <c r="B56" s="7">
        <v>9.8205504342462788</v>
      </c>
      <c r="C56" s="27">
        <v>17909</v>
      </c>
    </row>
    <row r="57" spans="1:3" x14ac:dyDescent="0.3">
      <c r="A57" s="7" t="s">
        <v>17</v>
      </c>
      <c r="B57" s="7">
        <v>41.606628834608109</v>
      </c>
      <c r="C57" s="27">
        <v>48356</v>
      </c>
    </row>
    <row r="58" spans="1:3" x14ac:dyDescent="0.3">
      <c r="A58" s="7" t="s">
        <v>17</v>
      </c>
      <c r="B58" s="7">
        <v>37.302925586213682</v>
      </c>
      <c r="C58" s="27">
        <v>48659</v>
      </c>
    </row>
    <row r="59" spans="1:3" x14ac:dyDescent="0.3">
      <c r="A59" s="7" t="s">
        <v>17</v>
      </c>
      <c r="B59" s="7">
        <v>52.792102811910027</v>
      </c>
      <c r="C59" s="27">
        <v>47804</v>
      </c>
    </row>
    <row r="60" spans="1:3" x14ac:dyDescent="0.3">
      <c r="A60" s="7" t="s">
        <v>17</v>
      </c>
      <c r="B60" s="7">
        <v>28.158158777282971</v>
      </c>
      <c r="C60" s="27">
        <v>37766</v>
      </c>
    </row>
    <row r="61" spans="1:3" x14ac:dyDescent="0.3">
      <c r="A61" s="7" t="s">
        <v>17</v>
      </c>
      <c r="B61" s="7">
        <v>23.920557913887201</v>
      </c>
      <c r="C61" s="27">
        <v>53590</v>
      </c>
    </row>
    <row r="62" spans="1:3" x14ac:dyDescent="0.3">
      <c r="A62" s="7" t="s">
        <v>17</v>
      </c>
      <c r="B62" s="7">
        <v>5.2152906954969351</v>
      </c>
      <c r="C62" s="27">
        <v>58868</v>
      </c>
    </row>
    <row r="63" spans="1:3" x14ac:dyDescent="0.3">
      <c r="A63" s="7" t="s">
        <v>17</v>
      </c>
      <c r="B63" s="7">
        <v>38.012181840183942</v>
      </c>
      <c r="C63" s="27">
        <v>26029</v>
      </c>
    </row>
    <row r="64" spans="1:3" x14ac:dyDescent="0.3">
      <c r="A64" s="7" t="s">
        <v>17</v>
      </c>
      <c r="B64" s="7">
        <v>10.494255737609739</v>
      </c>
      <c r="C64" s="27">
        <v>15997</v>
      </c>
    </row>
    <row r="65" spans="1:3" x14ac:dyDescent="0.3">
      <c r="A65" s="7" t="s">
        <v>17</v>
      </c>
      <c r="B65" s="7">
        <v>17.750287883797562</v>
      </c>
      <c r="C65" s="27">
        <v>10541</v>
      </c>
    </row>
    <row r="66" spans="1:3" x14ac:dyDescent="0.3">
      <c r="A66" s="7" t="s">
        <v>17</v>
      </c>
      <c r="B66" s="7">
        <v>4.7335970426459033</v>
      </c>
      <c r="C66" s="27">
        <v>47861</v>
      </c>
    </row>
    <row r="67" spans="1:3" x14ac:dyDescent="0.3">
      <c r="A67" s="7" t="s">
        <v>17</v>
      </c>
      <c r="B67" s="7">
        <v>12.734216154573531</v>
      </c>
      <c r="C67" s="27">
        <v>43937</v>
      </c>
    </row>
    <row r="68" spans="1:3" x14ac:dyDescent="0.3">
      <c r="A68" s="7" t="s">
        <v>17</v>
      </c>
      <c r="B68" s="7">
        <v>17.560907617280929</v>
      </c>
      <c r="C68" s="27">
        <v>44051</v>
      </c>
    </row>
    <row r="69" spans="1:3" x14ac:dyDescent="0.3">
      <c r="A69" s="7" t="s">
        <v>17</v>
      </c>
      <c r="B69" s="7">
        <v>7.2934726185185053</v>
      </c>
      <c r="C69" s="27">
        <v>59811</v>
      </c>
    </row>
    <row r="70" spans="1:3" x14ac:dyDescent="0.3">
      <c r="A70" s="7" t="s">
        <v>17</v>
      </c>
      <c r="B70" s="7">
        <v>23.435841125050029</v>
      </c>
      <c r="C70" s="27">
        <v>44501</v>
      </c>
    </row>
    <row r="71" spans="1:3" x14ac:dyDescent="0.3">
      <c r="A71" s="7" t="s">
        <v>17</v>
      </c>
      <c r="B71" s="7">
        <v>9.07118069540617</v>
      </c>
      <c r="C71" s="27">
        <v>24472</v>
      </c>
    </row>
    <row r="72" spans="1:3" x14ac:dyDescent="0.3">
      <c r="A72" s="7" t="s">
        <v>17</v>
      </c>
      <c r="B72" s="7">
        <v>12.426427091999111</v>
      </c>
      <c r="C72" s="27">
        <v>40268</v>
      </c>
    </row>
    <row r="73" spans="1:3" x14ac:dyDescent="0.3">
      <c r="A73" s="7" t="s">
        <v>17</v>
      </c>
      <c r="B73" s="7">
        <v>20.240280610668151</v>
      </c>
      <c r="C73" s="27">
        <v>18329</v>
      </c>
    </row>
    <row r="74" spans="1:3" x14ac:dyDescent="0.3">
      <c r="A74" s="7" t="s">
        <v>17</v>
      </c>
      <c r="B74" s="7">
        <v>5.301785453341723</v>
      </c>
      <c r="C74" s="27">
        <v>56698</v>
      </c>
    </row>
    <row r="75" spans="1:3" x14ac:dyDescent="0.3">
      <c r="A75" s="7" t="s">
        <v>17</v>
      </c>
      <c r="B75" s="7">
        <v>17.44750613869045</v>
      </c>
      <c r="C75" s="27">
        <v>16397</v>
      </c>
    </row>
    <row r="76" spans="1:3" x14ac:dyDescent="0.3">
      <c r="A76" s="7" t="s">
        <v>17</v>
      </c>
      <c r="B76" s="7">
        <v>20.774215903216671</v>
      </c>
      <c r="C76" s="27">
        <v>33284</v>
      </c>
    </row>
    <row r="77" spans="1:3" x14ac:dyDescent="0.3">
      <c r="A77" s="7" t="s">
        <v>17</v>
      </c>
      <c r="B77" s="7">
        <v>19.25863351426683</v>
      </c>
      <c r="C77" s="27">
        <v>15017</v>
      </c>
    </row>
    <row r="78" spans="1:3" x14ac:dyDescent="0.3">
      <c r="A78" s="7" t="s">
        <v>17</v>
      </c>
      <c r="B78" s="7">
        <v>19.449384891535139</v>
      </c>
      <c r="C78" s="27">
        <v>39252</v>
      </c>
    </row>
    <row r="79" spans="1:3" x14ac:dyDescent="0.3">
      <c r="A79" s="7" t="s">
        <v>17</v>
      </c>
      <c r="B79" s="7">
        <v>18.0667803230575</v>
      </c>
      <c r="C79" s="27">
        <v>32436</v>
      </c>
    </row>
    <row r="80" spans="1:3" x14ac:dyDescent="0.3">
      <c r="A80" s="7" t="s">
        <v>17</v>
      </c>
      <c r="B80" s="7">
        <v>11.391727789638329</v>
      </c>
      <c r="C80" s="27">
        <v>12096</v>
      </c>
    </row>
    <row r="81" spans="1:3" x14ac:dyDescent="0.3">
      <c r="A81" s="7" t="s">
        <v>17</v>
      </c>
      <c r="B81" s="7">
        <v>6.3086149427901264</v>
      </c>
      <c r="C81" s="27">
        <v>35279</v>
      </c>
    </row>
    <row r="82" spans="1:3" x14ac:dyDescent="0.3">
      <c r="A82" s="7" t="s">
        <v>17</v>
      </c>
      <c r="B82" s="7">
        <v>4.0220344099003924</v>
      </c>
      <c r="C82" s="27">
        <v>58709</v>
      </c>
    </row>
    <row r="83" spans="1:3" x14ac:dyDescent="0.3">
      <c r="A83" s="7" t="s">
        <v>17</v>
      </c>
      <c r="B83" s="7">
        <v>15.211945357818079</v>
      </c>
      <c r="C83" s="27">
        <v>25078</v>
      </c>
    </row>
    <row r="84" spans="1:3" x14ac:dyDescent="0.3">
      <c r="A84" s="7" t="s">
        <v>17</v>
      </c>
      <c r="B84" s="7">
        <v>4.6300017457998282</v>
      </c>
      <c r="C84" s="27">
        <v>27069</v>
      </c>
    </row>
    <row r="85" spans="1:3" x14ac:dyDescent="0.3">
      <c r="A85" s="7" t="s">
        <v>17</v>
      </c>
      <c r="B85" s="7">
        <v>14.24879726306582</v>
      </c>
      <c r="C85" s="27">
        <v>55603</v>
      </c>
    </row>
    <row r="86" spans="1:3" x14ac:dyDescent="0.3">
      <c r="A86" s="7" t="s">
        <v>17</v>
      </c>
      <c r="B86" s="7">
        <v>15.903372530266649</v>
      </c>
      <c r="C86" s="27">
        <v>33252</v>
      </c>
    </row>
    <row r="87" spans="1:3" x14ac:dyDescent="0.3">
      <c r="A87" s="7" t="s">
        <v>17</v>
      </c>
      <c r="B87" s="7">
        <v>10.593534734448189</v>
      </c>
      <c r="C87" s="27">
        <v>11431</v>
      </c>
    </row>
    <row r="88" spans="1:3" x14ac:dyDescent="0.3">
      <c r="A88" s="7" t="s">
        <v>17</v>
      </c>
      <c r="B88" s="7">
        <v>2.7289026948963189</v>
      </c>
      <c r="C88" s="27">
        <v>47481</v>
      </c>
    </row>
    <row r="89" spans="1:3" x14ac:dyDescent="0.3">
      <c r="A89" s="7" t="s">
        <v>17</v>
      </c>
      <c r="B89" s="7">
        <v>6.5651927367759271</v>
      </c>
      <c r="C89" s="27">
        <v>18461</v>
      </c>
    </row>
    <row r="90" spans="1:3" x14ac:dyDescent="0.3">
      <c r="A90" s="7" t="s">
        <v>17</v>
      </c>
      <c r="B90" s="7">
        <v>2.4004972007397871</v>
      </c>
      <c r="C90" s="27">
        <v>17896</v>
      </c>
    </row>
    <row r="91" spans="1:3" x14ac:dyDescent="0.3">
      <c r="A91" s="7" t="s">
        <v>17</v>
      </c>
      <c r="B91" s="7">
        <v>10.43086517280971</v>
      </c>
      <c r="C91" s="27">
        <v>42972</v>
      </c>
    </row>
    <row r="92" spans="1:3" x14ac:dyDescent="0.3">
      <c r="A92" s="7" t="s">
        <v>17</v>
      </c>
      <c r="B92" s="7">
        <v>8.7022876773406619</v>
      </c>
      <c r="C92" s="27">
        <v>51800</v>
      </c>
    </row>
    <row r="93" spans="1:3" x14ac:dyDescent="0.3">
      <c r="A93" s="7" t="s">
        <v>17</v>
      </c>
      <c r="B93" s="7">
        <v>6.0590578244060822</v>
      </c>
      <c r="C93" s="27">
        <v>40508</v>
      </c>
    </row>
    <row r="94" spans="1:3" x14ac:dyDescent="0.3">
      <c r="A94" s="7" t="s">
        <v>17</v>
      </c>
      <c r="B94" s="7">
        <v>6.4086467971263694</v>
      </c>
      <c r="C94" s="27">
        <v>15347</v>
      </c>
    </row>
    <row r="95" spans="1:3" x14ac:dyDescent="0.3">
      <c r="A95" s="7" t="s">
        <v>17</v>
      </c>
      <c r="B95" s="7">
        <v>14.03040201562029</v>
      </c>
      <c r="C95" s="27">
        <v>40314</v>
      </c>
    </row>
    <row r="96" spans="1:3" x14ac:dyDescent="0.3">
      <c r="A96" s="7" t="s">
        <v>17</v>
      </c>
      <c r="B96" s="7">
        <v>4.2080986012648651</v>
      </c>
      <c r="C96" s="27">
        <v>50785</v>
      </c>
    </row>
    <row r="97" spans="1:3" x14ac:dyDescent="0.3">
      <c r="A97" s="7" t="s">
        <v>17</v>
      </c>
      <c r="B97" s="7">
        <v>13.86474263299608</v>
      </c>
      <c r="C97" s="27">
        <v>57299</v>
      </c>
    </row>
    <row r="98" spans="1:3" x14ac:dyDescent="0.3">
      <c r="A98" s="7" t="s">
        <v>17</v>
      </c>
      <c r="B98" s="7">
        <v>6.8954477628560609</v>
      </c>
      <c r="C98" s="27">
        <v>46768</v>
      </c>
    </row>
    <row r="99" spans="1:3" x14ac:dyDescent="0.3">
      <c r="A99" s="7" t="s">
        <v>17</v>
      </c>
      <c r="B99" s="7">
        <v>9.589697749395782</v>
      </c>
      <c r="C99" s="27">
        <v>41358</v>
      </c>
    </row>
    <row r="100" spans="1:3" x14ac:dyDescent="0.3">
      <c r="A100" s="7" t="s">
        <v>17</v>
      </c>
      <c r="B100" s="7">
        <v>9.3041390360253633</v>
      </c>
      <c r="C100" s="27">
        <v>24289</v>
      </c>
    </row>
    <row r="101" spans="1:3" x14ac:dyDescent="0.3">
      <c r="A101" s="7" t="s">
        <v>17</v>
      </c>
      <c r="B101" s="7">
        <v>12.21550055903389</v>
      </c>
      <c r="C101" s="27">
        <v>59823</v>
      </c>
    </row>
    <row r="102" spans="1:3" x14ac:dyDescent="0.3">
      <c r="A102" s="7" t="s">
        <v>17</v>
      </c>
      <c r="B102" s="7">
        <v>1.64146056637986</v>
      </c>
      <c r="C102" s="27">
        <v>17927</v>
      </c>
    </row>
    <row r="103" spans="1:3" x14ac:dyDescent="0.3">
      <c r="A103" s="7" t="s">
        <v>17</v>
      </c>
      <c r="B103" s="7">
        <v>8.7776256772995165</v>
      </c>
      <c r="C103" s="27">
        <v>49110</v>
      </c>
    </row>
    <row r="104" spans="1:3" x14ac:dyDescent="0.3">
      <c r="A104" s="7" t="s">
        <v>17</v>
      </c>
      <c r="B104" s="7">
        <v>11.093752033137431</v>
      </c>
      <c r="C104" s="27">
        <v>55951</v>
      </c>
    </row>
    <row r="105" spans="1:3" x14ac:dyDescent="0.3">
      <c r="A105" s="7" t="s">
        <v>17</v>
      </c>
      <c r="B105" s="7">
        <v>2.8935771844710412</v>
      </c>
      <c r="C105" s="27">
        <v>15432</v>
      </c>
    </row>
    <row r="106" spans="1:3" x14ac:dyDescent="0.3">
      <c r="A106" s="7" t="s">
        <v>17</v>
      </c>
      <c r="B106" s="7">
        <v>9.095964565675672</v>
      </c>
      <c r="C106" s="27">
        <v>38228</v>
      </c>
    </row>
    <row r="107" spans="1:3" x14ac:dyDescent="0.3">
      <c r="A107" s="7" t="s">
        <v>17</v>
      </c>
      <c r="B107" s="7">
        <v>5.2275645864752214</v>
      </c>
      <c r="C107" s="27">
        <v>44521</v>
      </c>
    </row>
    <row r="108" spans="1:3" x14ac:dyDescent="0.3">
      <c r="A108" s="7" t="s">
        <v>34</v>
      </c>
      <c r="B108" s="7">
        <v>69.475492091467416</v>
      </c>
      <c r="C108" s="27">
        <v>29873</v>
      </c>
    </row>
    <row r="109" spans="1:3" x14ac:dyDescent="0.3">
      <c r="A109" s="7" t="s">
        <v>34</v>
      </c>
      <c r="B109" s="7">
        <v>19.551862698358651</v>
      </c>
      <c r="C109" s="27">
        <v>44546</v>
      </c>
    </row>
    <row r="110" spans="1:3" x14ac:dyDescent="0.3">
      <c r="A110" s="7" t="s">
        <v>34</v>
      </c>
      <c r="B110" s="7">
        <v>49.159817655475329</v>
      </c>
      <c r="C110" s="27">
        <v>34286</v>
      </c>
    </row>
    <row r="111" spans="1:3" x14ac:dyDescent="0.3">
      <c r="A111" s="7" t="s">
        <v>34</v>
      </c>
      <c r="B111" s="7">
        <v>54.158984064961238</v>
      </c>
      <c r="C111" s="27">
        <v>22087</v>
      </c>
    </row>
    <row r="112" spans="1:3" x14ac:dyDescent="0.3">
      <c r="A112" s="7" t="s">
        <v>34</v>
      </c>
      <c r="B112" s="7">
        <v>57.524479307546663</v>
      </c>
      <c r="C112" s="27">
        <v>44947</v>
      </c>
    </row>
    <row r="113" spans="1:3" x14ac:dyDescent="0.3">
      <c r="A113" s="7" t="s">
        <v>34</v>
      </c>
      <c r="B113" s="7">
        <v>60.827661631301943</v>
      </c>
      <c r="C113" s="27">
        <v>52003</v>
      </c>
    </row>
    <row r="114" spans="1:3" x14ac:dyDescent="0.3">
      <c r="A114" s="7" t="s">
        <v>34</v>
      </c>
      <c r="B114" s="7">
        <v>7.6914636320825887</v>
      </c>
      <c r="C114" s="27">
        <v>57639</v>
      </c>
    </row>
    <row r="115" spans="1:3" x14ac:dyDescent="0.3">
      <c r="A115" s="7" t="s">
        <v>34</v>
      </c>
      <c r="B115" s="7">
        <v>47.634187798207087</v>
      </c>
      <c r="C115" s="27">
        <v>33705</v>
      </c>
    </row>
    <row r="116" spans="1:3" x14ac:dyDescent="0.3">
      <c r="A116" s="7" t="s">
        <v>34</v>
      </c>
      <c r="B116" s="7">
        <v>20.47246886054408</v>
      </c>
      <c r="C116" s="27">
        <v>12023</v>
      </c>
    </row>
    <row r="117" spans="1:3" x14ac:dyDescent="0.3">
      <c r="A117" s="7" t="s">
        <v>34</v>
      </c>
      <c r="B117" s="7">
        <v>41.82171496581897</v>
      </c>
      <c r="C117" s="27">
        <v>43848</v>
      </c>
    </row>
    <row r="118" spans="1:3" x14ac:dyDescent="0.3">
      <c r="A118" s="7" t="s">
        <v>34</v>
      </c>
      <c r="B118" s="7">
        <v>14.117673944839121</v>
      </c>
      <c r="C118" s="27">
        <v>46060</v>
      </c>
    </row>
    <row r="119" spans="1:3" x14ac:dyDescent="0.3">
      <c r="A119" s="7" t="s">
        <v>34</v>
      </c>
      <c r="B119" s="7">
        <v>21.669318305251519</v>
      </c>
      <c r="C119" s="27">
        <v>13586</v>
      </c>
    </row>
    <row r="120" spans="1:3" x14ac:dyDescent="0.3">
      <c r="A120" s="7" t="s">
        <v>34</v>
      </c>
      <c r="B120" s="7">
        <v>14.71218489327067</v>
      </c>
      <c r="C120" s="27">
        <v>33225</v>
      </c>
    </row>
    <row r="121" spans="1:3" x14ac:dyDescent="0.3">
      <c r="A121" s="7" t="s">
        <v>34</v>
      </c>
      <c r="B121" s="7">
        <v>26.003918292085629</v>
      </c>
      <c r="C121" s="27">
        <v>37523</v>
      </c>
    </row>
    <row r="122" spans="1:3" x14ac:dyDescent="0.3">
      <c r="A122" s="7" t="s">
        <v>34</v>
      </c>
      <c r="B122" s="7">
        <v>37.86101298137271</v>
      </c>
      <c r="C122" s="27">
        <v>59745</v>
      </c>
    </row>
    <row r="123" spans="1:3" x14ac:dyDescent="0.3">
      <c r="A123" s="7" t="s">
        <v>34</v>
      </c>
      <c r="B123" s="7">
        <v>24.457411123534769</v>
      </c>
      <c r="C123" s="27">
        <v>13390</v>
      </c>
    </row>
    <row r="124" spans="1:3" x14ac:dyDescent="0.3">
      <c r="A124" s="7" t="s">
        <v>34</v>
      </c>
      <c r="B124" s="7">
        <v>3.5037017293827661</v>
      </c>
      <c r="C124" s="27">
        <v>53934</v>
      </c>
    </row>
    <row r="125" spans="1:3" x14ac:dyDescent="0.3">
      <c r="A125" s="7" t="s">
        <v>34</v>
      </c>
      <c r="B125" s="7">
        <v>29.45844233727631</v>
      </c>
      <c r="C125" s="27">
        <v>20258</v>
      </c>
    </row>
    <row r="126" spans="1:3" x14ac:dyDescent="0.3">
      <c r="A126" s="7" t="s">
        <v>34</v>
      </c>
      <c r="B126" s="7">
        <v>23.761877132122681</v>
      </c>
      <c r="C126" s="27">
        <v>38854</v>
      </c>
    </row>
    <row r="127" spans="1:3" x14ac:dyDescent="0.3">
      <c r="A127" s="7" t="s">
        <v>34</v>
      </c>
      <c r="B127" s="7">
        <v>8.5343795690395261</v>
      </c>
      <c r="C127" s="27">
        <v>20720</v>
      </c>
    </row>
    <row r="128" spans="1:3" x14ac:dyDescent="0.3">
      <c r="A128" s="7" t="s">
        <v>34</v>
      </c>
      <c r="B128" s="7">
        <v>2.1877429775253669</v>
      </c>
      <c r="C128" s="27">
        <v>35051</v>
      </c>
    </row>
    <row r="129" spans="1:3" x14ac:dyDescent="0.3">
      <c r="A129" s="7" t="s">
        <v>34</v>
      </c>
      <c r="B129" s="7">
        <v>27.040693108281051</v>
      </c>
      <c r="C129" s="27">
        <v>19518</v>
      </c>
    </row>
    <row r="130" spans="1:3" x14ac:dyDescent="0.3">
      <c r="A130" s="7" t="s">
        <v>34</v>
      </c>
      <c r="B130" s="7">
        <v>6.8073045370110723</v>
      </c>
      <c r="C130" s="27">
        <v>56026</v>
      </c>
    </row>
    <row r="131" spans="1:3" x14ac:dyDescent="0.3">
      <c r="A131" s="7" t="s">
        <v>34</v>
      </c>
      <c r="B131" s="7">
        <v>18.05853488496809</v>
      </c>
      <c r="C131" s="27">
        <v>40447</v>
      </c>
    </row>
    <row r="132" spans="1:3" x14ac:dyDescent="0.3">
      <c r="A132" s="7" t="s">
        <v>34</v>
      </c>
      <c r="B132" s="7">
        <v>15.150015424690389</v>
      </c>
      <c r="C132" s="27">
        <v>40254</v>
      </c>
    </row>
    <row r="133" spans="1:3" x14ac:dyDescent="0.3">
      <c r="A133" s="7" t="s">
        <v>34</v>
      </c>
      <c r="B133" s="7">
        <v>21.77776899411715</v>
      </c>
      <c r="C133" s="27">
        <v>28509</v>
      </c>
    </row>
    <row r="134" spans="1:3" x14ac:dyDescent="0.3">
      <c r="A134" s="7" t="s">
        <v>34</v>
      </c>
      <c r="B134" s="7">
        <v>8.7252768666168681</v>
      </c>
      <c r="C134" s="27">
        <v>58998</v>
      </c>
    </row>
    <row r="135" spans="1:3" x14ac:dyDescent="0.3">
      <c r="A135" s="7" t="s">
        <v>34</v>
      </c>
      <c r="B135" s="7">
        <v>3.5705994553828009</v>
      </c>
      <c r="C135" s="27">
        <v>51796</v>
      </c>
    </row>
    <row r="136" spans="1:3" x14ac:dyDescent="0.3">
      <c r="A136" s="7" t="s">
        <v>34</v>
      </c>
      <c r="B136" s="7">
        <v>13.449169969047761</v>
      </c>
      <c r="C136" s="27">
        <v>34570</v>
      </c>
    </row>
    <row r="137" spans="1:3" x14ac:dyDescent="0.3">
      <c r="A137" s="7" t="s">
        <v>34</v>
      </c>
      <c r="B137" s="7">
        <v>13.428486445958599</v>
      </c>
      <c r="C137" s="27">
        <v>26370</v>
      </c>
    </row>
    <row r="138" spans="1:3" x14ac:dyDescent="0.3">
      <c r="A138" s="7" t="s">
        <v>34</v>
      </c>
      <c r="B138" s="7">
        <v>5.0212654702089274</v>
      </c>
      <c r="C138" s="27">
        <v>53363</v>
      </c>
    </row>
    <row r="139" spans="1:3" x14ac:dyDescent="0.3">
      <c r="A139" s="7" t="s">
        <v>34</v>
      </c>
      <c r="B139" s="7">
        <v>12.407287318121019</v>
      </c>
      <c r="C139" s="27">
        <v>36201</v>
      </c>
    </row>
    <row r="140" spans="1:3" x14ac:dyDescent="0.3">
      <c r="A140" s="7" t="s">
        <v>34</v>
      </c>
      <c r="B140" s="7">
        <v>8.1379717408784362</v>
      </c>
      <c r="C140" s="27">
        <v>39309</v>
      </c>
    </row>
    <row r="141" spans="1:3" x14ac:dyDescent="0.3">
      <c r="A141" s="7" t="s">
        <v>34</v>
      </c>
      <c r="B141" s="7">
        <v>14.664542877660701</v>
      </c>
      <c r="C141" s="27">
        <v>39312</v>
      </c>
    </row>
    <row r="142" spans="1:3" x14ac:dyDescent="0.3">
      <c r="A142" s="7" t="s">
        <v>34</v>
      </c>
      <c r="B142" s="7">
        <v>7.1083748727213809</v>
      </c>
      <c r="C142" s="27">
        <v>13384</v>
      </c>
    </row>
    <row r="143" spans="1:3" x14ac:dyDescent="0.3">
      <c r="A143" s="7" t="s">
        <v>34</v>
      </c>
      <c r="B143" s="7">
        <v>7.6464588474579518</v>
      </c>
      <c r="C143" s="27">
        <v>53619</v>
      </c>
    </row>
    <row r="144" spans="1:3" x14ac:dyDescent="0.3">
      <c r="A144" s="7" t="s">
        <v>34</v>
      </c>
      <c r="B144" s="7">
        <v>12.96217457722318</v>
      </c>
      <c r="C144" s="27">
        <v>52821</v>
      </c>
    </row>
    <row r="145" spans="1:3" x14ac:dyDescent="0.3">
      <c r="A145" s="7" t="s">
        <v>34</v>
      </c>
      <c r="B145" s="7">
        <v>7.0117859410726204</v>
      </c>
      <c r="C145" s="27">
        <v>56907</v>
      </c>
    </row>
    <row r="146" spans="1:3" x14ac:dyDescent="0.3">
      <c r="A146" s="7" t="s">
        <v>34</v>
      </c>
      <c r="B146" s="7">
        <v>15.7972230504839</v>
      </c>
      <c r="C146" s="27">
        <v>17531</v>
      </c>
    </row>
    <row r="147" spans="1:3" x14ac:dyDescent="0.3">
      <c r="A147" s="7" t="s">
        <v>34</v>
      </c>
      <c r="B147" s="7">
        <v>3.7175793161543158</v>
      </c>
      <c r="C147" s="27">
        <v>17710</v>
      </c>
    </row>
    <row r="148" spans="1:3" x14ac:dyDescent="0.3">
      <c r="A148" s="7" t="s">
        <v>34</v>
      </c>
      <c r="B148" s="7">
        <v>7.6673478620345374</v>
      </c>
      <c r="C148" s="27">
        <v>23975</v>
      </c>
    </row>
    <row r="149" spans="1:3" x14ac:dyDescent="0.3">
      <c r="A149" s="7" t="s">
        <v>34</v>
      </c>
      <c r="B149" s="7">
        <v>1.3997016829812241</v>
      </c>
      <c r="C149" s="27">
        <v>25261</v>
      </c>
    </row>
    <row r="150" spans="1:3" x14ac:dyDescent="0.3">
      <c r="A150" s="7" t="s">
        <v>34</v>
      </c>
      <c r="B150" s="7">
        <v>9.2688963078737441</v>
      </c>
      <c r="C150" s="27">
        <v>19067</v>
      </c>
    </row>
    <row r="151" spans="1:3" x14ac:dyDescent="0.3">
      <c r="A151" s="7" t="s">
        <v>34</v>
      </c>
      <c r="B151" s="7">
        <v>2.9062061457685191</v>
      </c>
      <c r="C151" s="27">
        <v>27015</v>
      </c>
    </row>
    <row r="152" spans="1:3" x14ac:dyDescent="0.3">
      <c r="A152" s="7" t="s">
        <v>34</v>
      </c>
      <c r="B152" s="7">
        <v>2.5803804535313102</v>
      </c>
      <c r="C152" s="27">
        <v>42591</v>
      </c>
    </row>
    <row r="153" spans="1:3" x14ac:dyDescent="0.3">
      <c r="A153" s="7" t="s">
        <v>34</v>
      </c>
      <c r="B153" s="7">
        <v>1.525036393488727</v>
      </c>
      <c r="C153" s="27">
        <v>38047</v>
      </c>
    </row>
    <row r="154" spans="1:3" x14ac:dyDescent="0.3">
      <c r="A154" s="7" t="s">
        <v>34</v>
      </c>
      <c r="B154" s="7">
        <v>5.057443868445171</v>
      </c>
      <c r="C154" s="27">
        <v>28681</v>
      </c>
    </row>
    <row r="155" spans="1:3" x14ac:dyDescent="0.3">
      <c r="A155" s="7" t="s">
        <v>34</v>
      </c>
      <c r="B155" s="7">
        <v>5.2243073531483697</v>
      </c>
      <c r="C155" s="27">
        <v>40682</v>
      </c>
    </row>
    <row r="156" spans="1:3" x14ac:dyDescent="0.3">
      <c r="A156" s="7" t="s">
        <v>34</v>
      </c>
      <c r="B156" s="7">
        <v>8.1114645768679008</v>
      </c>
      <c r="C156" s="27">
        <v>21918</v>
      </c>
    </row>
    <row r="157" spans="1:3" x14ac:dyDescent="0.3">
      <c r="A157" s="7" t="s">
        <v>34</v>
      </c>
      <c r="B157" s="7">
        <v>5.6959041015180816</v>
      </c>
      <c r="C157" s="27">
        <v>21929</v>
      </c>
    </row>
    <row r="158" spans="1:3" x14ac:dyDescent="0.3">
      <c r="A158" s="7" t="s">
        <v>34</v>
      </c>
      <c r="B158" s="7">
        <v>11.940413075069831</v>
      </c>
      <c r="C158" s="27">
        <v>12539</v>
      </c>
    </row>
    <row r="159" spans="1:3" x14ac:dyDescent="0.3">
      <c r="A159" s="7" t="s">
        <v>34</v>
      </c>
      <c r="B159" s="7">
        <v>6.3457020771224837</v>
      </c>
      <c r="C159" s="27">
        <v>46727</v>
      </c>
    </row>
    <row r="160" spans="1:3" x14ac:dyDescent="0.3">
      <c r="A160" s="7" t="s">
        <v>34</v>
      </c>
      <c r="B160" s="7">
        <v>1.676081719625286</v>
      </c>
      <c r="C160" s="27">
        <v>41703</v>
      </c>
    </row>
    <row r="161" spans="1:3" x14ac:dyDescent="0.3">
      <c r="A161" s="7" t="s">
        <v>13</v>
      </c>
      <c r="B161" s="7">
        <v>92.312204605638044</v>
      </c>
      <c r="C161" s="27">
        <v>50372</v>
      </c>
    </row>
    <row r="162" spans="1:3" x14ac:dyDescent="0.3">
      <c r="A162" s="7" t="s">
        <v>13</v>
      </c>
      <c r="B162" s="7">
        <v>16.351815601833291</v>
      </c>
      <c r="C162" s="27">
        <v>33928</v>
      </c>
    </row>
    <row r="163" spans="1:3" x14ac:dyDescent="0.3">
      <c r="A163" s="7" t="s">
        <v>13</v>
      </c>
      <c r="B163" s="7">
        <v>52.064892597395271</v>
      </c>
      <c r="C163" s="27">
        <v>46751</v>
      </c>
    </row>
    <row r="164" spans="1:3" x14ac:dyDescent="0.3">
      <c r="A164" s="7" t="s">
        <v>13</v>
      </c>
      <c r="B164" s="7">
        <v>5.4343004617214756</v>
      </c>
      <c r="C164" s="27">
        <v>48019</v>
      </c>
    </row>
    <row r="165" spans="1:3" x14ac:dyDescent="0.3">
      <c r="A165" s="7" t="s">
        <v>13</v>
      </c>
      <c r="B165" s="7">
        <v>11.2083665774941</v>
      </c>
      <c r="C165" s="27">
        <v>24537</v>
      </c>
    </row>
    <row r="166" spans="1:3" x14ac:dyDescent="0.3">
      <c r="A166" s="7" t="s">
        <v>13</v>
      </c>
      <c r="B166" s="7">
        <v>49.647922622483861</v>
      </c>
      <c r="C166" s="27">
        <v>25379</v>
      </c>
    </row>
    <row r="167" spans="1:3" x14ac:dyDescent="0.3">
      <c r="A167" s="7" t="s">
        <v>13</v>
      </c>
      <c r="B167" s="7">
        <v>44.219272975538267</v>
      </c>
      <c r="C167" s="27">
        <v>12563</v>
      </c>
    </row>
    <row r="168" spans="1:3" x14ac:dyDescent="0.3">
      <c r="A168" s="7" t="s">
        <v>13</v>
      </c>
      <c r="B168" s="7">
        <v>46.999749649033298</v>
      </c>
      <c r="C168" s="27">
        <v>26087</v>
      </c>
    </row>
    <row r="169" spans="1:3" x14ac:dyDescent="0.3">
      <c r="A169" s="7" t="s">
        <v>13</v>
      </c>
      <c r="B169" s="7">
        <v>28.065042562888689</v>
      </c>
      <c r="C169" s="27">
        <v>16643</v>
      </c>
    </row>
    <row r="170" spans="1:3" x14ac:dyDescent="0.3">
      <c r="A170" s="7" t="s">
        <v>13</v>
      </c>
      <c r="B170" s="7">
        <v>4.6034181702735593</v>
      </c>
      <c r="C170" s="27">
        <v>21005</v>
      </c>
    </row>
    <row r="171" spans="1:3" x14ac:dyDescent="0.3">
      <c r="A171" s="7" t="s">
        <v>13</v>
      </c>
      <c r="B171" s="7">
        <v>20.46539508359615</v>
      </c>
      <c r="C171" s="27">
        <v>10161</v>
      </c>
    </row>
    <row r="172" spans="1:3" x14ac:dyDescent="0.3">
      <c r="A172" s="7" t="s">
        <v>13</v>
      </c>
      <c r="B172" s="7">
        <v>37.760512537325639</v>
      </c>
      <c r="C172" s="27">
        <v>38731</v>
      </c>
    </row>
    <row r="173" spans="1:3" x14ac:dyDescent="0.3">
      <c r="A173" s="7" t="s">
        <v>13</v>
      </c>
      <c r="B173" s="7">
        <v>6.2966210699906267</v>
      </c>
      <c r="C173" s="27">
        <v>59815</v>
      </c>
    </row>
    <row r="174" spans="1:3" x14ac:dyDescent="0.3">
      <c r="A174" s="7" t="s">
        <v>13</v>
      </c>
      <c r="B174" s="7">
        <v>6.9547481175882924</v>
      </c>
      <c r="C174" s="27">
        <v>52092</v>
      </c>
    </row>
    <row r="175" spans="1:3" x14ac:dyDescent="0.3">
      <c r="A175" s="7" t="s">
        <v>13</v>
      </c>
      <c r="B175" s="7">
        <v>11.194362999670229</v>
      </c>
      <c r="C175" s="27">
        <v>31817</v>
      </c>
    </row>
    <row r="176" spans="1:3" x14ac:dyDescent="0.3">
      <c r="A176" s="7" t="s">
        <v>13</v>
      </c>
      <c r="B176" s="7">
        <v>29.92120910472568</v>
      </c>
      <c r="C176" s="27">
        <v>23428</v>
      </c>
    </row>
    <row r="177" spans="1:3" x14ac:dyDescent="0.3">
      <c r="A177" s="7" t="s">
        <v>13</v>
      </c>
      <c r="B177" s="7">
        <v>25.120888149654821</v>
      </c>
      <c r="C177" s="27">
        <v>43598</v>
      </c>
    </row>
    <row r="178" spans="1:3" x14ac:dyDescent="0.3">
      <c r="A178" s="7" t="s">
        <v>13</v>
      </c>
      <c r="B178" s="7">
        <v>25.64820077827817</v>
      </c>
      <c r="C178" s="27">
        <v>11651</v>
      </c>
    </row>
    <row r="179" spans="1:3" x14ac:dyDescent="0.3">
      <c r="A179" s="7" t="s">
        <v>13</v>
      </c>
      <c r="B179" s="7">
        <v>8.3562843787534522</v>
      </c>
      <c r="C179" s="27">
        <v>37386</v>
      </c>
    </row>
    <row r="180" spans="1:3" x14ac:dyDescent="0.3">
      <c r="A180" s="7" t="s">
        <v>13</v>
      </c>
      <c r="B180" s="7">
        <v>5.5136820660139527</v>
      </c>
      <c r="C180" s="27">
        <v>43787</v>
      </c>
    </row>
    <row r="181" spans="1:3" x14ac:dyDescent="0.3">
      <c r="A181" s="7" t="s">
        <v>13</v>
      </c>
      <c r="B181" s="7">
        <v>11.50507059442103</v>
      </c>
      <c r="C181" s="27">
        <v>22448</v>
      </c>
    </row>
    <row r="182" spans="1:3" x14ac:dyDescent="0.3">
      <c r="A182" s="7" t="s">
        <v>13</v>
      </c>
      <c r="B182" s="7">
        <v>6.4069368024305948</v>
      </c>
      <c r="C182" s="27">
        <v>55253</v>
      </c>
    </row>
    <row r="183" spans="1:3" x14ac:dyDescent="0.3">
      <c r="A183" s="7" t="s">
        <v>13</v>
      </c>
      <c r="B183" s="7">
        <v>17.61788048552755</v>
      </c>
      <c r="C183" s="27">
        <v>28394</v>
      </c>
    </row>
    <row r="184" spans="1:3" x14ac:dyDescent="0.3">
      <c r="A184" s="7" t="s">
        <v>13</v>
      </c>
      <c r="B184" s="7">
        <v>3.0908004511744269</v>
      </c>
      <c r="C184" s="27">
        <v>55657</v>
      </c>
    </row>
    <row r="185" spans="1:3" x14ac:dyDescent="0.3">
      <c r="A185" s="7" t="s">
        <v>13</v>
      </c>
      <c r="B185" s="7">
        <v>10.21656296011305</v>
      </c>
      <c r="C185" s="27">
        <v>38272</v>
      </c>
    </row>
    <row r="186" spans="1:3" x14ac:dyDescent="0.3">
      <c r="A186" s="7" t="s">
        <v>13</v>
      </c>
      <c r="B186" s="7">
        <v>16.625487131094989</v>
      </c>
      <c r="C186" s="27">
        <v>45525</v>
      </c>
    </row>
    <row r="187" spans="1:3" x14ac:dyDescent="0.3">
      <c r="A187" s="7" t="s">
        <v>13</v>
      </c>
      <c r="B187" s="7">
        <v>12.913394489201821</v>
      </c>
      <c r="C187" s="27">
        <v>28994</v>
      </c>
    </row>
    <row r="188" spans="1:3" x14ac:dyDescent="0.3">
      <c r="A188" s="7" t="s">
        <v>13</v>
      </c>
      <c r="B188" s="7">
        <v>10.34986590877523</v>
      </c>
      <c r="C188" s="27">
        <v>52963</v>
      </c>
    </row>
    <row r="189" spans="1:3" x14ac:dyDescent="0.3">
      <c r="A189" s="7" t="s">
        <v>13</v>
      </c>
      <c r="B189" s="7">
        <v>9.1811305577864442</v>
      </c>
      <c r="C189" s="27">
        <v>29715</v>
      </c>
    </row>
    <row r="190" spans="1:3" x14ac:dyDescent="0.3">
      <c r="A190" s="7" t="s">
        <v>13</v>
      </c>
      <c r="B190" s="7">
        <v>18.236747441373989</v>
      </c>
      <c r="C190" s="27">
        <v>12839</v>
      </c>
    </row>
    <row r="191" spans="1:3" x14ac:dyDescent="0.3">
      <c r="A191" s="7" t="s">
        <v>13</v>
      </c>
      <c r="B191" s="7">
        <v>7.201344336027284</v>
      </c>
      <c r="C191" s="27">
        <v>23493</v>
      </c>
    </row>
    <row r="192" spans="1:3" x14ac:dyDescent="0.3">
      <c r="A192" s="7" t="s">
        <v>13</v>
      </c>
      <c r="B192" s="7">
        <v>9.5052903929580594</v>
      </c>
      <c r="C192" s="27">
        <v>17736</v>
      </c>
    </row>
    <row r="193" spans="1:3" x14ac:dyDescent="0.3">
      <c r="A193" s="7" t="s">
        <v>13</v>
      </c>
      <c r="B193" s="7">
        <v>8.768004820772493</v>
      </c>
      <c r="C193" s="27">
        <v>11619</v>
      </c>
    </row>
    <row r="194" spans="1:3" x14ac:dyDescent="0.3">
      <c r="A194" s="7" t="s">
        <v>13</v>
      </c>
      <c r="B194" s="7">
        <v>1.9837452629066989</v>
      </c>
      <c r="C194" s="27">
        <v>47766</v>
      </c>
    </row>
    <row r="195" spans="1:3" x14ac:dyDescent="0.3">
      <c r="A195" s="7" t="s">
        <v>13</v>
      </c>
      <c r="B195" s="7">
        <v>15.684892498324469</v>
      </c>
      <c r="C195" s="27">
        <v>10162</v>
      </c>
    </row>
    <row r="196" spans="1:3" x14ac:dyDescent="0.3">
      <c r="A196" s="7" t="s">
        <v>13</v>
      </c>
      <c r="B196" s="7">
        <v>4.6083932009689246</v>
      </c>
      <c r="C196" s="27">
        <v>29675</v>
      </c>
    </row>
    <row r="197" spans="1:3" x14ac:dyDescent="0.3">
      <c r="A197" s="7" t="s">
        <v>13</v>
      </c>
      <c r="B197" s="7">
        <v>2.1106477061454201</v>
      </c>
      <c r="C197" s="27">
        <v>19833</v>
      </c>
    </row>
    <row r="198" spans="1:3" x14ac:dyDescent="0.3">
      <c r="A198" s="7" t="s">
        <v>13</v>
      </c>
      <c r="B198" s="7">
        <v>5.7680529449373434</v>
      </c>
      <c r="C198" s="27">
        <v>12643</v>
      </c>
    </row>
    <row r="199" spans="1:3" x14ac:dyDescent="0.3">
      <c r="A199" s="7" t="s">
        <v>13</v>
      </c>
      <c r="B199" s="7">
        <v>6.5457075572682513</v>
      </c>
      <c r="C199" s="27">
        <v>25892</v>
      </c>
    </row>
    <row r="200" spans="1:3" x14ac:dyDescent="0.3">
      <c r="A200" s="7" t="s">
        <v>13</v>
      </c>
      <c r="B200" s="7">
        <v>8.1237966902808925</v>
      </c>
      <c r="C200" s="27">
        <v>27073</v>
      </c>
    </row>
    <row r="201" spans="1:3" x14ac:dyDescent="0.3">
      <c r="A201" s="11" t="s">
        <v>13</v>
      </c>
      <c r="B201" s="11">
        <v>6.9871371390821126</v>
      </c>
      <c r="C201" s="28">
        <v>32669</v>
      </c>
    </row>
  </sheetData>
  <sortState xmlns:xlrd2="http://schemas.microsoft.com/office/spreadsheetml/2017/richdata2" ref="A2:C201">
    <sortCondition ref="A2:A201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643E-E62B-4D4B-BAAF-2A9A2B838B54}">
  <dimension ref="A1:I19"/>
  <sheetViews>
    <sheetView workbookViewId="0">
      <selection activeCell="F14" sqref="F14"/>
    </sheetView>
  </sheetViews>
  <sheetFormatPr defaultRowHeight="14.4" x14ac:dyDescent="0.3"/>
  <cols>
    <col min="1" max="1" width="33.77734375" customWidth="1"/>
    <col min="2" max="2" width="19.21875" customWidth="1"/>
    <col min="3" max="3" width="16.44140625" bestFit="1" customWidth="1"/>
    <col min="4" max="4" width="12.6640625" customWidth="1"/>
    <col min="5" max="5" width="31.88671875" bestFit="1" customWidth="1"/>
    <col min="6" max="6" width="25.21875" bestFit="1" customWidth="1"/>
    <col min="7" max="7" width="11.6640625" customWidth="1"/>
    <col min="8" max="8" width="31.88671875" bestFit="1" customWidth="1"/>
    <col min="9" max="9" width="25.21875" bestFit="1" customWidth="1"/>
  </cols>
  <sheetData>
    <row r="1" spans="1:9" ht="18" x14ac:dyDescent="0.35">
      <c r="A1" s="151" t="s">
        <v>385</v>
      </c>
      <c r="B1" s="132"/>
      <c r="E1" s="151" t="s">
        <v>384</v>
      </c>
      <c r="F1" s="132"/>
      <c r="G1" s="132"/>
    </row>
    <row r="3" spans="1:9" x14ac:dyDescent="0.3">
      <c r="A3" s="45" t="s">
        <v>362</v>
      </c>
      <c r="B3" s="14" t="s">
        <v>383</v>
      </c>
      <c r="E3" s="45" t="s">
        <v>362</v>
      </c>
      <c r="F3" s="14" t="s">
        <v>365</v>
      </c>
    </row>
    <row r="4" spans="1:9" x14ac:dyDescent="0.3">
      <c r="A4" s="46" t="s">
        <v>345</v>
      </c>
      <c r="B4" s="14">
        <v>25</v>
      </c>
      <c r="E4" s="46" t="s">
        <v>345</v>
      </c>
      <c r="F4" s="61">
        <v>0.11135741315150899</v>
      </c>
    </row>
    <row r="5" spans="1:9" x14ac:dyDescent="0.3">
      <c r="A5" s="46" t="s">
        <v>346</v>
      </c>
      <c r="B5" s="14">
        <v>19</v>
      </c>
      <c r="E5" s="46" t="s">
        <v>346</v>
      </c>
      <c r="F5" s="61">
        <v>0.11195695112108224</v>
      </c>
    </row>
    <row r="6" spans="1:9" ht="15.6" x14ac:dyDescent="0.3">
      <c r="A6" s="46" t="s">
        <v>350</v>
      </c>
      <c r="B6" s="14">
        <v>32</v>
      </c>
      <c r="E6" s="46" t="s">
        <v>350</v>
      </c>
      <c r="F6" s="61">
        <v>0.12600406732043232</v>
      </c>
      <c r="H6" s="154" t="s">
        <v>454</v>
      </c>
      <c r="I6" s="137"/>
    </row>
    <row r="7" spans="1:9" x14ac:dyDescent="0.3">
      <c r="A7" s="46" t="s">
        <v>347</v>
      </c>
      <c r="B7" s="14">
        <v>34</v>
      </c>
      <c r="E7" s="46" t="s">
        <v>347</v>
      </c>
      <c r="F7" s="61">
        <v>0.13494947381413458</v>
      </c>
    </row>
    <row r="8" spans="1:9" ht="15.6" x14ac:dyDescent="0.3">
      <c r="A8" s="55" t="s">
        <v>348</v>
      </c>
      <c r="B8" s="64">
        <v>37</v>
      </c>
      <c r="E8" s="46" t="s">
        <v>348</v>
      </c>
      <c r="F8" s="61">
        <v>0.11399721676928389</v>
      </c>
      <c r="H8" s="145" t="s">
        <v>461</v>
      </c>
      <c r="I8" s="137"/>
    </row>
    <row r="9" spans="1:9" x14ac:dyDescent="0.3">
      <c r="A9" s="46" t="s">
        <v>343</v>
      </c>
      <c r="B9" s="14">
        <v>25</v>
      </c>
      <c r="E9" s="46" t="s">
        <v>343</v>
      </c>
      <c r="F9" s="61">
        <v>0.14380411271271717</v>
      </c>
    </row>
    <row r="10" spans="1:9" x14ac:dyDescent="0.3">
      <c r="A10" s="46" t="s">
        <v>349</v>
      </c>
      <c r="B10" s="14">
        <v>29</v>
      </c>
      <c r="E10" s="46" t="s">
        <v>349</v>
      </c>
      <c r="F10" s="61">
        <v>0.11456579865607176</v>
      </c>
    </row>
    <row r="11" spans="1:9" x14ac:dyDescent="0.3">
      <c r="A11" s="46" t="s">
        <v>351</v>
      </c>
      <c r="B11" s="14">
        <v>25</v>
      </c>
      <c r="E11" s="46" t="s">
        <v>351</v>
      </c>
      <c r="F11" s="61">
        <v>0.12026676773989804</v>
      </c>
    </row>
    <row r="12" spans="1:9" x14ac:dyDescent="0.3">
      <c r="A12" s="46" t="s">
        <v>344</v>
      </c>
      <c r="B12" s="14">
        <v>28</v>
      </c>
      <c r="E12" s="46" t="s">
        <v>344</v>
      </c>
      <c r="F12" s="61">
        <v>0.11789410371289012</v>
      </c>
    </row>
    <row r="13" spans="1:9" x14ac:dyDescent="0.3">
      <c r="A13" s="46" t="s">
        <v>55</v>
      </c>
      <c r="B13" s="14">
        <v>17</v>
      </c>
      <c r="E13" s="46" t="s">
        <v>55</v>
      </c>
      <c r="F13" s="61">
        <v>0.10955527128571871</v>
      </c>
    </row>
    <row r="14" spans="1:9" x14ac:dyDescent="0.3">
      <c r="A14" s="46" t="s">
        <v>28</v>
      </c>
      <c r="B14" s="14">
        <v>16</v>
      </c>
      <c r="E14" s="55" t="s">
        <v>28</v>
      </c>
      <c r="F14" s="60">
        <v>0.15329917321810049</v>
      </c>
    </row>
    <row r="15" spans="1:9" x14ac:dyDescent="0.3">
      <c r="A15" s="46" t="s">
        <v>352</v>
      </c>
      <c r="B15" s="14">
        <v>13</v>
      </c>
      <c r="E15" s="46" t="s">
        <v>352</v>
      </c>
      <c r="F15" s="61">
        <v>0.12019462245795259</v>
      </c>
    </row>
    <row r="16" spans="1:9" x14ac:dyDescent="0.3">
      <c r="E16" s="46" t="s">
        <v>364</v>
      </c>
      <c r="F16" s="61">
        <v>0.1228413274536293</v>
      </c>
    </row>
    <row r="17" spans="1:4" ht="15.6" x14ac:dyDescent="0.3">
      <c r="A17" s="154" t="s">
        <v>454</v>
      </c>
      <c r="B17" s="137"/>
    </row>
    <row r="19" spans="1:4" ht="15.6" x14ac:dyDescent="0.3">
      <c r="A19" s="145" t="s">
        <v>455</v>
      </c>
      <c r="B19" s="136"/>
      <c r="C19" s="136"/>
      <c r="D19" s="13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DEC2-31B2-4D23-925C-76BA82854093}">
  <dimension ref="A1:M22"/>
  <sheetViews>
    <sheetView workbookViewId="0">
      <selection activeCell="A3" sqref="A3:M22"/>
    </sheetView>
  </sheetViews>
  <sheetFormatPr defaultRowHeight="14.4" x14ac:dyDescent="0.3"/>
  <cols>
    <col min="1" max="1" width="9" bestFit="1" customWidth="1"/>
    <col min="2" max="2" width="10.5546875" bestFit="1" customWidth="1"/>
    <col min="3" max="3" width="10.33203125" bestFit="1" customWidth="1"/>
    <col min="4" max="4" width="14.109375" bestFit="1" customWidth="1"/>
    <col min="5" max="5" width="31.88671875" bestFit="1" customWidth="1"/>
    <col min="6" max="7" width="9" bestFit="1" customWidth="1"/>
    <col min="8" max="8" width="12.33203125" bestFit="1" customWidth="1"/>
    <col min="9" max="10" width="9" bestFit="1" customWidth="1"/>
    <col min="11" max="11" width="13.21875" bestFit="1" customWidth="1"/>
    <col min="12" max="12" width="17.6640625" bestFit="1" customWidth="1"/>
    <col min="13" max="13" width="26" bestFit="1" customWidth="1"/>
  </cols>
  <sheetData>
    <row r="1" spans="1:13" x14ac:dyDescent="0.3">
      <c r="A1" s="40" t="s">
        <v>390</v>
      </c>
    </row>
    <row r="3" spans="1:1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353</v>
      </c>
      <c r="M3" t="s">
        <v>11</v>
      </c>
    </row>
    <row r="4" spans="1:13" x14ac:dyDescent="0.3">
      <c r="A4" t="s">
        <v>95</v>
      </c>
      <c r="B4" t="s">
        <v>17</v>
      </c>
      <c r="C4" s="49">
        <v>45724</v>
      </c>
      <c r="D4" t="s">
        <v>21</v>
      </c>
      <c r="E4" t="s">
        <v>348</v>
      </c>
      <c r="F4">
        <v>10580</v>
      </c>
      <c r="G4">
        <v>427</v>
      </c>
      <c r="H4">
        <v>790</v>
      </c>
      <c r="I4">
        <v>2814</v>
      </c>
      <c r="J4">
        <v>24916</v>
      </c>
      <c r="K4">
        <v>213312</v>
      </c>
      <c r="L4">
        <v>5.530396789678968E-2</v>
      </c>
      <c r="M4" t="s">
        <v>38</v>
      </c>
    </row>
    <row r="5" spans="1:13" x14ac:dyDescent="0.3">
      <c r="A5" t="s">
        <v>40</v>
      </c>
      <c r="B5" t="s">
        <v>17</v>
      </c>
      <c r="C5" s="49">
        <v>45907</v>
      </c>
      <c r="D5" t="s">
        <v>21</v>
      </c>
      <c r="E5" t="s">
        <v>345</v>
      </c>
      <c r="F5">
        <v>3015</v>
      </c>
      <c r="G5">
        <v>997</v>
      </c>
      <c r="H5">
        <v>783</v>
      </c>
      <c r="I5">
        <v>617</v>
      </c>
      <c r="J5">
        <v>77167</v>
      </c>
      <c r="K5">
        <v>82229</v>
      </c>
      <c r="L5">
        <v>5.8312760704860814E-2</v>
      </c>
      <c r="M5" t="s">
        <v>18</v>
      </c>
    </row>
    <row r="6" spans="1:13" x14ac:dyDescent="0.3">
      <c r="A6" t="s">
        <v>137</v>
      </c>
      <c r="B6" t="s">
        <v>17</v>
      </c>
      <c r="C6" s="49">
        <v>45619</v>
      </c>
      <c r="D6" t="s">
        <v>21</v>
      </c>
      <c r="E6" t="s">
        <v>28</v>
      </c>
      <c r="F6">
        <v>9941</v>
      </c>
      <c r="G6">
        <v>1329</v>
      </c>
      <c r="H6">
        <v>238</v>
      </c>
      <c r="I6">
        <v>869</v>
      </c>
      <c r="J6">
        <v>40281</v>
      </c>
      <c r="K6">
        <v>172311</v>
      </c>
      <c r="L6">
        <v>6.6786217943137702E-2</v>
      </c>
      <c r="M6" t="s">
        <v>22</v>
      </c>
    </row>
    <row r="7" spans="1:13" x14ac:dyDescent="0.3">
      <c r="A7" t="s">
        <v>71</v>
      </c>
      <c r="B7" t="s">
        <v>17</v>
      </c>
      <c r="C7" s="49">
        <v>45917</v>
      </c>
      <c r="D7" t="s">
        <v>21</v>
      </c>
      <c r="E7" t="s">
        <v>347</v>
      </c>
      <c r="F7">
        <v>15456</v>
      </c>
      <c r="G7">
        <v>590</v>
      </c>
      <c r="H7">
        <v>555</v>
      </c>
      <c r="I7">
        <v>2882</v>
      </c>
      <c r="J7">
        <v>49816</v>
      </c>
      <c r="K7">
        <v>240422</v>
      </c>
      <c r="L7">
        <v>6.9049421433978589E-2</v>
      </c>
      <c r="M7" t="s">
        <v>18</v>
      </c>
    </row>
    <row r="8" spans="1:13" x14ac:dyDescent="0.3">
      <c r="A8" t="s">
        <v>42</v>
      </c>
      <c r="B8" t="s">
        <v>17</v>
      </c>
      <c r="C8" s="49">
        <v>45782</v>
      </c>
      <c r="D8" t="s">
        <v>21</v>
      </c>
      <c r="E8" t="s">
        <v>350</v>
      </c>
      <c r="F8">
        <v>10415</v>
      </c>
      <c r="G8">
        <v>1388</v>
      </c>
      <c r="H8">
        <v>725</v>
      </c>
      <c r="I8">
        <v>2462</v>
      </c>
      <c r="J8">
        <v>53082</v>
      </c>
      <c r="K8">
        <v>168267</v>
      </c>
      <c r="L8">
        <v>7.4453101321114656E-2</v>
      </c>
      <c r="M8" t="s">
        <v>38</v>
      </c>
    </row>
    <row r="9" spans="1:13" x14ac:dyDescent="0.3">
      <c r="A9" t="s">
        <v>201</v>
      </c>
      <c r="B9" t="s">
        <v>17</v>
      </c>
      <c r="C9" s="49">
        <v>45938</v>
      </c>
      <c r="D9" t="s">
        <v>21</v>
      </c>
      <c r="E9" t="s">
        <v>350</v>
      </c>
      <c r="F9">
        <v>17745</v>
      </c>
      <c r="G9">
        <v>414</v>
      </c>
      <c r="H9">
        <v>563</v>
      </c>
      <c r="I9">
        <v>2733</v>
      </c>
      <c r="J9">
        <v>995</v>
      </c>
      <c r="K9">
        <v>231648</v>
      </c>
      <c r="L9">
        <v>8.0820900676889074E-2</v>
      </c>
      <c r="M9" t="s">
        <v>18</v>
      </c>
    </row>
    <row r="10" spans="1:13" x14ac:dyDescent="0.3">
      <c r="A10" t="s">
        <v>82</v>
      </c>
      <c r="B10" t="s">
        <v>17</v>
      </c>
      <c r="C10" s="49">
        <v>45644</v>
      </c>
      <c r="D10" t="s">
        <v>21</v>
      </c>
      <c r="E10" t="s">
        <v>349</v>
      </c>
      <c r="F10">
        <v>14775</v>
      </c>
      <c r="G10">
        <v>1220</v>
      </c>
      <c r="H10">
        <v>640</v>
      </c>
      <c r="I10">
        <v>1547</v>
      </c>
      <c r="J10">
        <v>28527</v>
      </c>
      <c r="K10">
        <v>183660</v>
      </c>
      <c r="L10">
        <v>9.0574975498203203E-2</v>
      </c>
      <c r="M10" t="s">
        <v>38</v>
      </c>
    </row>
    <row r="11" spans="1:13" x14ac:dyDescent="0.3">
      <c r="A11" t="s">
        <v>234</v>
      </c>
      <c r="B11" t="s">
        <v>17</v>
      </c>
      <c r="C11" s="49">
        <v>45467</v>
      </c>
      <c r="D11" t="s">
        <v>21</v>
      </c>
      <c r="E11" t="s">
        <v>344</v>
      </c>
      <c r="F11">
        <v>5596</v>
      </c>
      <c r="G11">
        <v>1231</v>
      </c>
      <c r="H11">
        <v>473</v>
      </c>
      <c r="I11">
        <v>2251</v>
      </c>
      <c r="J11">
        <v>43705</v>
      </c>
      <c r="K11">
        <v>75643</v>
      </c>
      <c r="L11">
        <v>9.6505955607260427E-2</v>
      </c>
      <c r="M11" t="s">
        <v>15</v>
      </c>
    </row>
    <row r="12" spans="1:13" x14ac:dyDescent="0.3">
      <c r="A12" t="s">
        <v>269</v>
      </c>
      <c r="B12" t="s">
        <v>17</v>
      </c>
      <c r="C12" s="49">
        <v>45722</v>
      </c>
      <c r="D12" t="s">
        <v>21</v>
      </c>
      <c r="E12" t="s">
        <v>349</v>
      </c>
      <c r="F12">
        <v>22119</v>
      </c>
      <c r="G12">
        <v>899</v>
      </c>
      <c r="H12">
        <v>642</v>
      </c>
      <c r="I12">
        <v>410</v>
      </c>
      <c r="J12">
        <v>49490</v>
      </c>
      <c r="K12">
        <v>229420</v>
      </c>
      <c r="L12">
        <v>0.10312963124400662</v>
      </c>
      <c r="M12" t="s">
        <v>25</v>
      </c>
    </row>
    <row r="13" spans="1:13" x14ac:dyDescent="0.3">
      <c r="A13" t="s">
        <v>298</v>
      </c>
      <c r="B13" t="s">
        <v>17</v>
      </c>
      <c r="C13" s="49">
        <v>45743</v>
      </c>
      <c r="D13" t="s">
        <v>21</v>
      </c>
      <c r="E13" t="s">
        <v>351</v>
      </c>
      <c r="F13">
        <v>14819</v>
      </c>
      <c r="G13">
        <v>1432</v>
      </c>
      <c r="H13">
        <v>152</v>
      </c>
      <c r="I13">
        <v>961</v>
      </c>
      <c r="J13">
        <v>39154</v>
      </c>
      <c r="K13">
        <v>154793</v>
      </c>
      <c r="L13">
        <v>0.10596732410380315</v>
      </c>
      <c r="M13" t="s">
        <v>25</v>
      </c>
    </row>
    <row r="14" spans="1:13" x14ac:dyDescent="0.3">
      <c r="A14" t="s">
        <v>261</v>
      </c>
      <c r="B14" t="s">
        <v>17</v>
      </c>
      <c r="C14" s="49">
        <v>45648</v>
      </c>
      <c r="D14" t="s">
        <v>21</v>
      </c>
      <c r="E14" t="s">
        <v>346</v>
      </c>
      <c r="F14">
        <v>20117</v>
      </c>
      <c r="G14">
        <v>1143</v>
      </c>
      <c r="H14">
        <v>713</v>
      </c>
      <c r="I14">
        <v>1739</v>
      </c>
      <c r="J14">
        <v>34444</v>
      </c>
      <c r="K14">
        <v>198670</v>
      </c>
      <c r="L14">
        <v>0.11060049328031409</v>
      </c>
      <c r="M14" t="s">
        <v>38</v>
      </c>
    </row>
    <row r="15" spans="1:13" x14ac:dyDescent="0.3">
      <c r="A15" t="s">
        <v>44</v>
      </c>
      <c r="B15" t="s">
        <v>17</v>
      </c>
      <c r="C15" s="49">
        <v>45466</v>
      </c>
      <c r="D15" t="s">
        <v>21</v>
      </c>
      <c r="E15" t="s">
        <v>350</v>
      </c>
      <c r="F15">
        <v>16512</v>
      </c>
      <c r="G15">
        <v>1050</v>
      </c>
      <c r="H15">
        <v>971</v>
      </c>
      <c r="I15">
        <v>1891</v>
      </c>
      <c r="J15">
        <v>15865</v>
      </c>
      <c r="K15">
        <v>166503</v>
      </c>
      <c r="L15">
        <v>0.1113073037723044</v>
      </c>
      <c r="M15" t="s">
        <v>25</v>
      </c>
    </row>
    <row r="16" spans="1:13" x14ac:dyDescent="0.3">
      <c r="A16" t="s">
        <v>118</v>
      </c>
      <c r="B16" t="s">
        <v>17</v>
      </c>
      <c r="C16" s="49">
        <v>45586</v>
      </c>
      <c r="D16" t="s">
        <v>21</v>
      </c>
      <c r="E16" t="s">
        <v>344</v>
      </c>
      <c r="F16">
        <v>19715</v>
      </c>
      <c r="G16">
        <v>1014</v>
      </c>
      <c r="H16">
        <v>718</v>
      </c>
      <c r="I16">
        <v>1185</v>
      </c>
      <c r="J16">
        <v>37625</v>
      </c>
      <c r="K16">
        <v>191409</v>
      </c>
      <c r="L16">
        <v>0.11204802282024356</v>
      </c>
      <c r="M16" t="s">
        <v>15</v>
      </c>
    </row>
    <row r="17" spans="1:13" x14ac:dyDescent="0.3">
      <c r="A17" t="s">
        <v>231</v>
      </c>
      <c r="B17" t="s">
        <v>17</v>
      </c>
      <c r="C17" s="49">
        <v>45923</v>
      </c>
      <c r="D17" t="s">
        <v>21</v>
      </c>
      <c r="E17" t="s">
        <v>350</v>
      </c>
      <c r="F17">
        <v>17147</v>
      </c>
      <c r="G17">
        <v>286</v>
      </c>
      <c r="H17">
        <v>291</v>
      </c>
      <c r="I17">
        <v>2439</v>
      </c>
      <c r="J17">
        <v>45631</v>
      </c>
      <c r="K17">
        <v>140494</v>
      </c>
      <c r="L17">
        <v>0.12615485358805359</v>
      </c>
      <c r="M17" t="s">
        <v>18</v>
      </c>
    </row>
    <row r="18" spans="1:13" x14ac:dyDescent="0.3">
      <c r="A18" t="s">
        <v>250</v>
      </c>
      <c r="B18" t="s">
        <v>17</v>
      </c>
      <c r="C18" s="49">
        <v>45907</v>
      </c>
      <c r="D18" t="s">
        <v>21</v>
      </c>
      <c r="E18" t="s">
        <v>352</v>
      </c>
      <c r="F18">
        <v>4472</v>
      </c>
      <c r="G18">
        <v>1301</v>
      </c>
      <c r="H18">
        <v>956</v>
      </c>
      <c r="I18">
        <v>1186</v>
      </c>
      <c r="J18">
        <v>3363</v>
      </c>
      <c r="K18">
        <v>46471</v>
      </c>
      <c r="L18">
        <v>0.14479998278496267</v>
      </c>
      <c r="M18" t="s">
        <v>18</v>
      </c>
    </row>
    <row r="19" spans="1:13" x14ac:dyDescent="0.3">
      <c r="A19" t="s">
        <v>186</v>
      </c>
      <c r="B19" t="s">
        <v>17</v>
      </c>
      <c r="C19" s="49">
        <v>45528</v>
      </c>
      <c r="D19" t="s">
        <v>21</v>
      </c>
      <c r="E19" t="s">
        <v>351</v>
      </c>
      <c r="F19">
        <v>22527</v>
      </c>
      <c r="G19">
        <v>865</v>
      </c>
      <c r="H19">
        <v>646</v>
      </c>
      <c r="I19">
        <v>992</v>
      </c>
      <c r="J19">
        <v>18654</v>
      </c>
      <c r="K19">
        <v>141376</v>
      </c>
      <c r="L19">
        <v>0.17002885921231325</v>
      </c>
      <c r="M19" t="s">
        <v>38</v>
      </c>
    </row>
    <row r="20" spans="1:13" x14ac:dyDescent="0.3">
      <c r="A20" t="s">
        <v>117</v>
      </c>
      <c r="B20" t="s">
        <v>17</v>
      </c>
      <c r="C20" s="49">
        <v>45924</v>
      </c>
      <c r="D20" t="s">
        <v>21</v>
      </c>
      <c r="E20" t="s">
        <v>347</v>
      </c>
      <c r="F20">
        <v>12209</v>
      </c>
      <c r="G20">
        <v>222</v>
      </c>
      <c r="H20">
        <v>479</v>
      </c>
      <c r="I20">
        <v>2748</v>
      </c>
      <c r="J20">
        <v>24615</v>
      </c>
      <c r="K20">
        <v>74707</v>
      </c>
      <c r="L20">
        <v>0.17280843829895459</v>
      </c>
      <c r="M20" t="s">
        <v>18</v>
      </c>
    </row>
    <row r="21" spans="1:13" x14ac:dyDescent="0.3">
      <c r="A21" t="s">
        <v>73</v>
      </c>
      <c r="B21" t="s">
        <v>17</v>
      </c>
      <c r="C21" s="49">
        <v>45712</v>
      </c>
      <c r="D21" t="s">
        <v>21</v>
      </c>
      <c r="E21" t="s">
        <v>349</v>
      </c>
      <c r="F21">
        <v>24984</v>
      </c>
      <c r="G21">
        <v>753</v>
      </c>
      <c r="H21">
        <v>461</v>
      </c>
      <c r="I21">
        <v>2710</v>
      </c>
      <c r="J21">
        <v>20792</v>
      </c>
      <c r="K21">
        <v>141520</v>
      </c>
      <c r="L21">
        <v>0.18511871113623515</v>
      </c>
      <c r="M21" t="s">
        <v>22</v>
      </c>
    </row>
    <row r="22" spans="1:13" x14ac:dyDescent="0.3">
      <c r="A22" t="s">
        <v>72</v>
      </c>
      <c r="B22" t="s">
        <v>17</v>
      </c>
      <c r="C22" s="49">
        <v>45779</v>
      </c>
      <c r="D22" t="s">
        <v>21</v>
      </c>
      <c r="E22" t="s">
        <v>350</v>
      </c>
      <c r="F22">
        <v>17444</v>
      </c>
      <c r="G22">
        <v>1402</v>
      </c>
      <c r="H22">
        <v>218</v>
      </c>
      <c r="I22">
        <v>725</v>
      </c>
      <c r="J22">
        <v>8710</v>
      </c>
      <c r="K22">
        <v>85893</v>
      </c>
      <c r="L22">
        <v>0.22195056640238436</v>
      </c>
      <c r="M22" t="s">
        <v>38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3270-3E61-4A84-8CB3-FE7F1F621A24}">
  <dimension ref="A1:Z36"/>
  <sheetViews>
    <sheetView workbookViewId="0">
      <selection activeCell="C18" sqref="C18"/>
    </sheetView>
  </sheetViews>
  <sheetFormatPr defaultRowHeight="14.4" x14ac:dyDescent="0.3"/>
  <cols>
    <col min="1" max="1" width="13.109375" bestFit="1" customWidth="1"/>
    <col min="2" max="2" width="25.6640625" customWidth="1"/>
    <col min="3" max="3" width="24.6640625" bestFit="1" customWidth="1"/>
    <col min="4" max="4" width="16" bestFit="1" customWidth="1"/>
    <col min="5" max="5" width="24.21875" bestFit="1" customWidth="1"/>
    <col min="6" max="6" width="26.88671875" bestFit="1" customWidth="1"/>
    <col min="7" max="7" width="10.77734375" bestFit="1" customWidth="1"/>
    <col min="8" max="34" width="6" bestFit="1" customWidth="1"/>
    <col min="35" max="70" width="7" bestFit="1" customWidth="1"/>
    <col min="71" max="71" width="30.44140625" bestFit="1" customWidth="1"/>
    <col min="72" max="72" width="26.6640625" bestFit="1" customWidth="1"/>
    <col min="73" max="103" width="6" bestFit="1" customWidth="1"/>
    <col min="104" max="140" width="7" bestFit="1" customWidth="1"/>
    <col min="141" max="141" width="29.5546875" bestFit="1" customWidth="1"/>
    <col min="142" max="142" width="18" bestFit="1" customWidth="1"/>
    <col min="143" max="167" width="6" bestFit="1" customWidth="1"/>
    <col min="168" max="200" width="7" bestFit="1" customWidth="1"/>
    <col min="201" max="201" width="20.77734375" bestFit="1" customWidth="1"/>
    <col min="202" max="202" width="26.21875" bestFit="1" customWidth="1"/>
    <col min="203" max="226" width="6" bestFit="1" customWidth="1"/>
    <col min="227" max="247" width="7" bestFit="1" customWidth="1"/>
    <col min="248" max="248" width="29" bestFit="1" customWidth="1"/>
    <col min="249" max="249" width="28.88671875" bestFit="1" customWidth="1"/>
    <col min="250" max="278" width="6" bestFit="1" customWidth="1"/>
    <col min="279" max="305" width="7" bestFit="1" customWidth="1"/>
    <col min="306" max="306" width="31.6640625" bestFit="1" customWidth="1"/>
    <col min="307" max="307" width="10.77734375" bestFit="1" customWidth="1"/>
  </cols>
  <sheetData>
    <row r="1" spans="1:26" ht="15.6" x14ac:dyDescent="0.3">
      <c r="A1" s="133" t="s">
        <v>386</v>
      </c>
      <c r="B1" s="149"/>
      <c r="C1" s="149"/>
      <c r="D1" s="149"/>
    </row>
    <row r="2" spans="1:26" ht="15.6" x14ac:dyDescent="0.3">
      <c r="A2" s="133" t="s">
        <v>387</v>
      </c>
      <c r="B2" s="149"/>
      <c r="C2" s="149"/>
      <c r="D2" s="149"/>
    </row>
    <row r="3" spans="1:26" ht="18" x14ac:dyDescent="0.3">
      <c r="A3" s="133" t="s">
        <v>388</v>
      </c>
      <c r="B3" s="149"/>
      <c r="C3" s="149"/>
      <c r="D3" s="149"/>
      <c r="K3" s="66"/>
    </row>
    <row r="4" spans="1:26" ht="18" x14ac:dyDescent="0.3">
      <c r="A4" s="133" t="s">
        <v>389</v>
      </c>
      <c r="B4" s="149"/>
      <c r="C4" s="149"/>
      <c r="D4" s="149"/>
      <c r="K4" s="66"/>
    </row>
    <row r="5" spans="1:26" ht="18" x14ac:dyDescent="0.3">
      <c r="K5" s="66"/>
    </row>
    <row r="6" spans="1:26" x14ac:dyDescent="0.3">
      <c r="A6" s="45" t="s">
        <v>365</v>
      </c>
      <c r="B6" s="45" t="s">
        <v>366</v>
      </c>
      <c r="C6" s="14"/>
      <c r="D6" s="14"/>
      <c r="E6" s="14"/>
      <c r="F6" s="14"/>
      <c r="G6" s="14"/>
    </row>
    <row r="7" spans="1:26" ht="18" x14ac:dyDescent="0.35">
      <c r="A7" s="45" t="s">
        <v>362</v>
      </c>
      <c r="B7" s="14" t="s">
        <v>18</v>
      </c>
      <c r="C7" s="14" t="s">
        <v>15</v>
      </c>
      <c r="D7" s="14" t="s">
        <v>25</v>
      </c>
      <c r="E7" s="14" t="s">
        <v>38</v>
      </c>
      <c r="F7" s="14" t="s">
        <v>22</v>
      </c>
      <c r="G7" s="14" t="s">
        <v>364</v>
      </c>
      <c r="H7" s="153" t="s">
        <v>454</v>
      </c>
      <c r="I7" s="142"/>
      <c r="J7" s="142"/>
      <c r="K7" s="142"/>
      <c r="L7" s="142"/>
      <c r="M7" s="142"/>
      <c r="N7" s="142"/>
      <c r="O7" s="142"/>
    </row>
    <row r="8" spans="1:26" x14ac:dyDescent="0.3">
      <c r="A8" s="46" t="s">
        <v>30</v>
      </c>
      <c r="B8" s="61">
        <v>0.10659327639400697</v>
      </c>
      <c r="C8" s="61">
        <v>0.14428992227806067</v>
      </c>
      <c r="D8" s="61">
        <v>0.13296104488582355</v>
      </c>
      <c r="E8" s="61">
        <v>0.13817871983039101</v>
      </c>
      <c r="F8" s="61">
        <v>8.784598302789462E-2</v>
      </c>
      <c r="G8" s="61">
        <v>0.12254707352578759</v>
      </c>
    </row>
    <row r="9" spans="1:26" x14ac:dyDescent="0.3">
      <c r="A9" s="46" t="s">
        <v>14</v>
      </c>
      <c r="B9" s="61">
        <v>0.12992579625319509</v>
      </c>
      <c r="C9" s="61">
        <v>0.11270936521097125</v>
      </c>
      <c r="D9" s="61">
        <v>0.11354346102951852</v>
      </c>
      <c r="E9" s="61">
        <v>0.11576724554035424</v>
      </c>
      <c r="F9" s="61">
        <v>9.9531954591638633E-2</v>
      </c>
      <c r="G9" s="61">
        <v>0.11546428615108942</v>
      </c>
    </row>
    <row r="10" spans="1:26" ht="15.6" x14ac:dyDescent="0.3">
      <c r="A10" s="46" t="s">
        <v>21</v>
      </c>
      <c r="B10" s="61">
        <v>0.11931131158689606</v>
      </c>
      <c r="C10" s="61">
        <v>0.11999680434512273</v>
      </c>
      <c r="D10" s="61">
        <v>0.11429577583963663</v>
      </c>
      <c r="E10" s="61">
        <v>0.1077698247098226</v>
      </c>
      <c r="F10" s="61">
        <v>0.10373784206241918</v>
      </c>
      <c r="G10" s="61">
        <v>0.1135760494156214</v>
      </c>
      <c r="H10" s="136" t="s">
        <v>457</v>
      </c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7"/>
      <c r="Z10" s="137"/>
    </row>
    <row r="11" spans="1:26" ht="15.6" x14ac:dyDescent="0.3">
      <c r="A11" s="46" t="s">
        <v>24</v>
      </c>
      <c r="B11" s="61">
        <v>0.13265746075375409</v>
      </c>
      <c r="C11" s="61">
        <v>0.16660506344475504</v>
      </c>
      <c r="D11" s="61">
        <v>0.12164065514548933</v>
      </c>
      <c r="E11" s="61">
        <v>9.8301267038284595E-2</v>
      </c>
      <c r="F11" s="61">
        <v>0.146713421744952</v>
      </c>
      <c r="G11" s="148">
        <v>0.13929223385583644</v>
      </c>
      <c r="H11" s="136" t="s">
        <v>458</v>
      </c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7"/>
      <c r="Z11" s="137"/>
    </row>
    <row r="12" spans="1:26" x14ac:dyDescent="0.3">
      <c r="A12" s="46" t="s">
        <v>364</v>
      </c>
      <c r="B12" s="61">
        <v>0.12042552997462411</v>
      </c>
      <c r="C12" s="61">
        <v>0.13683820377947528</v>
      </c>
      <c r="D12" s="61">
        <v>0.12196384626120532</v>
      </c>
      <c r="E12" s="61">
        <v>0.1186125527466191</v>
      </c>
      <c r="F12" s="61">
        <v>0.11314309212807616</v>
      </c>
      <c r="G12" s="61">
        <v>0.12284132745362934</v>
      </c>
    </row>
    <row r="14" spans="1:26" ht="18" x14ac:dyDescent="0.35">
      <c r="A14" s="65"/>
    </row>
    <row r="15" spans="1:26" ht="15.6" x14ac:dyDescent="0.3">
      <c r="A15" s="149" t="s">
        <v>456</v>
      </c>
      <c r="B15" s="149"/>
      <c r="C15" s="149"/>
      <c r="D15" s="149"/>
      <c r="E15" s="149"/>
      <c r="F15" s="132"/>
    </row>
    <row r="16" spans="1:26" x14ac:dyDescent="0.3">
      <c r="C16" s="45" t="s">
        <v>362</v>
      </c>
      <c r="D16" s="14" t="s">
        <v>367</v>
      </c>
    </row>
    <row r="17" spans="3:6" x14ac:dyDescent="0.3">
      <c r="C17" s="46" t="s">
        <v>30</v>
      </c>
      <c r="D17" s="56">
        <v>1199672</v>
      </c>
    </row>
    <row r="18" spans="3:6" ht="15.6" x14ac:dyDescent="0.3">
      <c r="C18" s="67" t="s">
        <v>20</v>
      </c>
      <c r="D18" s="56">
        <v>278757</v>
      </c>
      <c r="E18" s="136" t="s">
        <v>459</v>
      </c>
      <c r="F18" s="135"/>
    </row>
    <row r="19" spans="3:6" x14ac:dyDescent="0.3">
      <c r="C19" s="67" t="s">
        <v>17</v>
      </c>
      <c r="D19" s="56">
        <v>246297</v>
      </c>
    </row>
    <row r="20" spans="3:6" x14ac:dyDescent="0.3">
      <c r="C20" s="68" t="s">
        <v>34</v>
      </c>
      <c r="D20" s="69">
        <v>394886</v>
      </c>
    </row>
    <row r="21" spans="3:6" x14ac:dyDescent="0.3">
      <c r="C21" s="67" t="s">
        <v>13</v>
      </c>
      <c r="D21" s="56">
        <v>279732</v>
      </c>
      <c r="E21" s="70" t="s">
        <v>395</v>
      </c>
    </row>
    <row r="22" spans="3:6" x14ac:dyDescent="0.3">
      <c r="C22" s="46" t="s">
        <v>14</v>
      </c>
      <c r="D22" s="56">
        <v>891508</v>
      </c>
      <c r="E22" s="71" t="s">
        <v>391</v>
      </c>
    </row>
    <row r="23" spans="3:6" x14ac:dyDescent="0.3">
      <c r="C23" s="67" t="s">
        <v>20</v>
      </c>
      <c r="D23" s="56">
        <v>218031</v>
      </c>
      <c r="E23" s="71" t="s">
        <v>392</v>
      </c>
    </row>
    <row r="24" spans="3:6" x14ac:dyDescent="0.3">
      <c r="C24" s="68" t="s">
        <v>17</v>
      </c>
      <c r="D24" s="69">
        <v>329722</v>
      </c>
      <c r="E24" s="71" t="s">
        <v>393</v>
      </c>
    </row>
    <row r="25" spans="3:6" x14ac:dyDescent="0.3">
      <c r="C25" s="67" t="s">
        <v>34</v>
      </c>
      <c r="D25" s="56">
        <v>148676</v>
      </c>
      <c r="E25" s="71" t="s">
        <v>394</v>
      </c>
    </row>
    <row r="26" spans="3:6" x14ac:dyDescent="0.3">
      <c r="C26" s="67" t="s">
        <v>13</v>
      </c>
      <c r="D26" s="56">
        <v>195079</v>
      </c>
    </row>
    <row r="27" spans="3:6" x14ac:dyDescent="0.3">
      <c r="C27" s="46" t="s">
        <v>21</v>
      </c>
      <c r="D27" s="56">
        <v>922075</v>
      </c>
    </row>
    <row r="28" spans="3:6" x14ac:dyDescent="0.3">
      <c r="C28" s="67" t="s">
        <v>20</v>
      </c>
      <c r="D28" s="56">
        <v>206053</v>
      </c>
    </row>
    <row r="29" spans="3:6" x14ac:dyDescent="0.3">
      <c r="C29" s="68" t="s">
        <v>17</v>
      </c>
      <c r="D29" s="69">
        <v>279588</v>
      </c>
    </row>
    <row r="30" spans="3:6" x14ac:dyDescent="0.3">
      <c r="C30" s="67" t="s">
        <v>34</v>
      </c>
      <c r="D30" s="56">
        <v>249305</v>
      </c>
    </row>
    <row r="31" spans="3:6" x14ac:dyDescent="0.3">
      <c r="C31" s="67" t="s">
        <v>13</v>
      </c>
      <c r="D31" s="56">
        <v>187129</v>
      </c>
    </row>
    <row r="32" spans="3:6" x14ac:dyDescent="0.3">
      <c r="C32" s="46" t="s">
        <v>24</v>
      </c>
      <c r="D32" s="56">
        <v>1054188</v>
      </c>
    </row>
    <row r="33" spans="3:4" x14ac:dyDescent="0.3">
      <c r="C33" s="67" t="s">
        <v>20</v>
      </c>
      <c r="D33" s="56">
        <v>244355</v>
      </c>
    </row>
    <row r="34" spans="3:4" x14ac:dyDescent="0.3">
      <c r="C34" s="67" t="s">
        <v>17</v>
      </c>
      <c r="D34" s="56">
        <v>278759</v>
      </c>
    </row>
    <row r="35" spans="3:4" x14ac:dyDescent="0.3">
      <c r="C35" s="67" t="s">
        <v>34</v>
      </c>
      <c r="D35" s="56">
        <v>244756</v>
      </c>
    </row>
    <row r="36" spans="3:4" x14ac:dyDescent="0.3">
      <c r="C36" s="68" t="s">
        <v>13</v>
      </c>
      <c r="D36" s="69">
        <v>286318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F773-18DF-4E97-83D6-D46558B47442}">
  <dimension ref="A5:G18"/>
  <sheetViews>
    <sheetView workbookViewId="0">
      <selection activeCell="B10" sqref="B10:B15"/>
    </sheetView>
  </sheetViews>
  <sheetFormatPr defaultRowHeight="14.4" x14ac:dyDescent="0.3"/>
  <cols>
    <col min="1" max="1" width="26" bestFit="1" customWidth="1"/>
    <col min="2" max="2" width="12.109375" bestFit="1" customWidth="1"/>
    <col min="3" max="3" width="15.33203125" bestFit="1" customWidth="1"/>
    <col min="4" max="4" width="17.6640625" bestFit="1" customWidth="1"/>
    <col min="5" max="5" width="20.77734375" bestFit="1" customWidth="1"/>
    <col min="6" max="6" width="11.5546875" bestFit="1" customWidth="1"/>
    <col min="7" max="7" width="14.77734375" bestFit="1" customWidth="1"/>
  </cols>
  <sheetData>
    <row r="5" spans="1:7" ht="15.6" x14ac:dyDescent="0.3">
      <c r="A5" s="149" t="s">
        <v>399</v>
      </c>
      <c r="B5" s="132"/>
      <c r="C5" s="132"/>
    </row>
    <row r="10" spans="1:7" x14ac:dyDescent="0.3">
      <c r="A10" s="45" t="s">
        <v>11</v>
      </c>
      <c r="B10" s="14" t="s">
        <v>373</v>
      </c>
      <c r="C10" s="14" t="s">
        <v>374</v>
      </c>
      <c r="D10" s="14" t="s">
        <v>396</v>
      </c>
      <c r="E10" s="14" t="s">
        <v>398</v>
      </c>
      <c r="F10" s="14" t="s">
        <v>367</v>
      </c>
      <c r="G10" s="14" t="s">
        <v>397</v>
      </c>
    </row>
    <row r="11" spans="1:7" x14ac:dyDescent="0.3">
      <c r="A11" s="46" t="s">
        <v>18</v>
      </c>
      <c r="B11" s="72">
        <v>114854</v>
      </c>
      <c r="C11" s="72">
        <v>1664.5507246376812</v>
      </c>
      <c r="D11" s="72">
        <v>10331022</v>
      </c>
      <c r="E11" s="72">
        <v>149724.95652173914</v>
      </c>
      <c r="F11" s="56">
        <v>957050</v>
      </c>
      <c r="G11" s="56">
        <v>13870.289855072464</v>
      </c>
    </row>
    <row r="12" spans="1:7" x14ac:dyDescent="0.3">
      <c r="A12" s="46" t="s">
        <v>15</v>
      </c>
      <c r="B12" s="72">
        <v>106775</v>
      </c>
      <c r="C12" s="72">
        <v>1547.463768115942</v>
      </c>
      <c r="D12" s="72">
        <v>9407749</v>
      </c>
      <c r="E12" s="72">
        <v>136344.18840579709</v>
      </c>
      <c r="F12" s="56">
        <v>888529</v>
      </c>
      <c r="G12" s="56">
        <v>12877.231884057972</v>
      </c>
    </row>
    <row r="13" spans="1:7" x14ac:dyDescent="0.3">
      <c r="A13" s="46" t="s">
        <v>25</v>
      </c>
      <c r="B13" s="72">
        <v>96543</v>
      </c>
      <c r="C13" s="72">
        <v>1636.3220338983051</v>
      </c>
      <c r="D13" s="72">
        <v>8901334</v>
      </c>
      <c r="E13" s="72">
        <v>150870.06779661018</v>
      </c>
      <c r="F13" s="56">
        <v>843431</v>
      </c>
      <c r="G13" s="56">
        <v>14295.440677966102</v>
      </c>
    </row>
    <row r="14" spans="1:7" x14ac:dyDescent="0.3">
      <c r="A14" s="46" t="s">
        <v>38</v>
      </c>
      <c r="B14" s="72">
        <v>74667</v>
      </c>
      <c r="C14" s="72">
        <v>1623.195652173913</v>
      </c>
      <c r="D14" s="72">
        <v>6698763</v>
      </c>
      <c r="E14" s="72">
        <v>145625.28260869565</v>
      </c>
      <c r="F14" s="56">
        <v>585970</v>
      </c>
      <c r="G14" s="56">
        <v>12738.478260869566</v>
      </c>
    </row>
    <row r="15" spans="1:7" x14ac:dyDescent="0.3">
      <c r="A15" s="46" t="s">
        <v>22</v>
      </c>
      <c r="B15" s="72">
        <v>89166</v>
      </c>
      <c r="C15" s="72">
        <v>1564.3157894736842</v>
      </c>
      <c r="D15" s="72">
        <v>9222999</v>
      </c>
      <c r="E15" s="72">
        <v>161807</v>
      </c>
      <c r="F15" s="56">
        <v>792463</v>
      </c>
      <c r="G15" s="56">
        <v>13902.859649122807</v>
      </c>
    </row>
    <row r="17" spans="1:5" ht="15.6" x14ac:dyDescent="0.3">
      <c r="A17" s="174" t="s">
        <v>479</v>
      </c>
      <c r="B17" s="175"/>
      <c r="C17" s="175"/>
      <c r="D17" s="175"/>
      <c r="E17" s="175"/>
    </row>
    <row r="18" spans="1:5" ht="15.6" x14ac:dyDescent="0.3">
      <c r="A18" s="183" t="s">
        <v>460</v>
      </c>
      <c r="B18" s="175"/>
      <c r="C18" s="175"/>
      <c r="D18" s="175"/>
      <c r="E18" s="175"/>
    </row>
  </sheetData>
  <conditionalFormatting pivot="1" sqref="B11:B15">
    <cfRule type="top10" dxfId="136" priority="7" percent="1" rank="1"/>
  </conditionalFormatting>
  <conditionalFormatting pivot="1" sqref="C11:C15">
    <cfRule type="top10" dxfId="135" priority="6" percent="1" rank="1"/>
  </conditionalFormatting>
  <conditionalFormatting pivot="1" sqref="D11:D15">
    <cfRule type="top10" dxfId="134" priority="5" percent="1" rank="1"/>
  </conditionalFormatting>
  <conditionalFormatting pivot="1" sqref="C11:C15">
    <cfRule type="top10" dxfId="133" priority="4" percent="1" rank="1"/>
  </conditionalFormatting>
  <conditionalFormatting pivot="1" sqref="E11:E15">
    <cfRule type="top10" dxfId="132" priority="3" percent="1" rank="1"/>
  </conditionalFormatting>
  <conditionalFormatting pivot="1" sqref="F11:F15">
    <cfRule type="top10" dxfId="131" priority="2" percent="1" rank="1"/>
  </conditionalFormatting>
  <conditionalFormatting pivot="1" sqref="G11:G15">
    <cfRule type="top10" dxfId="130" priority="1" percent="1" rank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DB7A-4C74-4814-8693-47BBE8C822F0}">
  <dimension ref="A2:S13"/>
  <sheetViews>
    <sheetView zoomScaleNormal="100" workbookViewId="0">
      <selection activeCell="D13" sqref="D13"/>
    </sheetView>
  </sheetViews>
  <sheetFormatPr defaultRowHeight="14.4" x14ac:dyDescent="0.3"/>
  <cols>
    <col min="1" max="1" width="26" bestFit="1" customWidth="1"/>
    <col min="2" max="3" width="10.33203125" bestFit="1" customWidth="1"/>
    <col min="4" max="5" width="18.33203125" bestFit="1" customWidth="1"/>
  </cols>
  <sheetData>
    <row r="2" spans="1:19" ht="15.6" x14ac:dyDescent="0.3">
      <c r="A2" s="149" t="s">
        <v>470</v>
      </c>
      <c r="B2" s="132"/>
      <c r="C2" s="132"/>
      <c r="D2" s="132"/>
      <c r="E2" s="132"/>
    </row>
    <row r="8" spans="1:19" x14ac:dyDescent="0.3">
      <c r="A8" s="102" t="s">
        <v>333</v>
      </c>
      <c r="B8" s="103" t="s">
        <v>334</v>
      </c>
      <c r="C8" s="103" t="s">
        <v>335</v>
      </c>
      <c r="D8" s="173" t="s">
        <v>468</v>
      </c>
      <c r="E8" s="173" t="s">
        <v>467</v>
      </c>
    </row>
    <row r="9" spans="1:19" ht="15.6" x14ac:dyDescent="0.3">
      <c r="A9" s="112" t="s">
        <v>25</v>
      </c>
      <c r="B9" s="113">
        <v>45458</v>
      </c>
      <c r="C9" s="113">
        <v>45488</v>
      </c>
      <c r="D9" s="33" cm="1">
        <f t="array" ref="D9:D13">AVERAGEIFS(Cleaned_Posts_Dataset!L:L,Cleaned_Posts_Dataset!C:C,"&gt;=" &amp;'Task 5.2'!$B$9:$B$13,Cleaned_Posts_Dataset!C:C, "&lt;=" &amp;'Task 5.2'!$C$9:$C$13)</f>
        <v>0.11792999956999481</v>
      </c>
      <c r="E9" s="33" cm="1">
        <f t="array" ref="E9:E13">AVERAGEIFS(Cleaned_Posts_Dataset!L:L,Cleaned_Posts_Dataset!C:C,"&gt;=" &amp;('Task 5.2'!$B$9:$B$13-180),Cleaned_Posts_Dataset!C:C, "&lt;" &amp;'Task 5.2'!$B$9:$B$13)</f>
        <v>0.15408512575444519</v>
      </c>
      <c r="G9" s="136" t="s">
        <v>472</v>
      </c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7"/>
    </row>
    <row r="10" spans="1:19" ht="15.6" x14ac:dyDescent="0.3">
      <c r="A10" s="114" t="s">
        <v>38</v>
      </c>
      <c r="B10" s="115">
        <v>45566</v>
      </c>
      <c r="C10" s="115">
        <v>45596</v>
      </c>
      <c r="D10" s="33">
        <v>0.11179430203668311</v>
      </c>
      <c r="E10" s="33">
        <v>0.13125333421737556</v>
      </c>
      <c r="G10" s="136" t="s">
        <v>471</v>
      </c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7"/>
    </row>
    <row r="11" spans="1:19" ht="15.6" x14ac:dyDescent="0.3">
      <c r="A11" s="112" t="s">
        <v>15</v>
      </c>
      <c r="B11" s="113">
        <v>45651</v>
      </c>
      <c r="C11" s="113">
        <v>45667</v>
      </c>
      <c r="D11" s="33">
        <v>7.0774062132475127E-2</v>
      </c>
      <c r="E11" s="33">
        <v>0.12463459880611774</v>
      </c>
      <c r="G11" s="136" t="s">
        <v>473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7"/>
    </row>
    <row r="12" spans="1:19" x14ac:dyDescent="0.3">
      <c r="A12" s="114" t="s">
        <v>22</v>
      </c>
      <c r="B12" s="115">
        <v>45717</v>
      </c>
      <c r="C12" s="115">
        <v>45747</v>
      </c>
      <c r="D12" s="33">
        <v>0.10860491444808711</v>
      </c>
      <c r="E12" s="33">
        <v>0.12490666332785999</v>
      </c>
    </row>
    <row r="13" spans="1:19" x14ac:dyDescent="0.3">
      <c r="A13" s="116" t="s">
        <v>18</v>
      </c>
      <c r="B13" s="117">
        <v>45901</v>
      </c>
      <c r="C13" s="117">
        <v>45930</v>
      </c>
      <c r="D13" s="33">
        <v>0.12625459114869464</v>
      </c>
      <c r="E13" s="33">
        <v>0.10017369739541607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E06F-5591-487B-B22B-5FD8C42696D9}">
  <dimension ref="A1:H35"/>
  <sheetViews>
    <sheetView topLeftCell="A21" workbookViewId="0">
      <selection activeCell="A28" sqref="A28"/>
    </sheetView>
  </sheetViews>
  <sheetFormatPr defaultRowHeight="14.4" x14ac:dyDescent="0.3"/>
  <cols>
    <col min="1" max="1" width="26" bestFit="1" customWidth="1"/>
    <col min="2" max="2" width="29.44140625" customWidth="1"/>
    <col min="3" max="3" width="19.44140625" bestFit="1" customWidth="1"/>
  </cols>
  <sheetData>
    <row r="1" spans="1:8" ht="15.6" x14ac:dyDescent="0.3">
      <c r="A1" s="149" t="s">
        <v>474</v>
      </c>
      <c r="B1" s="149"/>
      <c r="C1" s="149"/>
      <c r="D1" s="149"/>
      <c r="E1" s="149"/>
      <c r="F1" s="149"/>
    </row>
    <row r="2" spans="1:8" ht="15.6" x14ac:dyDescent="0.3">
      <c r="A2" s="149" t="s">
        <v>475</v>
      </c>
      <c r="B2" s="149"/>
      <c r="C2" s="149"/>
      <c r="D2" s="149"/>
      <c r="E2" s="149"/>
      <c r="F2" s="149"/>
    </row>
    <row r="3" spans="1:8" ht="15.6" x14ac:dyDescent="0.3">
      <c r="A3" s="149" t="s">
        <v>476</v>
      </c>
      <c r="B3" s="149"/>
      <c r="C3" s="149"/>
      <c r="D3" s="149"/>
      <c r="E3" s="149"/>
      <c r="F3" s="149"/>
    </row>
    <row r="6" spans="1:8" x14ac:dyDescent="0.3">
      <c r="A6" s="37" t="s">
        <v>362</v>
      </c>
      <c r="B6" t="s">
        <v>446</v>
      </c>
      <c r="C6" t="s">
        <v>447</v>
      </c>
    </row>
    <row r="7" spans="1:8" x14ac:dyDescent="0.3">
      <c r="A7" s="38" t="s">
        <v>15</v>
      </c>
      <c r="B7" s="39">
        <v>8.9415431473504101E-2</v>
      </c>
      <c r="C7">
        <v>40359.125</v>
      </c>
    </row>
    <row r="8" spans="1:8" x14ac:dyDescent="0.3">
      <c r="A8" s="38" t="s">
        <v>25</v>
      </c>
      <c r="B8" s="39">
        <v>0.26316567076535258</v>
      </c>
      <c r="C8">
        <v>31353.8</v>
      </c>
    </row>
    <row r="9" spans="1:8" x14ac:dyDescent="0.3">
      <c r="A9" s="38" t="s">
        <v>38</v>
      </c>
      <c r="B9" s="39">
        <v>0.12694932310897486</v>
      </c>
      <c r="C9">
        <v>36221.5</v>
      </c>
    </row>
    <row r="10" spans="1:8" x14ac:dyDescent="0.3">
      <c r="A10" s="38" t="s">
        <v>22</v>
      </c>
      <c r="B10" s="39">
        <v>6.2842734499457389E-2</v>
      </c>
      <c r="C10">
        <v>35630.1</v>
      </c>
    </row>
    <row r="11" spans="1:8" x14ac:dyDescent="0.3">
      <c r="A11" s="38" t="s">
        <v>364</v>
      </c>
      <c r="B11" s="39">
        <v>0.14479188635668472</v>
      </c>
      <c r="C11">
        <v>35032.734375</v>
      </c>
    </row>
    <row r="13" spans="1:8" ht="15.6" x14ac:dyDescent="0.3">
      <c r="B13" s="135"/>
      <c r="C13" s="135"/>
      <c r="D13" s="135"/>
      <c r="E13" s="135"/>
      <c r="F13" s="135"/>
      <c r="G13" s="135"/>
    </row>
    <row r="14" spans="1:8" x14ac:dyDescent="0.3">
      <c r="A14" s="176" t="s">
        <v>485</v>
      </c>
      <c r="B14" s="177"/>
      <c r="C14" s="177"/>
      <c r="D14" s="177"/>
      <c r="E14" s="177"/>
      <c r="F14" s="177"/>
      <c r="G14" s="177"/>
      <c r="H14" s="177"/>
    </row>
    <row r="15" spans="1:8" x14ac:dyDescent="0.3">
      <c r="A15" s="177" t="s">
        <v>480</v>
      </c>
      <c r="B15" s="177"/>
      <c r="C15" s="177"/>
      <c r="D15" s="177"/>
      <c r="E15" s="177"/>
      <c r="F15" s="177"/>
      <c r="G15" s="177"/>
      <c r="H15" s="177"/>
    </row>
    <row r="24" spans="1:2" ht="15.6" x14ac:dyDescent="0.3">
      <c r="A24" s="149" t="s">
        <v>469</v>
      </c>
      <c r="B24" s="132"/>
    </row>
    <row r="26" spans="1:2" x14ac:dyDescent="0.3">
      <c r="A26" s="37" t="s">
        <v>362</v>
      </c>
      <c r="B26" t="s">
        <v>382</v>
      </c>
    </row>
    <row r="27" spans="1:2" x14ac:dyDescent="0.3">
      <c r="A27" s="38" t="s">
        <v>15</v>
      </c>
      <c r="B27" s="39">
        <v>8.1853409229682376E-3</v>
      </c>
    </row>
    <row r="28" spans="1:2" x14ac:dyDescent="0.3">
      <c r="A28" s="38" t="s">
        <v>25</v>
      </c>
      <c r="B28" s="139">
        <v>2.6400202996414567E-2</v>
      </c>
    </row>
    <row r="29" spans="1:2" x14ac:dyDescent="0.3">
      <c r="A29" s="38" t="s">
        <v>38</v>
      </c>
      <c r="B29" s="39">
        <v>1.1432169028971668E-2</v>
      </c>
    </row>
    <row r="30" spans="1:2" x14ac:dyDescent="0.3">
      <c r="A30" s="38" t="s">
        <v>22</v>
      </c>
      <c r="B30" s="39">
        <v>5.2818011128642761E-3</v>
      </c>
    </row>
    <row r="31" spans="1:2" x14ac:dyDescent="0.3">
      <c r="A31" s="38" t="s">
        <v>364</v>
      </c>
      <c r="B31" s="39">
        <v>1.3781836156763587E-2</v>
      </c>
    </row>
    <row r="34" spans="1:3" ht="15.6" x14ac:dyDescent="0.3">
      <c r="A34" s="136" t="s">
        <v>478</v>
      </c>
      <c r="B34" s="136"/>
      <c r="C34" s="136"/>
    </row>
    <row r="35" spans="1:3" ht="15.6" x14ac:dyDescent="0.3">
      <c r="A35" s="136" t="s">
        <v>477</v>
      </c>
      <c r="B35" s="136"/>
      <c r="C35" s="136"/>
    </row>
  </sheetData>
  <conditionalFormatting pivot="1" sqref="B7:B11">
    <cfRule type="top10" dxfId="124" priority="1" percent="1" rank="10"/>
  </conditionalFormatting>
  <pageMargins left="0.7" right="0.7" top="0.75" bottom="0.75" header="0.3" footer="0.3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D0C2-FB28-43DA-9811-097216E9C12D}">
  <dimension ref="A1:N57"/>
  <sheetViews>
    <sheetView workbookViewId="0">
      <selection activeCell="H10" sqref="H10"/>
    </sheetView>
  </sheetViews>
  <sheetFormatPr defaultRowHeight="14.4" x14ac:dyDescent="0.3"/>
  <cols>
    <col min="1" max="1" width="20.33203125" bestFit="1" customWidth="1"/>
    <col min="2" max="2" width="15.5546875" bestFit="1" customWidth="1"/>
    <col min="3" max="3" width="8.21875" bestFit="1" customWidth="1"/>
    <col min="4" max="4" width="6.88671875" bestFit="1" customWidth="1"/>
    <col min="5" max="5" width="8.44140625" bestFit="1" customWidth="1"/>
    <col min="6" max="6" width="10.77734375" bestFit="1" customWidth="1"/>
    <col min="7" max="7" width="31.21875" customWidth="1"/>
    <col min="8" max="8" width="20.33203125" bestFit="1" customWidth="1"/>
    <col min="9" max="9" width="15.5546875" bestFit="1" customWidth="1"/>
    <col min="10" max="10" width="8.21875" bestFit="1" customWidth="1"/>
    <col min="11" max="11" width="6.88671875" bestFit="1" customWidth="1"/>
    <col min="12" max="12" width="8.44140625" bestFit="1" customWidth="1"/>
    <col min="13" max="13" width="10.77734375" bestFit="1" customWidth="1"/>
    <col min="14" max="14" width="15.5546875" bestFit="1" customWidth="1"/>
    <col min="16" max="16" width="6.88671875" bestFit="1" customWidth="1"/>
    <col min="18" max="18" width="10.77734375" bestFit="1" customWidth="1"/>
  </cols>
  <sheetData>
    <row r="1" spans="1:14" ht="18" x14ac:dyDescent="0.35">
      <c r="A1" s="151" t="s">
        <v>484</v>
      </c>
      <c r="B1" s="132"/>
      <c r="C1" s="132"/>
      <c r="D1" s="132"/>
      <c r="E1" s="132"/>
      <c r="F1" s="132"/>
    </row>
    <row r="2" spans="1:14" ht="15.6" x14ac:dyDescent="0.3">
      <c r="A2" s="154" t="s">
        <v>465</v>
      </c>
      <c r="B2" s="137"/>
      <c r="C2" s="137"/>
      <c r="D2" s="137"/>
      <c r="E2" s="137"/>
      <c r="F2" s="137"/>
      <c r="G2" s="137"/>
    </row>
    <row r="3" spans="1:14" ht="18" x14ac:dyDescent="0.35">
      <c r="H3" s="65" t="s">
        <v>402</v>
      </c>
    </row>
    <row r="4" spans="1:14" ht="15.6" x14ac:dyDescent="0.3">
      <c r="H4" s="136" t="s">
        <v>462</v>
      </c>
      <c r="I4" s="137"/>
      <c r="J4" s="137"/>
      <c r="K4" s="137"/>
      <c r="L4" s="137"/>
      <c r="M4" s="137"/>
      <c r="N4" s="137"/>
    </row>
    <row r="6" spans="1:14" x14ac:dyDescent="0.3">
      <c r="H6" s="45" t="s">
        <v>401</v>
      </c>
      <c r="I6" s="45" t="s">
        <v>366</v>
      </c>
      <c r="J6" s="14"/>
      <c r="K6" s="14"/>
      <c r="L6" s="14"/>
      <c r="M6" s="14"/>
    </row>
    <row r="7" spans="1:14" x14ac:dyDescent="0.3">
      <c r="H7" s="45" t="s">
        <v>362</v>
      </c>
      <c r="I7" s="14" t="s">
        <v>20</v>
      </c>
      <c r="J7" s="14" t="s">
        <v>17</v>
      </c>
      <c r="K7" s="14" t="s">
        <v>34</v>
      </c>
      <c r="L7" s="14" t="s">
        <v>13</v>
      </c>
      <c r="M7" s="14" t="s">
        <v>364</v>
      </c>
    </row>
    <row r="8" spans="1:14" x14ac:dyDescent="0.3">
      <c r="H8" s="97">
        <v>45446</v>
      </c>
      <c r="I8" s="188">
        <v>4138</v>
      </c>
      <c r="J8" s="188"/>
      <c r="K8" s="188">
        <v>8693</v>
      </c>
      <c r="L8" s="188">
        <v>18106</v>
      </c>
      <c r="M8" s="188">
        <v>30937</v>
      </c>
    </row>
    <row r="9" spans="1:14" x14ac:dyDescent="0.3">
      <c r="H9" s="97">
        <v>45453</v>
      </c>
      <c r="I9" s="188">
        <v>7721</v>
      </c>
      <c r="J9" s="188"/>
      <c r="K9" s="188">
        <v>9203</v>
      </c>
      <c r="L9" s="188">
        <v>8002</v>
      </c>
      <c r="M9" s="188">
        <v>24926</v>
      </c>
    </row>
    <row r="10" spans="1:14" x14ac:dyDescent="0.3">
      <c r="H10" s="97">
        <v>45460</v>
      </c>
      <c r="I10" s="188">
        <v>15029</v>
      </c>
      <c r="J10" s="188">
        <v>7097</v>
      </c>
      <c r="K10" s="188">
        <v>6907</v>
      </c>
      <c r="L10" s="188"/>
      <c r="M10" s="188">
        <v>29033</v>
      </c>
    </row>
    <row r="11" spans="1:14" x14ac:dyDescent="0.3">
      <c r="H11" s="97">
        <v>45467</v>
      </c>
      <c r="I11" s="188">
        <v>5259</v>
      </c>
      <c r="J11" s="188"/>
      <c r="K11" s="188">
        <v>16885</v>
      </c>
      <c r="L11" s="188">
        <v>9286</v>
      </c>
      <c r="M11" s="188">
        <v>31430</v>
      </c>
    </row>
    <row r="12" spans="1:14" x14ac:dyDescent="0.3">
      <c r="H12" s="97">
        <v>45474</v>
      </c>
      <c r="I12" s="188">
        <v>6490</v>
      </c>
      <c r="J12" s="188">
        <v>5917</v>
      </c>
      <c r="K12" s="188">
        <v>9429</v>
      </c>
      <c r="L12" s="188"/>
      <c r="M12" s="188">
        <v>21836</v>
      </c>
    </row>
    <row r="13" spans="1:14" x14ac:dyDescent="0.3">
      <c r="H13" s="97">
        <v>45481</v>
      </c>
      <c r="I13" s="188"/>
      <c r="J13" s="188">
        <v>12349</v>
      </c>
      <c r="K13" s="188">
        <v>8045</v>
      </c>
      <c r="L13" s="188"/>
      <c r="M13" s="188">
        <v>20394</v>
      </c>
    </row>
    <row r="14" spans="1:14" x14ac:dyDescent="0.3">
      <c r="H14" s="97">
        <v>45488</v>
      </c>
      <c r="I14" s="188">
        <v>5500</v>
      </c>
      <c r="J14" s="188"/>
      <c r="K14" s="188">
        <v>8137</v>
      </c>
      <c r="L14" s="188">
        <v>1963</v>
      </c>
      <c r="M14" s="188">
        <v>15600</v>
      </c>
    </row>
    <row r="15" spans="1:14" x14ac:dyDescent="0.3">
      <c r="H15" s="97">
        <v>45495</v>
      </c>
      <c r="I15" s="188"/>
      <c r="J15" s="188">
        <v>17307</v>
      </c>
      <c r="K15" s="188">
        <v>8179</v>
      </c>
      <c r="L15" s="188">
        <v>9734</v>
      </c>
      <c r="M15" s="188">
        <v>35220</v>
      </c>
    </row>
    <row r="16" spans="1:14" x14ac:dyDescent="0.3">
      <c r="H16" s="97">
        <v>45502</v>
      </c>
      <c r="I16" s="188"/>
      <c r="J16" s="188">
        <v>8622</v>
      </c>
      <c r="K16" s="188">
        <v>6947</v>
      </c>
      <c r="L16" s="188">
        <v>4036</v>
      </c>
      <c r="M16" s="188">
        <v>19605</v>
      </c>
    </row>
    <row r="17" spans="8:13" x14ac:dyDescent="0.3">
      <c r="H17" s="97">
        <v>45509</v>
      </c>
      <c r="I17" s="188">
        <v>3494</v>
      </c>
      <c r="J17" s="188">
        <v>5349</v>
      </c>
      <c r="K17" s="188">
        <v>3719</v>
      </c>
      <c r="L17" s="188">
        <v>2884</v>
      </c>
      <c r="M17" s="188">
        <v>15446</v>
      </c>
    </row>
    <row r="18" spans="8:13" x14ac:dyDescent="0.3">
      <c r="H18" s="97">
        <v>45516</v>
      </c>
      <c r="I18" s="188">
        <v>7610</v>
      </c>
      <c r="J18" s="188"/>
      <c r="K18" s="188">
        <v>14333</v>
      </c>
      <c r="L18" s="188">
        <v>7430</v>
      </c>
      <c r="M18" s="188">
        <v>29373</v>
      </c>
    </row>
    <row r="19" spans="8:13" x14ac:dyDescent="0.3">
      <c r="H19" s="97">
        <v>45523</v>
      </c>
      <c r="I19" s="188">
        <v>15013</v>
      </c>
      <c r="J19" s="188"/>
      <c r="K19" s="188"/>
      <c r="L19" s="188">
        <v>10587</v>
      </c>
      <c r="M19" s="188">
        <v>25600</v>
      </c>
    </row>
    <row r="20" spans="8:13" x14ac:dyDescent="0.3">
      <c r="H20" s="97">
        <v>45530</v>
      </c>
      <c r="I20" s="188">
        <v>9648</v>
      </c>
      <c r="J20" s="188">
        <v>1689</v>
      </c>
      <c r="K20" s="188">
        <v>6175</v>
      </c>
      <c r="L20" s="188">
        <v>6078</v>
      </c>
      <c r="M20" s="188">
        <v>23590</v>
      </c>
    </row>
    <row r="21" spans="8:13" x14ac:dyDescent="0.3">
      <c r="H21" s="97">
        <v>45537</v>
      </c>
      <c r="I21" s="188">
        <v>8627</v>
      </c>
      <c r="J21" s="188">
        <v>9591</v>
      </c>
      <c r="K21" s="188">
        <v>7406</v>
      </c>
      <c r="L21" s="188"/>
      <c r="M21" s="188">
        <v>25624</v>
      </c>
    </row>
    <row r="22" spans="8:13" x14ac:dyDescent="0.3">
      <c r="H22" s="97">
        <v>45544</v>
      </c>
      <c r="I22" s="188">
        <v>7907</v>
      </c>
      <c r="J22" s="188">
        <v>6671</v>
      </c>
      <c r="K22" s="188"/>
      <c r="L22" s="188">
        <v>12438</v>
      </c>
      <c r="M22" s="188">
        <v>27016</v>
      </c>
    </row>
    <row r="23" spans="8:13" x14ac:dyDescent="0.3">
      <c r="H23" s="97">
        <v>45551</v>
      </c>
      <c r="I23" s="188"/>
      <c r="J23" s="188">
        <v>2382</v>
      </c>
      <c r="K23" s="188">
        <v>4292</v>
      </c>
      <c r="L23" s="188">
        <v>10331</v>
      </c>
      <c r="M23" s="188">
        <v>17005</v>
      </c>
    </row>
    <row r="24" spans="8:13" x14ac:dyDescent="0.3">
      <c r="H24" s="97">
        <v>45558</v>
      </c>
      <c r="I24" s="188">
        <v>14578</v>
      </c>
      <c r="J24" s="188"/>
      <c r="K24" s="188">
        <v>5517</v>
      </c>
      <c r="L24" s="188"/>
      <c r="M24" s="188">
        <v>20095</v>
      </c>
    </row>
    <row r="25" spans="8:13" x14ac:dyDescent="0.3">
      <c r="H25" s="97">
        <v>45565</v>
      </c>
      <c r="I25" s="188">
        <v>10637</v>
      </c>
      <c r="J25" s="188"/>
      <c r="K25" s="188">
        <v>9737</v>
      </c>
      <c r="L25" s="188"/>
      <c r="M25" s="188">
        <v>20374</v>
      </c>
    </row>
    <row r="26" spans="8:13" x14ac:dyDescent="0.3">
      <c r="H26" s="97">
        <v>45572</v>
      </c>
      <c r="I26" s="188">
        <v>5481</v>
      </c>
      <c r="J26" s="188">
        <v>2549</v>
      </c>
      <c r="K26" s="188"/>
      <c r="L26" s="188">
        <v>11856</v>
      </c>
      <c r="M26" s="188">
        <v>19886</v>
      </c>
    </row>
    <row r="27" spans="8:13" x14ac:dyDescent="0.3">
      <c r="H27" s="97">
        <v>45579</v>
      </c>
      <c r="I27" s="188"/>
      <c r="J27" s="188"/>
      <c r="K27" s="188">
        <v>18028</v>
      </c>
      <c r="L27" s="188">
        <v>7548</v>
      </c>
      <c r="M27" s="188">
        <v>25576</v>
      </c>
    </row>
    <row r="28" spans="8:13" x14ac:dyDescent="0.3">
      <c r="H28" s="97">
        <v>45586</v>
      </c>
      <c r="I28" s="188">
        <v>26389</v>
      </c>
      <c r="J28" s="188"/>
      <c r="K28" s="188"/>
      <c r="L28" s="188">
        <v>7793</v>
      </c>
      <c r="M28" s="188">
        <v>34182</v>
      </c>
    </row>
    <row r="29" spans="8:13" x14ac:dyDescent="0.3">
      <c r="H29" s="97">
        <v>45593</v>
      </c>
      <c r="I29" s="188"/>
      <c r="J29" s="188">
        <v>16789</v>
      </c>
      <c r="K29" s="188"/>
      <c r="L29" s="188">
        <v>13549</v>
      </c>
      <c r="M29" s="188">
        <v>30338</v>
      </c>
    </row>
    <row r="30" spans="8:13" x14ac:dyDescent="0.3">
      <c r="H30" s="97">
        <v>45600</v>
      </c>
      <c r="I30" s="188"/>
      <c r="J30" s="188">
        <v>5268</v>
      </c>
      <c r="K30" s="188">
        <v>10051</v>
      </c>
      <c r="L30" s="188">
        <v>3385</v>
      </c>
      <c r="M30" s="188">
        <v>18704</v>
      </c>
    </row>
    <row r="31" spans="8:13" x14ac:dyDescent="0.3">
      <c r="H31" s="97">
        <v>45607</v>
      </c>
      <c r="I31" s="188"/>
      <c r="J31" s="188">
        <v>5592</v>
      </c>
      <c r="K31" s="188">
        <v>10819</v>
      </c>
      <c r="L31" s="188">
        <v>5795</v>
      </c>
      <c r="M31" s="188">
        <v>22206</v>
      </c>
    </row>
    <row r="32" spans="8:13" x14ac:dyDescent="0.3">
      <c r="H32" s="97">
        <v>45614</v>
      </c>
      <c r="I32" s="188">
        <v>5798</v>
      </c>
      <c r="J32" s="188">
        <v>10242</v>
      </c>
      <c r="K32" s="188">
        <v>7036</v>
      </c>
      <c r="L32" s="188"/>
      <c r="M32" s="188">
        <v>23076</v>
      </c>
    </row>
    <row r="33" spans="8:13" x14ac:dyDescent="0.3">
      <c r="H33" s="97">
        <v>45621</v>
      </c>
      <c r="I33" s="188">
        <v>15788</v>
      </c>
      <c r="J33" s="188">
        <v>9737</v>
      </c>
      <c r="K33" s="188"/>
      <c r="L33" s="188">
        <v>5719</v>
      </c>
      <c r="M33" s="188">
        <v>31244</v>
      </c>
    </row>
    <row r="34" spans="8:13" x14ac:dyDescent="0.3">
      <c r="H34" s="97">
        <v>45628</v>
      </c>
      <c r="I34" s="188">
        <v>9987</v>
      </c>
      <c r="J34" s="188">
        <v>5839</v>
      </c>
      <c r="K34" s="188"/>
      <c r="L34" s="188">
        <v>4493</v>
      </c>
      <c r="M34" s="188">
        <v>20319</v>
      </c>
    </row>
    <row r="35" spans="8:13" x14ac:dyDescent="0.3">
      <c r="H35" s="97">
        <v>45635</v>
      </c>
      <c r="I35" s="188">
        <v>3672</v>
      </c>
      <c r="J35" s="188">
        <v>1016</v>
      </c>
      <c r="K35" s="188">
        <v>7164</v>
      </c>
      <c r="L35" s="188">
        <v>5200</v>
      </c>
      <c r="M35" s="188">
        <v>17052</v>
      </c>
    </row>
    <row r="36" spans="8:13" x14ac:dyDescent="0.3">
      <c r="H36" s="97">
        <v>45642</v>
      </c>
      <c r="I36" s="188">
        <v>5583</v>
      </c>
      <c r="J36" s="188">
        <v>9616</v>
      </c>
      <c r="K36" s="188">
        <v>7272</v>
      </c>
      <c r="L36" s="188"/>
      <c r="M36" s="188">
        <v>22471</v>
      </c>
    </row>
    <row r="37" spans="8:13" x14ac:dyDescent="0.3">
      <c r="H37" s="97">
        <v>45649</v>
      </c>
      <c r="I37" s="188">
        <v>4631</v>
      </c>
      <c r="J37" s="188">
        <v>8743</v>
      </c>
      <c r="K37" s="188"/>
      <c r="L37" s="188">
        <v>8177</v>
      </c>
      <c r="M37" s="188">
        <v>21551</v>
      </c>
    </row>
    <row r="38" spans="8:13" x14ac:dyDescent="0.3">
      <c r="H38" s="97">
        <v>45656</v>
      </c>
      <c r="I38" s="188">
        <v>4897</v>
      </c>
      <c r="J38" s="188">
        <v>18556</v>
      </c>
      <c r="K38" s="188">
        <v>3279</v>
      </c>
      <c r="L38" s="188"/>
      <c r="M38" s="188">
        <v>26732</v>
      </c>
    </row>
    <row r="39" spans="8:13" x14ac:dyDescent="0.3">
      <c r="H39" s="97">
        <v>45663</v>
      </c>
      <c r="I39" s="188"/>
      <c r="J39" s="188">
        <v>9980</v>
      </c>
      <c r="K39" s="188">
        <v>10226</v>
      </c>
      <c r="L39" s="188">
        <v>9906</v>
      </c>
      <c r="M39" s="188">
        <v>30112</v>
      </c>
    </row>
    <row r="40" spans="8:13" x14ac:dyDescent="0.3">
      <c r="H40" s="97">
        <v>45670</v>
      </c>
      <c r="I40" s="188">
        <v>3247</v>
      </c>
      <c r="J40" s="188">
        <v>7869</v>
      </c>
      <c r="K40" s="188">
        <v>8088</v>
      </c>
      <c r="L40" s="188">
        <v>1078</v>
      </c>
      <c r="M40" s="188">
        <v>20282</v>
      </c>
    </row>
    <row r="41" spans="8:13" x14ac:dyDescent="0.3">
      <c r="H41" s="97">
        <v>45677</v>
      </c>
      <c r="I41" s="188"/>
      <c r="J41" s="188"/>
      <c r="K41" s="188">
        <v>22105</v>
      </c>
      <c r="L41" s="188">
        <v>8340</v>
      </c>
      <c r="M41" s="188">
        <v>30445</v>
      </c>
    </row>
    <row r="42" spans="8:13" x14ac:dyDescent="0.3">
      <c r="H42" s="97">
        <v>45684</v>
      </c>
      <c r="I42" s="188">
        <v>4271</v>
      </c>
      <c r="J42" s="188">
        <v>8083</v>
      </c>
      <c r="K42" s="188">
        <v>13170</v>
      </c>
      <c r="L42" s="188"/>
      <c r="M42" s="188">
        <v>25524</v>
      </c>
    </row>
    <row r="43" spans="8:13" x14ac:dyDescent="0.3">
      <c r="H43" s="97">
        <v>45691</v>
      </c>
      <c r="I43" s="188"/>
      <c r="J43" s="188"/>
      <c r="K43" s="188">
        <v>17438</v>
      </c>
      <c r="L43" s="188">
        <v>14055</v>
      </c>
      <c r="M43" s="188">
        <v>31493</v>
      </c>
    </row>
    <row r="44" spans="8:13" x14ac:dyDescent="0.3">
      <c r="H44" s="97">
        <v>45698</v>
      </c>
      <c r="I44" s="188"/>
      <c r="J44" s="188">
        <v>13799</v>
      </c>
      <c r="K44" s="188">
        <v>1147</v>
      </c>
      <c r="L44" s="188"/>
      <c r="M44" s="188">
        <v>14946</v>
      </c>
    </row>
    <row r="45" spans="8:13" x14ac:dyDescent="0.3">
      <c r="H45" s="97">
        <v>45705</v>
      </c>
      <c r="I45" s="188">
        <v>12840</v>
      </c>
      <c r="J45" s="188">
        <v>5531</v>
      </c>
      <c r="K45" s="188">
        <v>1365</v>
      </c>
      <c r="L45" s="188"/>
      <c r="M45" s="188">
        <v>19736</v>
      </c>
    </row>
    <row r="46" spans="8:13" x14ac:dyDescent="0.3">
      <c r="H46" s="97">
        <v>45712</v>
      </c>
      <c r="I46" s="188">
        <v>16193</v>
      </c>
      <c r="J46" s="188"/>
      <c r="K46" s="188"/>
      <c r="L46" s="188">
        <v>17457</v>
      </c>
      <c r="M46" s="188">
        <v>33650</v>
      </c>
    </row>
    <row r="47" spans="8:13" x14ac:dyDescent="0.3">
      <c r="H47" s="97">
        <v>45719</v>
      </c>
      <c r="I47" s="188"/>
      <c r="J47" s="188">
        <v>8504</v>
      </c>
      <c r="K47" s="188">
        <v>7085</v>
      </c>
      <c r="L47" s="188">
        <v>7511</v>
      </c>
      <c r="M47" s="188">
        <v>23100</v>
      </c>
    </row>
    <row r="48" spans="8:13" x14ac:dyDescent="0.3">
      <c r="H48" s="97">
        <v>45726</v>
      </c>
      <c r="I48" s="188">
        <v>3376</v>
      </c>
      <c r="J48" s="188">
        <v>2827</v>
      </c>
      <c r="K48" s="188">
        <v>9551</v>
      </c>
      <c r="L48" s="188">
        <v>4009</v>
      </c>
      <c r="M48" s="188">
        <v>19763</v>
      </c>
    </row>
    <row r="49" spans="8:13" x14ac:dyDescent="0.3">
      <c r="H49" s="97">
        <v>45733</v>
      </c>
      <c r="I49" s="188">
        <v>9569</v>
      </c>
      <c r="J49" s="188">
        <v>21174</v>
      </c>
      <c r="K49" s="188"/>
      <c r="L49" s="188"/>
      <c r="M49" s="188">
        <v>30743</v>
      </c>
    </row>
    <row r="50" spans="8:13" x14ac:dyDescent="0.3">
      <c r="H50" s="97">
        <v>45740</v>
      </c>
      <c r="I50" s="188"/>
      <c r="J50" s="188">
        <v>22600</v>
      </c>
      <c r="K50" s="188"/>
      <c r="L50" s="188">
        <v>4747</v>
      </c>
      <c r="M50" s="188">
        <v>27347</v>
      </c>
    </row>
    <row r="51" spans="8:13" x14ac:dyDescent="0.3">
      <c r="H51" s="97">
        <v>45747</v>
      </c>
      <c r="I51" s="188">
        <v>6607</v>
      </c>
      <c r="J51" s="188">
        <v>1780</v>
      </c>
      <c r="K51" s="188">
        <v>6978</v>
      </c>
      <c r="L51" s="188">
        <v>1769</v>
      </c>
      <c r="M51" s="188">
        <v>17134</v>
      </c>
    </row>
    <row r="52" spans="8:13" x14ac:dyDescent="0.3">
      <c r="H52" s="97">
        <v>45754</v>
      </c>
      <c r="I52" s="188">
        <v>1521</v>
      </c>
      <c r="J52" s="188">
        <v>4983</v>
      </c>
      <c r="K52" s="188">
        <v>9714</v>
      </c>
      <c r="L52" s="188">
        <v>7303</v>
      </c>
      <c r="M52" s="188">
        <v>23521</v>
      </c>
    </row>
    <row r="53" spans="8:13" x14ac:dyDescent="0.3">
      <c r="H53" s="97">
        <v>45761</v>
      </c>
      <c r="I53" s="188"/>
      <c r="J53" s="188">
        <v>27882</v>
      </c>
      <c r="K53" s="188"/>
      <c r="L53" s="188"/>
      <c r="M53" s="188">
        <v>27882</v>
      </c>
    </row>
    <row r="54" spans="8:13" x14ac:dyDescent="0.3">
      <c r="H54" s="97">
        <v>45768</v>
      </c>
      <c r="I54" s="188">
        <v>16669</v>
      </c>
      <c r="J54" s="188"/>
      <c r="K54" s="188">
        <v>8128</v>
      </c>
      <c r="L54" s="188"/>
      <c r="M54" s="188">
        <v>24797</v>
      </c>
    </row>
    <row r="55" spans="8:13" x14ac:dyDescent="0.3">
      <c r="H55" s="97">
        <v>45775</v>
      </c>
      <c r="I55" s="188"/>
      <c r="J55" s="188">
        <v>1685</v>
      </c>
      <c r="K55" s="188">
        <v>17532</v>
      </c>
      <c r="L55" s="188"/>
      <c r="M55" s="188">
        <v>19217</v>
      </c>
    </row>
    <row r="56" spans="8:13" x14ac:dyDescent="0.3">
      <c r="H56" s="97">
        <v>45782</v>
      </c>
      <c r="I56" s="188">
        <v>8697</v>
      </c>
      <c r="J56" s="188">
        <v>3294</v>
      </c>
      <c r="K56" s="188"/>
      <c r="L56" s="188">
        <v>5875</v>
      </c>
      <c r="M56" s="188">
        <v>17866</v>
      </c>
    </row>
    <row r="57" spans="8:13" x14ac:dyDescent="0.3">
      <c r="H57" s="189">
        <v>45789</v>
      </c>
      <c r="I57" s="188">
        <v>3196</v>
      </c>
      <c r="J57" s="188">
        <v>9466</v>
      </c>
      <c r="K57" s="188">
        <v>8527</v>
      </c>
      <c r="L57" s="188"/>
      <c r="M57" s="188">
        <v>21189</v>
      </c>
    </row>
  </sheetData>
  <conditionalFormatting pivot="1" sqref="M8:M57">
    <cfRule type="top10" dxfId="122" priority="1" percent="1" rank="1"/>
  </conditionalFormatting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8854-D947-46D9-8615-8666C9714CEB}">
  <dimension ref="A3:B68"/>
  <sheetViews>
    <sheetView workbookViewId="0">
      <selection activeCell="A6" sqref="A6"/>
    </sheetView>
  </sheetViews>
  <sheetFormatPr defaultRowHeight="14.4" x14ac:dyDescent="0.3"/>
  <cols>
    <col min="1" max="1" width="14.33203125" bestFit="1" customWidth="1"/>
    <col min="2" max="2" width="28.77734375" bestFit="1" customWidth="1"/>
  </cols>
  <sheetData>
    <row r="3" spans="1:2" x14ac:dyDescent="0.3">
      <c r="A3" s="37" t="s">
        <v>362</v>
      </c>
      <c r="B3" t="s">
        <v>404</v>
      </c>
    </row>
    <row r="4" spans="1:2" x14ac:dyDescent="0.3">
      <c r="A4" s="38" t="s">
        <v>406</v>
      </c>
      <c r="B4">
        <v>0</v>
      </c>
    </row>
    <row r="5" spans="1:2" x14ac:dyDescent="0.3">
      <c r="A5" s="41" t="s">
        <v>363</v>
      </c>
      <c r="B5">
        <v>0</v>
      </c>
    </row>
    <row r="6" spans="1:2" x14ac:dyDescent="0.3">
      <c r="A6" s="38" t="s">
        <v>417</v>
      </c>
      <c r="B6">
        <v>96295</v>
      </c>
    </row>
    <row r="7" spans="1:2" x14ac:dyDescent="0.3">
      <c r="A7" s="98">
        <v>45663</v>
      </c>
      <c r="B7">
        <v>27057</v>
      </c>
    </row>
    <row r="8" spans="1:2" x14ac:dyDescent="0.3">
      <c r="A8" s="98">
        <v>45670</v>
      </c>
      <c r="B8">
        <v>18737</v>
      </c>
    </row>
    <row r="9" spans="1:2" x14ac:dyDescent="0.3">
      <c r="A9" s="98">
        <v>45677</v>
      </c>
      <c r="B9">
        <v>27809</v>
      </c>
    </row>
    <row r="10" spans="1:2" x14ac:dyDescent="0.3">
      <c r="A10" s="98">
        <v>45684</v>
      </c>
      <c r="B10">
        <v>22692</v>
      </c>
    </row>
    <row r="11" spans="1:2" x14ac:dyDescent="0.3">
      <c r="A11" s="38" t="s">
        <v>418</v>
      </c>
      <c r="B11">
        <v>90480</v>
      </c>
    </row>
    <row r="12" spans="1:2" x14ac:dyDescent="0.3">
      <c r="A12" s="98">
        <v>45691</v>
      </c>
      <c r="B12">
        <v>28533</v>
      </c>
    </row>
    <row r="13" spans="1:2" x14ac:dyDescent="0.3">
      <c r="A13" s="98">
        <v>45698</v>
      </c>
      <c r="B13">
        <v>13642</v>
      </c>
    </row>
    <row r="14" spans="1:2" x14ac:dyDescent="0.3">
      <c r="A14" s="98">
        <v>45705</v>
      </c>
      <c r="B14">
        <v>17859</v>
      </c>
    </row>
    <row r="15" spans="1:2" x14ac:dyDescent="0.3">
      <c r="A15" s="98">
        <v>45712</v>
      </c>
      <c r="B15">
        <v>30446</v>
      </c>
    </row>
    <row r="16" spans="1:2" x14ac:dyDescent="0.3">
      <c r="A16" s="38" t="s">
        <v>419</v>
      </c>
      <c r="B16">
        <v>107259</v>
      </c>
    </row>
    <row r="17" spans="1:2" x14ac:dyDescent="0.3">
      <c r="A17" s="98">
        <v>45719</v>
      </c>
      <c r="B17">
        <v>20389</v>
      </c>
    </row>
    <row r="18" spans="1:2" x14ac:dyDescent="0.3">
      <c r="A18" s="98">
        <v>45726</v>
      </c>
      <c r="B18">
        <v>17807</v>
      </c>
    </row>
    <row r="19" spans="1:2" x14ac:dyDescent="0.3">
      <c r="A19" s="98">
        <v>45733</v>
      </c>
      <c r="B19">
        <v>28020</v>
      </c>
    </row>
    <row r="20" spans="1:2" x14ac:dyDescent="0.3">
      <c r="A20" s="98">
        <v>45740</v>
      </c>
      <c r="B20">
        <v>25416</v>
      </c>
    </row>
    <row r="21" spans="1:2" x14ac:dyDescent="0.3">
      <c r="A21" s="98">
        <v>45747</v>
      </c>
      <c r="B21">
        <v>15627</v>
      </c>
    </row>
    <row r="22" spans="1:2" x14ac:dyDescent="0.3">
      <c r="A22" s="38" t="s">
        <v>420</v>
      </c>
      <c r="B22">
        <v>85234</v>
      </c>
    </row>
    <row r="23" spans="1:2" x14ac:dyDescent="0.3">
      <c r="A23" s="98">
        <v>45754</v>
      </c>
      <c r="B23">
        <v>20720</v>
      </c>
    </row>
    <row r="24" spans="1:2" x14ac:dyDescent="0.3">
      <c r="A24" s="98">
        <v>45761</v>
      </c>
      <c r="B24">
        <v>24995</v>
      </c>
    </row>
    <row r="25" spans="1:2" x14ac:dyDescent="0.3">
      <c r="A25" s="98">
        <v>45768</v>
      </c>
      <c r="B25">
        <v>22070</v>
      </c>
    </row>
    <row r="26" spans="1:2" x14ac:dyDescent="0.3">
      <c r="A26" s="98">
        <v>45775</v>
      </c>
      <c r="B26">
        <v>17449</v>
      </c>
    </row>
    <row r="27" spans="1:2" x14ac:dyDescent="0.3">
      <c r="A27" s="38" t="s">
        <v>421</v>
      </c>
      <c r="B27">
        <v>34516</v>
      </c>
    </row>
    <row r="28" spans="1:2" x14ac:dyDescent="0.3">
      <c r="A28" s="98">
        <v>45782</v>
      </c>
      <c r="B28">
        <v>16129</v>
      </c>
    </row>
    <row r="29" spans="1:2" x14ac:dyDescent="0.3">
      <c r="A29" s="98">
        <v>45789</v>
      </c>
      <c r="B29">
        <v>18387</v>
      </c>
    </row>
    <row r="30" spans="1:2" x14ac:dyDescent="0.3">
      <c r="A30" s="38" t="s">
        <v>410</v>
      </c>
      <c r="B30">
        <v>104818</v>
      </c>
    </row>
    <row r="31" spans="1:2" x14ac:dyDescent="0.3">
      <c r="A31" s="98">
        <v>45446</v>
      </c>
      <c r="B31">
        <v>27203</v>
      </c>
    </row>
    <row r="32" spans="1:2" x14ac:dyDescent="0.3">
      <c r="A32" s="98">
        <v>45453</v>
      </c>
      <c r="B32">
        <v>23062</v>
      </c>
    </row>
    <row r="33" spans="1:2" x14ac:dyDescent="0.3">
      <c r="A33" s="98">
        <v>45460</v>
      </c>
      <c r="B33">
        <v>25931</v>
      </c>
    </row>
    <row r="34" spans="1:2" x14ac:dyDescent="0.3">
      <c r="A34" s="98">
        <v>45467</v>
      </c>
      <c r="B34">
        <v>28622</v>
      </c>
    </row>
    <row r="35" spans="1:2" x14ac:dyDescent="0.3">
      <c r="A35" s="38" t="s">
        <v>411</v>
      </c>
      <c r="B35">
        <v>101486</v>
      </c>
    </row>
    <row r="36" spans="1:2" x14ac:dyDescent="0.3">
      <c r="A36" s="98">
        <v>45474</v>
      </c>
      <c r="B36">
        <v>19833</v>
      </c>
    </row>
    <row r="37" spans="1:2" x14ac:dyDescent="0.3">
      <c r="A37" s="98">
        <v>45481</v>
      </c>
      <c r="B37">
        <v>18529</v>
      </c>
    </row>
    <row r="38" spans="1:2" x14ac:dyDescent="0.3">
      <c r="A38" s="98">
        <v>45488</v>
      </c>
      <c r="B38">
        <v>13885</v>
      </c>
    </row>
    <row r="39" spans="1:2" x14ac:dyDescent="0.3">
      <c r="A39" s="98">
        <v>45495</v>
      </c>
      <c r="B39">
        <v>32218</v>
      </c>
    </row>
    <row r="40" spans="1:2" x14ac:dyDescent="0.3">
      <c r="A40" s="98">
        <v>45502</v>
      </c>
      <c r="B40">
        <v>17021</v>
      </c>
    </row>
    <row r="41" spans="1:2" x14ac:dyDescent="0.3">
      <c r="A41" s="38" t="s">
        <v>412</v>
      </c>
      <c r="B41">
        <v>84848</v>
      </c>
    </row>
    <row r="42" spans="1:2" x14ac:dyDescent="0.3">
      <c r="A42" s="98">
        <v>45509</v>
      </c>
      <c r="B42">
        <v>14100</v>
      </c>
    </row>
    <row r="43" spans="1:2" x14ac:dyDescent="0.3">
      <c r="A43" s="98">
        <v>45516</v>
      </c>
      <c r="B43">
        <v>26686</v>
      </c>
    </row>
    <row r="44" spans="1:2" x14ac:dyDescent="0.3">
      <c r="A44" s="98">
        <v>45523</v>
      </c>
      <c r="B44">
        <v>23262</v>
      </c>
    </row>
    <row r="45" spans="1:2" x14ac:dyDescent="0.3">
      <c r="A45" s="98">
        <v>45530</v>
      </c>
      <c r="B45">
        <v>20800</v>
      </c>
    </row>
    <row r="46" spans="1:2" x14ac:dyDescent="0.3">
      <c r="A46" s="38" t="s">
        <v>413</v>
      </c>
      <c r="B46">
        <v>99241</v>
      </c>
    </row>
    <row r="47" spans="1:2" x14ac:dyDescent="0.3">
      <c r="A47" s="98">
        <v>45537</v>
      </c>
      <c r="B47">
        <v>22217</v>
      </c>
    </row>
    <row r="48" spans="1:2" x14ac:dyDescent="0.3">
      <c r="A48" s="98">
        <v>45544</v>
      </c>
      <c r="B48">
        <v>25176</v>
      </c>
    </row>
    <row r="49" spans="1:2" x14ac:dyDescent="0.3">
      <c r="A49" s="98">
        <v>45551</v>
      </c>
      <c r="B49">
        <v>15432</v>
      </c>
    </row>
    <row r="50" spans="1:2" x14ac:dyDescent="0.3">
      <c r="A50" s="98">
        <v>45558</v>
      </c>
      <c r="B50">
        <v>17982</v>
      </c>
    </row>
    <row r="51" spans="1:2" x14ac:dyDescent="0.3">
      <c r="A51" s="98">
        <v>45565</v>
      </c>
      <c r="B51">
        <v>18434</v>
      </c>
    </row>
    <row r="52" spans="1:2" x14ac:dyDescent="0.3">
      <c r="A52" s="38" t="s">
        <v>414</v>
      </c>
      <c r="B52">
        <v>99093</v>
      </c>
    </row>
    <row r="53" spans="1:2" x14ac:dyDescent="0.3">
      <c r="A53" s="98">
        <v>45572</v>
      </c>
      <c r="B53">
        <v>17577</v>
      </c>
    </row>
    <row r="54" spans="1:2" x14ac:dyDescent="0.3">
      <c r="A54" s="98">
        <v>45579</v>
      </c>
      <c r="B54">
        <v>23371</v>
      </c>
    </row>
    <row r="55" spans="1:2" x14ac:dyDescent="0.3">
      <c r="A55" s="98">
        <v>45586</v>
      </c>
      <c r="B55">
        <v>30891</v>
      </c>
    </row>
    <row r="56" spans="1:2" x14ac:dyDescent="0.3">
      <c r="A56" s="98">
        <v>45593</v>
      </c>
      <c r="B56">
        <v>27254</v>
      </c>
    </row>
    <row r="57" spans="1:2" x14ac:dyDescent="0.3">
      <c r="A57" s="38" t="s">
        <v>415</v>
      </c>
      <c r="B57">
        <v>86299</v>
      </c>
    </row>
    <row r="58" spans="1:2" x14ac:dyDescent="0.3">
      <c r="A58" s="98">
        <v>45600</v>
      </c>
      <c r="B58">
        <v>16685</v>
      </c>
    </row>
    <row r="59" spans="1:2" x14ac:dyDescent="0.3">
      <c r="A59" s="98">
        <v>45607</v>
      </c>
      <c r="B59">
        <v>19751</v>
      </c>
    </row>
    <row r="60" spans="1:2" x14ac:dyDescent="0.3">
      <c r="A60" s="98">
        <v>45614</v>
      </c>
      <c r="B60">
        <v>21238</v>
      </c>
    </row>
    <row r="61" spans="1:2" x14ac:dyDescent="0.3">
      <c r="A61" s="98">
        <v>45621</v>
      </c>
      <c r="B61">
        <v>28625</v>
      </c>
    </row>
    <row r="62" spans="1:2" x14ac:dyDescent="0.3">
      <c r="A62" s="38" t="s">
        <v>416</v>
      </c>
      <c r="B62">
        <v>96829</v>
      </c>
    </row>
    <row r="63" spans="1:2" x14ac:dyDescent="0.3">
      <c r="A63" s="98">
        <v>45628</v>
      </c>
      <c r="B63">
        <v>18330</v>
      </c>
    </row>
    <row r="64" spans="1:2" x14ac:dyDescent="0.3">
      <c r="A64" s="98">
        <v>45635</v>
      </c>
      <c r="B64">
        <v>15842</v>
      </c>
    </row>
    <row r="65" spans="1:2" x14ac:dyDescent="0.3">
      <c r="A65" s="98">
        <v>45642</v>
      </c>
      <c r="B65">
        <v>19604</v>
      </c>
    </row>
    <row r="66" spans="1:2" x14ac:dyDescent="0.3">
      <c r="A66" s="98">
        <v>45649</v>
      </c>
      <c r="B66">
        <v>19183</v>
      </c>
    </row>
    <row r="67" spans="1:2" x14ac:dyDescent="0.3">
      <c r="A67" s="98">
        <v>45656</v>
      </c>
      <c r="B67">
        <v>23870</v>
      </c>
    </row>
    <row r="68" spans="1:2" x14ac:dyDescent="0.3">
      <c r="A68" s="38" t="s">
        <v>364</v>
      </c>
      <c r="B68">
        <v>1086398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D709-B909-47B8-922C-11AD8F9284BC}">
  <dimension ref="A1:K80"/>
  <sheetViews>
    <sheetView topLeftCell="C1" workbookViewId="0">
      <selection activeCell="A5" sqref="A5"/>
    </sheetView>
  </sheetViews>
  <sheetFormatPr defaultRowHeight="14.4" x14ac:dyDescent="0.3"/>
  <cols>
    <col min="1" max="1" width="12.21875" customWidth="1"/>
    <col min="2" max="2" width="30.21875" customWidth="1"/>
    <col min="3" max="3" width="38.5546875" customWidth="1"/>
    <col min="4" max="4" width="52.6640625" customWidth="1"/>
    <col min="5" max="5" width="52.77734375" customWidth="1"/>
  </cols>
  <sheetData>
    <row r="1" spans="1:11" x14ac:dyDescent="0.3">
      <c r="A1" t="s">
        <v>362</v>
      </c>
      <c r="B1" t="s">
        <v>404</v>
      </c>
      <c r="C1" t="s">
        <v>407</v>
      </c>
      <c r="D1" t="s">
        <v>408</v>
      </c>
      <c r="E1" t="s">
        <v>409</v>
      </c>
    </row>
    <row r="2" spans="1:11" ht="18" x14ac:dyDescent="0.35">
      <c r="A2" s="49">
        <v>45446</v>
      </c>
      <c r="B2">
        <v>27203</v>
      </c>
      <c r="F2" s="151" t="s">
        <v>463</v>
      </c>
      <c r="G2" s="151"/>
      <c r="H2" s="151"/>
      <c r="I2" s="151"/>
      <c r="J2" s="151"/>
      <c r="K2" s="132"/>
    </row>
    <row r="3" spans="1:11" x14ac:dyDescent="0.3">
      <c r="A3" s="49">
        <v>45453</v>
      </c>
      <c r="B3">
        <v>23062</v>
      </c>
    </row>
    <row r="4" spans="1:11" x14ac:dyDescent="0.3">
      <c r="A4" s="49">
        <v>45460</v>
      </c>
      <c r="B4">
        <v>25931</v>
      </c>
    </row>
    <row r="5" spans="1:11" ht="15.6" x14ac:dyDescent="0.3">
      <c r="A5" s="49">
        <v>45467</v>
      </c>
      <c r="B5">
        <v>28622</v>
      </c>
      <c r="F5" s="136" t="s">
        <v>464</v>
      </c>
      <c r="G5" s="136"/>
      <c r="H5" s="136"/>
      <c r="I5" s="136"/>
      <c r="J5" s="136"/>
    </row>
    <row r="6" spans="1:11" x14ac:dyDescent="0.3">
      <c r="A6" s="49">
        <v>45474</v>
      </c>
      <c r="B6">
        <v>19833</v>
      </c>
    </row>
    <row r="7" spans="1:11" x14ac:dyDescent="0.3">
      <c r="A7" s="49">
        <v>45481</v>
      </c>
      <c r="B7">
        <v>18529</v>
      </c>
    </row>
    <row r="8" spans="1:11" x14ac:dyDescent="0.3">
      <c r="A8" s="49">
        <v>45488</v>
      </c>
      <c r="B8">
        <v>13885</v>
      </c>
    </row>
    <row r="9" spans="1:11" x14ac:dyDescent="0.3">
      <c r="A9" s="49">
        <v>45495</v>
      </c>
      <c r="B9">
        <v>32218</v>
      </c>
    </row>
    <row r="10" spans="1:11" x14ac:dyDescent="0.3">
      <c r="A10" s="49">
        <v>45502</v>
      </c>
      <c r="B10">
        <v>17021</v>
      </c>
    </row>
    <row r="11" spans="1:11" x14ac:dyDescent="0.3">
      <c r="A11" s="49">
        <v>45509</v>
      </c>
      <c r="B11">
        <v>14100</v>
      </c>
    </row>
    <row r="12" spans="1:11" x14ac:dyDescent="0.3">
      <c r="A12" s="49">
        <v>45516</v>
      </c>
      <c r="B12">
        <v>26686</v>
      </c>
    </row>
    <row r="13" spans="1:11" x14ac:dyDescent="0.3">
      <c r="A13" s="49">
        <v>45523</v>
      </c>
      <c r="B13">
        <v>23262</v>
      </c>
    </row>
    <row r="14" spans="1:11" x14ac:dyDescent="0.3">
      <c r="A14" s="49">
        <v>45530</v>
      </c>
      <c r="B14">
        <v>20800</v>
      </c>
    </row>
    <row r="15" spans="1:11" x14ac:dyDescent="0.3">
      <c r="A15" s="49">
        <v>45537</v>
      </c>
      <c r="B15">
        <v>22217</v>
      </c>
    </row>
    <row r="16" spans="1:11" x14ac:dyDescent="0.3">
      <c r="A16" s="49">
        <v>45544</v>
      </c>
      <c r="B16">
        <v>25176</v>
      </c>
    </row>
    <row r="17" spans="1:2" x14ac:dyDescent="0.3">
      <c r="A17" s="49">
        <v>45551</v>
      </c>
      <c r="B17">
        <v>15432</v>
      </c>
    </row>
    <row r="18" spans="1:2" x14ac:dyDescent="0.3">
      <c r="A18" s="49">
        <v>45558</v>
      </c>
      <c r="B18">
        <v>17982</v>
      </c>
    </row>
    <row r="19" spans="1:2" x14ac:dyDescent="0.3">
      <c r="A19" s="49">
        <v>45565</v>
      </c>
      <c r="B19">
        <v>18434</v>
      </c>
    </row>
    <row r="20" spans="1:2" x14ac:dyDescent="0.3">
      <c r="A20" s="49">
        <v>45572</v>
      </c>
      <c r="B20">
        <v>17577</v>
      </c>
    </row>
    <row r="21" spans="1:2" x14ac:dyDescent="0.3">
      <c r="A21" s="49">
        <v>45579</v>
      </c>
      <c r="B21">
        <v>23371</v>
      </c>
    </row>
    <row r="22" spans="1:2" x14ac:dyDescent="0.3">
      <c r="A22" s="49">
        <v>45586</v>
      </c>
      <c r="B22">
        <v>30891</v>
      </c>
    </row>
    <row r="23" spans="1:2" x14ac:dyDescent="0.3">
      <c r="A23" s="49">
        <v>45593</v>
      </c>
      <c r="B23">
        <v>27254</v>
      </c>
    </row>
    <row r="24" spans="1:2" x14ac:dyDescent="0.3">
      <c r="A24" s="49">
        <v>45600</v>
      </c>
      <c r="B24">
        <v>16685</v>
      </c>
    </row>
    <row r="25" spans="1:2" x14ac:dyDescent="0.3">
      <c r="A25" s="49">
        <v>45607</v>
      </c>
      <c r="B25">
        <v>19751</v>
      </c>
    </row>
    <row r="26" spans="1:2" x14ac:dyDescent="0.3">
      <c r="A26" s="49">
        <v>45614</v>
      </c>
      <c r="B26">
        <v>21238</v>
      </c>
    </row>
    <row r="27" spans="1:2" x14ac:dyDescent="0.3">
      <c r="A27" s="49">
        <v>45621</v>
      </c>
      <c r="B27">
        <v>28625</v>
      </c>
    </row>
    <row r="28" spans="1:2" x14ac:dyDescent="0.3">
      <c r="A28" s="49">
        <v>45628</v>
      </c>
      <c r="B28">
        <v>18330</v>
      </c>
    </row>
    <row r="29" spans="1:2" x14ac:dyDescent="0.3">
      <c r="A29" s="49">
        <v>45635</v>
      </c>
      <c r="B29">
        <v>15842</v>
      </c>
    </row>
    <row r="30" spans="1:2" x14ac:dyDescent="0.3">
      <c r="A30" s="49">
        <v>45642</v>
      </c>
      <c r="B30">
        <v>19604</v>
      </c>
    </row>
    <row r="31" spans="1:2" x14ac:dyDescent="0.3">
      <c r="A31" s="49">
        <v>45649</v>
      </c>
      <c r="B31">
        <v>19183</v>
      </c>
    </row>
    <row r="32" spans="1:2" x14ac:dyDescent="0.3">
      <c r="A32" s="49">
        <v>45656</v>
      </c>
      <c r="B32">
        <v>23870</v>
      </c>
    </row>
    <row r="33" spans="1:2" x14ac:dyDescent="0.3">
      <c r="A33" s="49">
        <v>45663</v>
      </c>
      <c r="B33">
        <v>27057</v>
      </c>
    </row>
    <row r="34" spans="1:2" x14ac:dyDescent="0.3">
      <c r="A34" s="49">
        <v>45670</v>
      </c>
      <c r="B34">
        <v>18737</v>
      </c>
    </row>
    <row r="35" spans="1:2" x14ac:dyDescent="0.3">
      <c r="A35" s="49">
        <v>45677</v>
      </c>
      <c r="B35">
        <v>27809</v>
      </c>
    </row>
    <row r="36" spans="1:2" x14ac:dyDescent="0.3">
      <c r="A36" s="49">
        <v>45684</v>
      </c>
      <c r="B36">
        <v>22692</v>
      </c>
    </row>
    <row r="37" spans="1:2" x14ac:dyDescent="0.3">
      <c r="A37" s="49">
        <v>45691</v>
      </c>
      <c r="B37">
        <v>28533</v>
      </c>
    </row>
    <row r="38" spans="1:2" x14ac:dyDescent="0.3">
      <c r="A38" s="49">
        <v>45698</v>
      </c>
      <c r="B38">
        <v>13642</v>
      </c>
    </row>
    <row r="39" spans="1:2" x14ac:dyDescent="0.3">
      <c r="A39" s="49">
        <v>45705</v>
      </c>
      <c r="B39">
        <v>17859</v>
      </c>
    </row>
    <row r="40" spans="1:2" x14ac:dyDescent="0.3">
      <c r="A40" s="49">
        <v>45712</v>
      </c>
      <c r="B40">
        <v>30446</v>
      </c>
    </row>
    <row r="41" spans="1:2" x14ac:dyDescent="0.3">
      <c r="A41" s="49">
        <v>45719</v>
      </c>
      <c r="B41">
        <v>20389</v>
      </c>
    </row>
    <row r="42" spans="1:2" x14ac:dyDescent="0.3">
      <c r="A42" s="49">
        <v>45726</v>
      </c>
      <c r="B42">
        <v>17807</v>
      </c>
    </row>
    <row r="43" spans="1:2" x14ac:dyDescent="0.3">
      <c r="A43" s="49">
        <v>45733</v>
      </c>
      <c r="B43">
        <v>28020</v>
      </c>
    </row>
    <row r="44" spans="1:2" x14ac:dyDescent="0.3">
      <c r="A44" s="49">
        <v>45740</v>
      </c>
      <c r="B44">
        <v>25416</v>
      </c>
    </row>
    <row r="45" spans="1:2" x14ac:dyDescent="0.3">
      <c r="A45" s="49">
        <v>45747</v>
      </c>
      <c r="B45">
        <v>15627</v>
      </c>
    </row>
    <row r="46" spans="1:2" x14ac:dyDescent="0.3">
      <c r="A46" s="49">
        <v>45754</v>
      </c>
      <c r="B46">
        <v>20720</v>
      </c>
    </row>
    <row r="47" spans="1:2" x14ac:dyDescent="0.3">
      <c r="A47" s="49">
        <v>45761</v>
      </c>
      <c r="B47">
        <v>24995</v>
      </c>
    </row>
    <row r="48" spans="1:2" x14ac:dyDescent="0.3">
      <c r="A48" s="49">
        <v>45768</v>
      </c>
      <c r="B48">
        <v>22070</v>
      </c>
    </row>
    <row r="49" spans="1:5" x14ac:dyDescent="0.3">
      <c r="A49" s="49">
        <v>45775</v>
      </c>
      <c r="B49">
        <v>17449</v>
      </c>
    </row>
    <row r="50" spans="1:5" x14ac:dyDescent="0.3">
      <c r="A50" s="49">
        <v>45782</v>
      </c>
      <c r="B50">
        <v>16129</v>
      </c>
    </row>
    <row r="51" spans="1:5" x14ac:dyDescent="0.3">
      <c r="A51" s="49">
        <v>45789</v>
      </c>
      <c r="B51">
        <v>18387</v>
      </c>
      <c r="C51">
        <v>18387</v>
      </c>
      <c r="D51" s="51">
        <v>18387</v>
      </c>
      <c r="E51" s="51">
        <v>18387</v>
      </c>
    </row>
    <row r="52" spans="1:5" x14ac:dyDescent="0.3">
      <c r="A52" s="49">
        <v>45796</v>
      </c>
      <c r="C52">
        <f t="shared" ref="C52:C80" si="0">_xlfn.FORECAST.ETS(A52,$B$2:$B$51,$A$2:$A$51,10,1)</f>
        <v>25122.154715668392</v>
      </c>
      <c r="D52" s="51">
        <f t="shared" ref="D52:D80" si="1">C52-_xlfn.FORECAST.ETS.CONFINT(A52,$B$2:$B$51,$A$2:$A$51,0.95,10,1)</f>
        <v>16153.584662236894</v>
      </c>
      <c r="E52" s="51">
        <f t="shared" ref="E52:E80" si="2">C52+_xlfn.FORECAST.ETS.CONFINT(A52,$B$2:$B$51,$A$2:$A$51,0.95,10,1)</f>
        <v>34090.724769099892</v>
      </c>
    </row>
    <row r="53" spans="1:5" x14ac:dyDescent="0.3">
      <c r="A53" s="49">
        <v>45803</v>
      </c>
      <c r="C53">
        <f t="shared" si="0"/>
        <v>25112.609322838616</v>
      </c>
      <c r="D53" s="51">
        <f t="shared" si="1"/>
        <v>16143.998910932687</v>
      </c>
      <c r="E53" s="51">
        <f t="shared" si="2"/>
        <v>34081.219734744547</v>
      </c>
    </row>
    <row r="54" spans="1:5" x14ac:dyDescent="0.3">
      <c r="A54" s="49">
        <v>45810</v>
      </c>
      <c r="C54">
        <f t="shared" si="0"/>
        <v>19345.797873678301</v>
      </c>
      <c r="D54" s="51">
        <f t="shared" si="1"/>
        <v>10377.115713821797</v>
      </c>
      <c r="E54" s="51">
        <f t="shared" si="2"/>
        <v>28314.480033534805</v>
      </c>
    </row>
    <row r="55" spans="1:5" x14ac:dyDescent="0.3">
      <c r="A55" s="49">
        <v>45817</v>
      </c>
      <c r="C55">
        <f t="shared" si="0"/>
        <v>21931.866842323849</v>
      </c>
      <c r="D55" s="51">
        <f t="shared" si="1"/>
        <v>12963.072577443625</v>
      </c>
      <c r="E55" s="51">
        <f t="shared" si="2"/>
        <v>30900.661107204072</v>
      </c>
    </row>
    <row r="56" spans="1:5" x14ac:dyDescent="0.3">
      <c r="A56" s="49">
        <v>45824</v>
      </c>
      <c r="C56">
        <f t="shared" si="0"/>
        <v>21191.130309050128</v>
      </c>
      <c r="D56" s="51">
        <f t="shared" si="1"/>
        <v>12222.17461539742</v>
      </c>
      <c r="E56" s="51">
        <f t="shared" si="2"/>
        <v>30160.086002702836</v>
      </c>
    </row>
    <row r="57" spans="1:5" x14ac:dyDescent="0.3">
      <c r="A57" s="49">
        <v>45831</v>
      </c>
      <c r="C57">
        <f t="shared" si="0"/>
        <v>21634.278807626128</v>
      </c>
      <c r="D57" s="51">
        <f t="shared" si="1"/>
        <v>12665.103396146169</v>
      </c>
      <c r="E57" s="51">
        <f t="shared" si="2"/>
        <v>30603.454219106086</v>
      </c>
    </row>
    <row r="58" spans="1:5" x14ac:dyDescent="0.3">
      <c r="A58" s="49">
        <v>45838</v>
      </c>
      <c r="C58">
        <f t="shared" si="0"/>
        <v>16326.741265377625</v>
      </c>
      <c r="D58" s="51">
        <f t="shared" si="1"/>
        <v>7357.2788836169384</v>
      </c>
      <c r="E58" s="51">
        <f t="shared" si="2"/>
        <v>25296.203647138311</v>
      </c>
    </row>
    <row r="59" spans="1:5" x14ac:dyDescent="0.3">
      <c r="A59" s="49">
        <v>45845</v>
      </c>
      <c r="C59">
        <f t="shared" si="0"/>
        <v>20154.947768910653</v>
      </c>
      <c r="D59" s="51">
        <f t="shared" si="1"/>
        <v>11185.12220355136</v>
      </c>
      <c r="E59" s="51">
        <f t="shared" si="2"/>
        <v>29124.773334269947</v>
      </c>
    </row>
    <row r="60" spans="1:5" x14ac:dyDescent="0.3">
      <c r="A60" s="49">
        <v>45852</v>
      </c>
      <c r="C60">
        <f t="shared" si="0"/>
        <v>18501.229694052305</v>
      </c>
      <c r="D60" s="51">
        <f t="shared" si="1"/>
        <v>9530.9557741625958</v>
      </c>
      <c r="E60" s="51">
        <f t="shared" si="2"/>
        <v>27471.503613942012</v>
      </c>
    </row>
    <row r="61" spans="1:5" x14ac:dyDescent="0.3">
      <c r="A61" s="49">
        <v>45859</v>
      </c>
      <c r="C61">
        <f t="shared" si="0"/>
        <v>18340.071588635452</v>
      </c>
      <c r="D61" s="51">
        <f t="shared" si="1"/>
        <v>9369.2551897251105</v>
      </c>
      <c r="E61" s="51">
        <f t="shared" si="2"/>
        <v>27310.887987545793</v>
      </c>
    </row>
    <row r="62" spans="1:5" x14ac:dyDescent="0.3">
      <c r="A62" s="49">
        <v>45866</v>
      </c>
      <c r="C62">
        <f t="shared" si="0"/>
        <v>25075.226304303844</v>
      </c>
      <c r="D62" s="51">
        <f t="shared" si="1"/>
        <v>16020.656405752727</v>
      </c>
      <c r="E62" s="51">
        <f t="shared" si="2"/>
        <v>34129.796202854959</v>
      </c>
    </row>
    <row r="63" spans="1:5" x14ac:dyDescent="0.3">
      <c r="A63" s="49">
        <v>45873</v>
      </c>
      <c r="C63">
        <f t="shared" si="0"/>
        <v>25065.680911474068</v>
      </c>
      <c r="D63" s="51">
        <f t="shared" si="1"/>
        <v>16010.36039783151</v>
      </c>
      <c r="E63" s="51">
        <f t="shared" si="2"/>
        <v>34121.001425116629</v>
      </c>
    </row>
    <row r="64" spans="1:5" x14ac:dyDescent="0.3">
      <c r="A64" s="49">
        <v>45880</v>
      </c>
      <c r="C64">
        <f t="shared" si="0"/>
        <v>19298.869462313753</v>
      </c>
      <c r="D64" s="51">
        <f t="shared" si="1"/>
        <v>10242.678490742914</v>
      </c>
      <c r="E64" s="51">
        <f t="shared" si="2"/>
        <v>28355.060433884591</v>
      </c>
    </row>
    <row r="65" spans="1:5" x14ac:dyDescent="0.3">
      <c r="A65" s="49">
        <v>45887</v>
      </c>
      <c r="C65">
        <f t="shared" si="0"/>
        <v>21884.938430959304</v>
      </c>
      <c r="D65" s="51">
        <f t="shared" si="1"/>
        <v>12827.748312355083</v>
      </c>
      <c r="E65" s="51">
        <f t="shared" si="2"/>
        <v>30942.128549563524</v>
      </c>
    </row>
    <row r="66" spans="1:5" x14ac:dyDescent="0.3">
      <c r="A66" s="49">
        <v>45894</v>
      </c>
      <c r="C66">
        <f t="shared" si="0"/>
        <v>21144.20189768558</v>
      </c>
      <c r="D66" s="51">
        <f t="shared" si="1"/>
        <v>12085.875105819679</v>
      </c>
      <c r="E66" s="51">
        <f t="shared" si="2"/>
        <v>30202.52868955148</v>
      </c>
    </row>
    <row r="67" spans="1:5" x14ac:dyDescent="0.3">
      <c r="A67" s="49">
        <v>45901</v>
      </c>
      <c r="C67">
        <f t="shared" si="0"/>
        <v>21587.35039626158</v>
      </c>
      <c r="D67" s="51">
        <f t="shared" si="1"/>
        <v>12527.740578220864</v>
      </c>
      <c r="E67" s="51">
        <f t="shared" si="2"/>
        <v>30646.960214302293</v>
      </c>
    </row>
    <row r="68" spans="1:5" x14ac:dyDescent="0.3">
      <c r="A68" s="49">
        <v>45908</v>
      </c>
      <c r="C68">
        <f t="shared" si="0"/>
        <v>16279.81285401308</v>
      </c>
      <c r="D68" s="51">
        <f t="shared" si="1"/>
        <v>7218.7648420140267</v>
      </c>
      <c r="E68" s="51">
        <f t="shared" si="2"/>
        <v>25340.860866012132</v>
      </c>
    </row>
    <row r="69" spans="1:5" x14ac:dyDescent="0.3">
      <c r="A69" s="49">
        <v>45915</v>
      </c>
      <c r="C69">
        <f t="shared" si="0"/>
        <v>20108.019357546105</v>
      </c>
      <c r="D69" s="51">
        <f t="shared" si="1"/>
        <v>11045.369182207216</v>
      </c>
      <c r="E69" s="51">
        <f t="shared" si="2"/>
        <v>29170.669532884996</v>
      </c>
    </row>
    <row r="70" spans="1:5" x14ac:dyDescent="0.3">
      <c r="A70" s="49">
        <v>45922</v>
      </c>
      <c r="C70">
        <f t="shared" si="0"/>
        <v>18454.301282687757</v>
      </c>
      <c r="D70" s="51">
        <f t="shared" si="1"/>
        <v>9389.8761878407968</v>
      </c>
      <c r="E70" s="51">
        <f t="shared" si="2"/>
        <v>27518.726377534716</v>
      </c>
    </row>
    <row r="71" spans="1:5" x14ac:dyDescent="0.3">
      <c r="A71" s="49">
        <v>45929</v>
      </c>
      <c r="C71">
        <f t="shared" si="0"/>
        <v>18293.143177270904</v>
      </c>
      <c r="D71" s="51">
        <f t="shared" si="1"/>
        <v>9226.7616363906836</v>
      </c>
      <c r="E71" s="51">
        <f t="shared" si="2"/>
        <v>27359.524718151122</v>
      </c>
    </row>
    <row r="72" spans="1:5" x14ac:dyDescent="0.3">
      <c r="A72" s="49">
        <v>45936</v>
      </c>
      <c r="C72">
        <f t="shared" si="0"/>
        <v>25028.297892939296</v>
      </c>
      <c r="D72" s="51">
        <f t="shared" si="1"/>
        <v>15866.562274826083</v>
      </c>
      <c r="E72" s="51">
        <f t="shared" si="2"/>
        <v>34190.033511052505</v>
      </c>
    </row>
    <row r="73" spans="1:5" x14ac:dyDescent="0.3">
      <c r="A73" s="49">
        <v>45943</v>
      </c>
      <c r="C73">
        <f t="shared" si="0"/>
        <v>25018.752500109527</v>
      </c>
      <c r="D73" s="51">
        <f t="shared" si="1"/>
        <v>15854.695004500871</v>
      </c>
      <c r="E73" s="51">
        <f t="shared" si="2"/>
        <v>34182.809995718184</v>
      </c>
    </row>
    <row r="74" spans="1:5" x14ac:dyDescent="0.3">
      <c r="A74" s="49">
        <v>45950</v>
      </c>
      <c r="C74">
        <f t="shared" si="0"/>
        <v>19251.941050949205</v>
      </c>
      <c r="D74" s="51">
        <f t="shared" si="1"/>
        <v>10085.35605509977</v>
      </c>
      <c r="E74" s="51">
        <f t="shared" si="2"/>
        <v>28418.526046798637</v>
      </c>
    </row>
    <row r="75" spans="1:5" x14ac:dyDescent="0.3">
      <c r="A75" s="49">
        <v>45957</v>
      </c>
      <c r="C75">
        <f t="shared" si="0"/>
        <v>21838.010019594756</v>
      </c>
      <c r="D75" s="51">
        <f t="shared" si="1"/>
        <v>12668.683298584428</v>
      </c>
      <c r="E75" s="51">
        <f t="shared" si="2"/>
        <v>31007.336740605082</v>
      </c>
    </row>
    <row r="76" spans="1:5" x14ac:dyDescent="0.3">
      <c r="A76" s="49">
        <v>45964</v>
      </c>
      <c r="C76">
        <f t="shared" si="0"/>
        <v>21097.273486321035</v>
      </c>
      <c r="D76" s="51">
        <f t="shared" si="1"/>
        <v>11924.982237956479</v>
      </c>
      <c r="E76" s="51">
        <f t="shared" si="2"/>
        <v>30269.564734685591</v>
      </c>
    </row>
    <row r="77" spans="1:5" x14ac:dyDescent="0.3">
      <c r="A77" s="49">
        <v>45971</v>
      </c>
      <c r="C77">
        <f t="shared" si="0"/>
        <v>21540.421984897032</v>
      </c>
      <c r="D77" s="51">
        <f t="shared" si="1"/>
        <v>12364.934856618629</v>
      </c>
      <c r="E77" s="51">
        <f t="shared" si="2"/>
        <v>30715.909113175432</v>
      </c>
    </row>
    <row r="78" spans="1:5" x14ac:dyDescent="0.3">
      <c r="A78" s="49">
        <v>45978</v>
      </c>
      <c r="C78">
        <f t="shared" si="0"/>
        <v>16232.884442648532</v>
      </c>
      <c r="D78" s="51">
        <f t="shared" si="1"/>
        <v>7053.9615605090148</v>
      </c>
      <c r="E78" s="51">
        <f t="shared" si="2"/>
        <v>25411.807324788049</v>
      </c>
    </row>
    <row r="79" spans="1:5" x14ac:dyDescent="0.3">
      <c r="A79" s="49">
        <v>45985</v>
      </c>
      <c r="C79">
        <f t="shared" si="0"/>
        <v>20061.090946181557</v>
      </c>
      <c r="D79" s="51">
        <f t="shared" si="1"/>
        <v>10878.483945960539</v>
      </c>
      <c r="E79" s="51">
        <f t="shared" si="2"/>
        <v>29243.697946402575</v>
      </c>
    </row>
    <row r="80" spans="1:5" x14ac:dyDescent="0.3">
      <c r="A80" s="49">
        <v>45991</v>
      </c>
      <c r="C80">
        <f t="shared" si="0"/>
        <v>18643.618310588685</v>
      </c>
      <c r="D80" s="51">
        <f t="shared" si="1"/>
        <v>9457.6332589143221</v>
      </c>
      <c r="E80" s="51">
        <f t="shared" si="2"/>
        <v>27829.603362263049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F02F-8C72-4E66-9AF9-6C36414ECF64}">
  <dimension ref="A3:B68"/>
  <sheetViews>
    <sheetView workbookViewId="0">
      <selection activeCell="A4" sqref="A3:B53"/>
    </sheetView>
  </sheetViews>
  <sheetFormatPr defaultRowHeight="14.4" x14ac:dyDescent="0.3"/>
  <cols>
    <col min="1" max="1" width="14.33203125" bestFit="1" customWidth="1"/>
    <col min="2" max="2" width="28.77734375" bestFit="1" customWidth="1"/>
  </cols>
  <sheetData>
    <row r="3" spans="1:2" x14ac:dyDescent="0.3">
      <c r="A3" s="37" t="s">
        <v>362</v>
      </c>
      <c r="B3" t="s">
        <v>404</v>
      </c>
    </row>
    <row r="4" spans="1:2" x14ac:dyDescent="0.3">
      <c r="A4" s="38" t="s">
        <v>406</v>
      </c>
      <c r="B4">
        <v>0</v>
      </c>
    </row>
    <row r="5" spans="1:2" x14ac:dyDescent="0.3">
      <c r="A5" s="41" t="s">
        <v>363</v>
      </c>
      <c r="B5">
        <v>0</v>
      </c>
    </row>
    <row r="6" spans="1:2" x14ac:dyDescent="0.3">
      <c r="A6" s="38" t="s">
        <v>417</v>
      </c>
      <c r="B6">
        <v>96295</v>
      </c>
    </row>
    <row r="7" spans="1:2" x14ac:dyDescent="0.3">
      <c r="A7" s="98">
        <v>45663</v>
      </c>
      <c r="B7">
        <v>27057</v>
      </c>
    </row>
    <row r="8" spans="1:2" x14ac:dyDescent="0.3">
      <c r="A8" s="98">
        <v>45670</v>
      </c>
      <c r="B8">
        <v>18737</v>
      </c>
    </row>
    <row r="9" spans="1:2" x14ac:dyDescent="0.3">
      <c r="A9" s="98">
        <v>45677</v>
      </c>
      <c r="B9">
        <v>27809</v>
      </c>
    </row>
    <row r="10" spans="1:2" x14ac:dyDescent="0.3">
      <c r="A10" s="98">
        <v>45684</v>
      </c>
      <c r="B10">
        <v>22692</v>
      </c>
    </row>
    <row r="11" spans="1:2" x14ac:dyDescent="0.3">
      <c r="A11" s="38" t="s">
        <v>418</v>
      </c>
      <c r="B11">
        <v>90480</v>
      </c>
    </row>
    <row r="12" spans="1:2" x14ac:dyDescent="0.3">
      <c r="A12" s="98">
        <v>45691</v>
      </c>
      <c r="B12">
        <v>28533</v>
      </c>
    </row>
    <row r="13" spans="1:2" x14ac:dyDescent="0.3">
      <c r="A13" s="98">
        <v>45698</v>
      </c>
      <c r="B13">
        <v>13642</v>
      </c>
    </row>
    <row r="14" spans="1:2" x14ac:dyDescent="0.3">
      <c r="A14" s="98">
        <v>45705</v>
      </c>
      <c r="B14">
        <v>17859</v>
      </c>
    </row>
    <row r="15" spans="1:2" x14ac:dyDescent="0.3">
      <c r="A15" s="98">
        <v>45712</v>
      </c>
      <c r="B15">
        <v>30446</v>
      </c>
    </row>
    <row r="16" spans="1:2" x14ac:dyDescent="0.3">
      <c r="A16" s="38" t="s">
        <v>419</v>
      </c>
      <c r="B16">
        <v>107259</v>
      </c>
    </row>
    <row r="17" spans="1:2" x14ac:dyDescent="0.3">
      <c r="A17" s="98">
        <v>45719</v>
      </c>
      <c r="B17">
        <v>20389</v>
      </c>
    </row>
    <row r="18" spans="1:2" x14ac:dyDescent="0.3">
      <c r="A18" s="98">
        <v>45726</v>
      </c>
      <c r="B18">
        <v>17807</v>
      </c>
    </row>
    <row r="19" spans="1:2" x14ac:dyDescent="0.3">
      <c r="A19" s="98">
        <v>45733</v>
      </c>
      <c r="B19">
        <v>28020</v>
      </c>
    </row>
    <row r="20" spans="1:2" x14ac:dyDescent="0.3">
      <c r="A20" s="98">
        <v>45740</v>
      </c>
      <c r="B20">
        <v>25416</v>
      </c>
    </row>
    <row r="21" spans="1:2" x14ac:dyDescent="0.3">
      <c r="A21" s="98">
        <v>45747</v>
      </c>
      <c r="B21">
        <v>15627</v>
      </c>
    </row>
    <row r="22" spans="1:2" x14ac:dyDescent="0.3">
      <c r="A22" s="38" t="s">
        <v>420</v>
      </c>
      <c r="B22">
        <v>85234</v>
      </c>
    </row>
    <row r="23" spans="1:2" x14ac:dyDescent="0.3">
      <c r="A23" s="98">
        <v>45754</v>
      </c>
      <c r="B23">
        <v>20720</v>
      </c>
    </row>
    <row r="24" spans="1:2" x14ac:dyDescent="0.3">
      <c r="A24" s="98">
        <v>45761</v>
      </c>
      <c r="B24">
        <v>24995</v>
      </c>
    </row>
    <row r="25" spans="1:2" x14ac:dyDescent="0.3">
      <c r="A25" s="98">
        <v>45768</v>
      </c>
      <c r="B25">
        <v>22070</v>
      </c>
    </row>
    <row r="26" spans="1:2" x14ac:dyDescent="0.3">
      <c r="A26" s="98">
        <v>45775</v>
      </c>
      <c r="B26">
        <v>17449</v>
      </c>
    </row>
    <row r="27" spans="1:2" x14ac:dyDescent="0.3">
      <c r="A27" s="38" t="s">
        <v>421</v>
      </c>
      <c r="B27">
        <v>34516</v>
      </c>
    </row>
    <row r="28" spans="1:2" x14ac:dyDescent="0.3">
      <c r="A28" s="98">
        <v>45782</v>
      </c>
      <c r="B28">
        <v>16129</v>
      </c>
    </row>
    <row r="29" spans="1:2" x14ac:dyDescent="0.3">
      <c r="A29" s="98">
        <v>45789</v>
      </c>
      <c r="B29">
        <v>18387</v>
      </c>
    </row>
    <row r="30" spans="1:2" x14ac:dyDescent="0.3">
      <c r="A30" s="38" t="s">
        <v>410</v>
      </c>
      <c r="B30">
        <v>104818</v>
      </c>
    </row>
    <row r="31" spans="1:2" x14ac:dyDescent="0.3">
      <c r="A31" s="98">
        <v>45446</v>
      </c>
      <c r="B31">
        <v>27203</v>
      </c>
    </row>
    <row r="32" spans="1:2" x14ac:dyDescent="0.3">
      <c r="A32" s="98">
        <v>45453</v>
      </c>
      <c r="B32">
        <v>23062</v>
      </c>
    </row>
    <row r="33" spans="1:2" x14ac:dyDescent="0.3">
      <c r="A33" s="98">
        <v>45460</v>
      </c>
      <c r="B33">
        <v>25931</v>
      </c>
    </row>
    <row r="34" spans="1:2" x14ac:dyDescent="0.3">
      <c r="A34" s="98">
        <v>45467</v>
      </c>
      <c r="B34">
        <v>28622</v>
      </c>
    </row>
    <row r="35" spans="1:2" x14ac:dyDescent="0.3">
      <c r="A35" s="38" t="s">
        <v>411</v>
      </c>
      <c r="B35">
        <v>101486</v>
      </c>
    </row>
    <row r="36" spans="1:2" x14ac:dyDescent="0.3">
      <c r="A36" s="98">
        <v>45474</v>
      </c>
      <c r="B36">
        <v>19833</v>
      </c>
    </row>
    <row r="37" spans="1:2" x14ac:dyDescent="0.3">
      <c r="A37" s="98">
        <v>45481</v>
      </c>
      <c r="B37">
        <v>18529</v>
      </c>
    </row>
    <row r="38" spans="1:2" x14ac:dyDescent="0.3">
      <c r="A38" s="98">
        <v>45488</v>
      </c>
      <c r="B38">
        <v>13885</v>
      </c>
    </row>
    <row r="39" spans="1:2" x14ac:dyDescent="0.3">
      <c r="A39" s="98">
        <v>45495</v>
      </c>
      <c r="B39">
        <v>32218</v>
      </c>
    </row>
    <row r="40" spans="1:2" x14ac:dyDescent="0.3">
      <c r="A40" s="98">
        <v>45502</v>
      </c>
      <c r="B40">
        <v>17021</v>
      </c>
    </row>
    <row r="41" spans="1:2" x14ac:dyDescent="0.3">
      <c r="A41" s="38" t="s">
        <v>412</v>
      </c>
      <c r="B41">
        <v>84848</v>
      </c>
    </row>
    <row r="42" spans="1:2" x14ac:dyDescent="0.3">
      <c r="A42" s="98">
        <v>45509</v>
      </c>
      <c r="B42">
        <v>14100</v>
      </c>
    </row>
    <row r="43" spans="1:2" x14ac:dyDescent="0.3">
      <c r="A43" s="98">
        <v>45516</v>
      </c>
      <c r="B43">
        <v>26686</v>
      </c>
    </row>
    <row r="44" spans="1:2" x14ac:dyDescent="0.3">
      <c r="A44" s="98">
        <v>45523</v>
      </c>
      <c r="B44">
        <v>23262</v>
      </c>
    </row>
    <row r="45" spans="1:2" x14ac:dyDescent="0.3">
      <c r="A45" s="98">
        <v>45530</v>
      </c>
      <c r="B45">
        <v>20800</v>
      </c>
    </row>
    <row r="46" spans="1:2" x14ac:dyDescent="0.3">
      <c r="A46" s="38" t="s">
        <v>413</v>
      </c>
      <c r="B46">
        <v>99241</v>
      </c>
    </row>
    <row r="47" spans="1:2" x14ac:dyDescent="0.3">
      <c r="A47" s="98">
        <v>45537</v>
      </c>
      <c r="B47">
        <v>22217</v>
      </c>
    </row>
    <row r="48" spans="1:2" x14ac:dyDescent="0.3">
      <c r="A48" s="98">
        <v>45544</v>
      </c>
      <c r="B48">
        <v>25176</v>
      </c>
    </row>
    <row r="49" spans="1:2" x14ac:dyDescent="0.3">
      <c r="A49" s="98">
        <v>45551</v>
      </c>
      <c r="B49">
        <v>15432</v>
      </c>
    </row>
    <row r="50" spans="1:2" x14ac:dyDescent="0.3">
      <c r="A50" s="98">
        <v>45558</v>
      </c>
      <c r="B50">
        <v>17982</v>
      </c>
    </row>
    <row r="51" spans="1:2" x14ac:dyDescent="0.3">
      <c r="A51" s="98">
        <v>45565</v>
      </c>
      <c r="B51">
        <v>18434</v>
      </c>
    </row>
    <row r="52" spans="1:2" x14ac:dyDescent="0.3">
      <c r="A52" s="38" t="s">
        <v>414</v>
      </c>
      <c r="B52">
        <v>99093</v>
      </c>
    </row>
    <row r="53" spans="1:2" x14ac:dyDescent="0.3">
      <c r="A53" s="98">
        <v>45572</v>
      </c>
      <c r="B53">
        <v>17577</v>
      </c>
    </row>
    <row r="54" spans="1:2" x14ac:dyDescent="0.3">
      <c r="A54" s="98">
        <v>45579</v>
      </c>
      <c r="B54">
        <v>23371</v>
      </c>
    </row>
    <row r="55" spans="1:2" x14ac:dyDescent="0.3">
      <c r="A55" s="98">
        <v>45586</v>
      </c>
      <c r="B55">
        <v>30891</v>
      </c>
    </row>
    <row r="56" spans="1:2" x14ac:dyDescent="0.3">
      <c r="A56" s="98">
        <v>45593</v>
      </c>
      <c r="B56">
        <v>27254</v>
      </c>
    </row>
    <row r="57" spans="1:2" x14ac:dyDescent="0.3">
      <c r="A57" s="38" t="s">
        <v>415</v>
      </c>
      <c r="B57">
        <v>86299</v>
      </c>
    </row>
    <row r="58" spans="1:2" x14ac:dyDescent="0.3">
      <c r="A58" s="98">
        <v>45600</v>
      </c>
      <c r="B58">
        <v>16685</v>
      </c>
    </row>
    <row r="59" spans="1:2" x14ac:dyDescent="0.3">
      <c r="A59" s="98">
        <v>45607</v>
      </c>
      <c r="B59">
        <v>19751</v>
      </c>
    </row>
    <row r="60" spans="1:2" x14ac:dyDescent="0.3">
      <c r="A60" s="98">
        <v>45614</v>
      </c>
      <c r="B60">
        <v>21238</v>
      </c>
    </row>
    <row r="61" spans="1:2" x14ac:dyDescent="0.3">
      <c r="A61" s="98">
        <v>45621</v>
      </c>
      <c r="B61">
        <v>28625</v>
      </c>
    </row>
    <row r="62" spans="1:2" x14ac:dyDescent="0.3">
      <c r="A62" s="38" t="s">
        <v>416</v>
      </c>
      <c r="B62">
        <v>96829</v>
      </c>
    </row>
    <row r="63" spans="1:2" x14ac:dyDescent="0.3">
      <c r="A63" s="98">
        <v>45628</v>
      </c>
      <c r="B63">
        <v>18330</v>
      </c>
    </row>
    <row r="64" spans="1:2" x14ac:dyDescent="0.3">
      <c r="A64" s="98">
        <v>45635</v>
      </c>
      <c r="B64">
        <v>15842</v>
      </c>
    </row>
    <row r="65" spans="1:2" x14ac:dyDescent="0.3">
      <c r="A65" s="98">
        <v>45642</v>
      </c>
      <c r="B65">
        <v>19604</v>
      </c>
    </row>
    <row r="66" spans="1:2" x14ac:dyDescent="0.3">
      <c r="A66" s="98">
        <v>45649</v>
      </c>
      <c r="B66">
        <v>19183</v>
      </c>
    </row>
    <row r="67" spans="1:2" x14ac:dyDescent="0.3">
      <c r="A67" s="98">
        <v>45656</v>
      </c>
      <c r="B67">
        <v>23870</v>
      </c>
    </row>
    <row r="68" spans="1:2" x14ac:dyDescent="0.3">
      <c r="A68" s="38" t="s">
        <v>364</v>
      </c>
      <c r="B68">
        <v>1086398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F347-21D2-4B9F-AB27-20AA0AE871E2}">
  <dimension ref="A3:G21"/>
  <sheetViews>
    <sheetView workbookViewId="0">
      <selection activeCell="C12" sqref="C12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30.21875" bestFit="1" customWidth="1"/>
    <col min="4" max="5" width="15.5546875" bestFit="1" customWidth="1"/>
    <col min="6" max="6" width="57.33203125" customWidth="1"/>
    <col min="7" max="7" width="28" bestFit="1" customWidth="1"/>
    <col min="8" max="199" width="15.5546875" bestFit="1" customWidth="1"/>
    <col min="200" max="200" width="10.77734375" bestFit="1" customWidth="1"/>
  </cols>
  <sheetData>
    <row r="3" spans="1:7" ht="18" x14ac:dyDescent="0.35">
      <c r="A3" s="151" t="s">
        <v>425</v>
      </c>
      <c r="B3" s="152"/>
      <c r="C3" s="152"/>
      <c r="D3" s="152"/>
      <c r="E3" s="42"/>
      <c r="G3" s="100"/>
    </row>
    <row r="4" spans="1:7" x14ac:dyDescent="0.3">
      <c r="E4" s="38"/>
      <c r="G4" s="33"/>
    </row>
    <row r="5" spans="1:7" x14ac:dyDescent="0.3">
      <c r="E5" s="38"/>
      <c r="G5" s="33"/>
    </row>
    <row r="6" spans="1:7" x14ac:dyDescent="0.3">
      <c r="A6" s="63" t="s">
        <v>422</v>
      </c>
      <c r="B6" s="63" t="s">
        <v>423</v>
      </c>
      <c r="C6" s="101" t="s">
        <v>424</v>
      </c>
      <c r="E6" s="38"/>
      <c r="G6" s="33"/>
    </row>
    <row r="7" spans="1:7" x14ac:dyDescent="0.3">
      <c r="A7" s="46" t="s">
        <v>417</v>
      </c>
      <c r="B7" s="14">
        <v>34258.9375</v>
      </c>
      <c r="C7" s="43">
        <v>7.3093713301882303E-3</v>
      </c>
      <c r="E7" s="38"/>
      <c r="G7" s="33"/>
    </row>
    <row r="8" spans="1:7" x14ac:dyDescent="0.3">
      <c r="A8" s="46" t="s">
        <v>418</v>
      </c>
      <c r="B8" s="14">
        <v>27614.625</v>
      </c>
      <c r="C8" s="43">
        <v>6.1681377761632038E-3</v>
      </c>
      <c r="E8" s="38"/>
      <c r="G8" s="33"/>
    </row>
    <row r="9" spans="1:7" x14ac:dyDescent="0.3">
      <c r="A9" s="46" t="s">
        <v>419</v>
      </c>
      <c r="B9" s="14">
        <v>35630.1</v>
      </c>
      <c r="C9" s="43">
        <v>5.281801112864277E-3</v>
      </c>
      <c r="E9" s="38"/>
      <c r="G9" s="33"/>
    </row>
    <row r="10" spans="1:7" x14ac:dyDescent="0.3">
      <c r="A10" s="46" t="s">
        <v>420</v>
      </c>
      <c r="B10" s="14">
        <v>35863.0625</v>
      </c>
      <c r="C10" s="43">
        <v>4.791453414250137E-3</v>
      </c>
      <c r="E10" s="38"/>
      <c r="G10" s="33"/>
    </row>
    <row r="11" spans="1:7" x14ac:dyDescent="0.3">
      <c r="A11" s="46" t="s">
        <v>421</v>
      </c>
      <c r="B11" s="14">
        <v>35986.625</v>
      </c>
      <c r="C11" s="43">
        <v>3.681053387028559E-3</v>
      </c>
      <c r="E11" s="38"/>
      <c r="G11" s="33"/>
    </row>
    <row r="12" spans="1:7" x14ac:dyDescent="0.3">
      <c r="A12" s="46" t="s">
        <v>410</v>
      </c>
      <c r="B12" s="14">
        <v>34480.25</v>
      </c>
      <c r="C12" s="43">
        <v>4.3724623469728295E-2</v>
      </c>
      <c r="E12" s="38"/>
      <c r="G12" s="33"/>
    </row>
    <row r="13" spans="1:7" x14ac:dyDescent="0.3">
      <c r="A13" s="46" t="s">
        <v>411</v>
      </c>
      <c r="B13" s="14">
        <v>34007</v>
      </c>
      <c r="C13" s="43">
        <v>1.9873369679269698E-2</v>
      </c>
      <c r="E13" s="38"/>
      <c r="G13" s="33"/>
    </row>
    <row r="14" spans="1:7" x14ac:dyDescent="0.3">
      <c r="A14" s="46" t="s">
        <v>412</v>
      </c>
      <c r="B14" s="14">
        <v>34065.375</v>
      </c>
      <c r="C14" s="43">
        <v>1.5153834280390332E-2</v>
      </c>
      <c r="E14" s="38"/>
      <c r="G14" s="33"/>
    </row>
    <row r="15" spans="1:7" x14ac:dyDescent="0.3">
      <c r="A15" s="46" t="s">
        <v>413</v>
      </c>
      <c r="B15" s="14">
        <v>33809.050000000003</v>
      </c>
      <c r="C15" s="43">
        <v>1.1224688027926333E-2</v>
      </c>
      <c r="E15" s="38"/>
      <c r="G15" s="33"/>
    </row>
    <row r="16" spans="1:7" x14ac:dyDescent="0.3">
      <c r="A16" s="46" t="s">
        <v>414</v>
      </c>
      <c r="B16" s="14">
        <v>36221.5</v>
      </c>
      <c r="C16" s="43">
        <v>1.143216902897167E-2</v>
      </c>
    </row>
    <row r="17" spans="1:5" x14ac:dyDescent="0.3">
      <c r="A17" s="46" t="s">
        <v>415</v>
      </c>
      <c r="B17" s="14">
        <v>40111.3125</v>
      </c>
      <c r="C17" s="43">
        <v>8.4963329300639986E-3</v>
      </c>
    </row>
    <row r="18" spans="1:5" x14ac:dyDescent="0.3">
      <c r="A18" s="46" t="s">
        <v>416</v>
      </c>
      <c r="B18" s="14">
        <v>34410.15</v>
      </c>
      <c r="C18" s="43">
        <v>6.6673323075731369E-3</v>
      </c>
    </row>
    <row r="20" spans="1:5" x14ac:dyDescent="0.3">
      <c r="A20" s="181" t="s">
        <v>489</v>
      </c>
      <c r="B20" s="177"/>
      <c r="C20" s="177"/>
      <c r="D20" s="177"/>
      <c r="E20" s="177"/>
    </row>
    <row r="21" spans="1:5" x14ac:dyDescent="0.3">
      <c r="A21" s="182" t="s">
        <v>490</v>
      </c>
      <c r="B21" s="177"/>
      <c r="C21" s="177"/>
      <c r="D21" s="177"/>
      <c r="E21" s="177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EAD8-66E9-4008-9475-AD1B5ABE716D}">
  <dimension ref="A1:M301"/>
  <sheetViews>
    <sheetView workbookViewId="0">
      <selection activeCell="K5" sqref="K5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16.77734375" style="73" bestFit="1" customWidth="1"/>
    <col min="4" max="4" width="14.109375" bestFit="1" customWidth="1"/>
    <col min="5" max="5" width="31.88671875" bestFit="1" customWidth="1"/>
    <col min="6" max="6" width="8.5546875" bestFit="1" customWidth="1"/>
    <col min="7" max="7" width="8.77734375" style="18" bestFit="1" customWidth="1"/>
    <col min="8" max="8" width="12.33203125" style="18" bestFit="1" customWidth="1"/>
    <col min="9" max="9" width="7.88671875" style="18" bestFit="1" customWidth="1"/>
    <col min="10" max="10" width="8.33203125" style="18" bestFit="1" customWidth="1"/>
    <col min="11" max="11" width="13.21875" style="18" bestFit="1" customWidth="1"/>
    <col min="12" max="12" width="17.6640625" style="33" bestFit="1" customWidth="1"/>
    <col min="13" max="13" width="26" bestFit="1" customWidth="1"/>
  </cols>
  <sheetData>
    <row r="1" spans="1:13" x14ac:dyDescent="0.3">
      <c r="A1" t="s">
        <v>0</v>
      </c>
      <c r="B1" t="s">
        <v>1</v>
      </c>
      <c r="C1" s="73" t="s">
        <v>2</v>
      </c>
      <c r="D1" t="s">
        <v>3</v>
      </c>
      <c r="E1" t="s">
        <v>4</v>
      </c>
      <c r="F1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33" t="s">
        <v>353</v>
      </c>
      <c r="M1" t="s">
        <v>11</v>
      </c>
    </row>
    <row r="2" spans="1:13" x14ac:dyDescent="0.3">
      <c r="A2" t="s">
        <v>108</v>
      </c>
      <c r="B2" t="s">
        <v>17</v>
      </c>
      <c r="C2" s="73">
        <v>45497</v>
      </c>
      <c r="D2" t="s">
        <v>24</v>
      </c>
      <c r="E2" t="s">
        <v>347</v>
      </c>
      <c r="F2" s="18">
        <v>22914</v>
      </c>
      <c r="G2" s="18">
        <v>954</v>
      </c>
      <c r="H2" s="18">
        <v>584</v>
      </c>
      <c r="I2" s="18">
        <v>1519</v>
      </c>
      <c r="J2" s="18">
        <v>13637</v>
      </c>
      <c r="K2" s="18">
        <v>49847</v>
      </c>
      <c r="L2" s="33">
        <v>0.49054105563022848</v>
      </c>
      <c r="M2" t="s">
        <v>15</v>
      </c>
    </row>
    <row r="3" spans="1:13" x14ac:dyDescent="0.3">
      <c r="A3" t="s">
        <v>227</v>
      </c>
      <c r="B3" t="s">
        <v>13</v>
      </c>
      <c r="C3" s="73">
        <v>45672</v>
      </c>
      <c r="D3" t="s">
        <v>21</v>
      </c>
      <c r="E3" t="s">
        <v>28</v>
      </c>
      <c r="F3" s="18">
        <v>20360</v>
      </c>
      <c r="G3" s="18">
        <v>254</v>
      </c>
      <c r="H3" s="18">
        <v>726</v>
      </c>
      <c r="I3" s="18">
        <v>1995</v>
      </c>
      <c r="J3" s="18">
        <v>14280</v>
      </c>
      <c r="K3" s="18">
        <v>43726</v>
      </c>
      <c r="L3" s="33">
        <v>0.48803915290673738</v>
      </c>
      <c r="M3" t="s">
        <v>25</v>
      </c>
    </row>
    <row r="4" spans="1:13" x14ac:dyDescent="0.3">
      <c r="A4" t="s">
        <v>147</v>
      </c>
      <c r="B4" t="s">
        <v>17</v>
      </c>
      <c r="C4" s="73">
        <v>45502</v>
      </c>
      <c r="D4" t="s">
        <v>24</v>
      </c>
      <c r="E4" t="s">
        <v>343</v>
      </c>
      <c r="F4" s="18">
        <v>19144</v>
      </c>
      <c r="G4" s="18">
        <v>1182</v>
      </c>
      <c r="H4" s="18">
        <v>860</v>
      </c>
      <c r="I4" s="18">
        <v>1398</v>
      </c>
      <c r="J4" s="18">
        <v>4185</v>
      </c>
      <c r="K4" s="18">
        <v>46570</v>
      </c>
      <c r="L4" s="33">
        <v>0.454928065278076</v>
      </c>
      <c r="M4" t="s">
        <v>15</v>
      </c>
    </row>
    <row r="5" spans="1:13" x14ac:dyDescent="0.3">
      <c r="A5" t="s">
        <v>153</v>
      </c>
      <c r="B5" t="s">
        <v>34</v>
      </c>
      <c r="C5" s="73">
        <v>45684</v>
      </c>
      <c r="D5" t="s">
        <v>14</v>
      </c>
      <c r="E5" t="s">
        <v>350</v>
      </c>
      <c r="F5" s="18">
        <v>24415</v>
      </c>
      <c r="G5" s="18">
        <v>860</v>
      </c>
      <c r="H5" s="18">
        <v>931</v>
      </c>
      <c r="I5" s="18">
        <v>320</v>
      </c>
      <c r="J5" s="18">
        <v>65049</v>
      </c>
      <c r="K5" s="18">
        <v>62911</v>
      </c>
      <c r="L5" s="33">
        <v>0.41655672298962027</v>
      </c>
      <c r="M5" t="s">
        <v>15</v>
      </c>
    </row>
    <row r="6" spans="1:13" x14ac:dyDescent="0.3">
      <c r="A6" t="s">
        <v>37</v>
      </c>
      <c r="B6" t="s">
        <v>13</v>
      </c>
      <c r="C6" s="73">
        <v>45614</v>
      </c>
      <c r="D6" t="s">
        <v>30</v>
      </c>
      <c r="E6" t="s">
        <v>347</v>
      </c>
      <c r="F6" s="18">
        <v>21255</v>
      </c>
      <c r="G6" s="18">
        <v>1452</v>
      </c>
      <c r="H6" s="18">
        <v>625</v>
      </c>
      <c r="I6" s="18">
        <v>1624</v>
      </c>
      <c r="J6" s="18">
        <v>21282</v>
      </c>
      <c r="K6" s="18">
        <v>57778</v>
      </c>
      <c r="L6" s="33">
        <v>0.40382152376337016</v>
      </c>
      <c r="M6" t="s">
        <v>38</v>
      </c>
    </row>
    <row r="7" spans="1:13" x14ac:dyDescent="0.3">
      <c r="A7" t="s">
        <v>149</v>
      </c>
      <c r="B7" t="s">
        <v>34</v>
      </c>
      <c r="C7" s="73">
        <v>45457</v>
      </c>
      <c r="D7" t="s">
        <v>24</v>
      </c>
      <c r="E7" t="s">
        <v>350</v>
      </c>
      <c r="F7" s="18">
        <v>17183</v>
      </c>
      <c r="G7" s="18">
        <v>1224</v>
      </c>
      <c r="H7" s="18">
        <v>943</v>
      </c>
      <c r="I7" s="18">
        <v>2010</v>
      </c>
      <c r="J7" s="18">
        <v>21481</v>
      </c>
      <c r="K7" s="18">
        <v>49110</v>
      </c>
      <c r="L7" s="33">
        <v>0.39401343921808185</v>
      </c>
      <c r="M7" t="s">
        <v>22</v>
      </c>
    </row>
    <row r="8" spans="1:13" x14ac:dyDescent="0.3">
      <c r="A8" t="s">
        <v>313</v>
      </c>
      <c r="B8" t="s">
        <v>20</v>
      </c>
      <c r="C8" s="73">
        <v>45519</v>
      </c>
      <c r="D8" t="s">
        <v>24</v>
      </c>
      <c r="E8" t="s">
        <v>346</v>
      </c>
      <c r="F8" s="18">
        <v>14977</v>
      </c>
      <c r="G8" s="18">
        <v>274</v>
      </c>
      <c r="H8" s="18">
        <v>798</v>
      </c>
      <c r="I8" s="18">
        <v>458</v>
      </c>
      <c r="J8" s="18">
        <v>6636</v>
      </c>
      <c r="K8" s="18">
        <v>43654</v>
      </c>
      <c r="L8" s="33">
        <v>0.36764099509781462</v>
      </c>
      <c r="M8" t="s">
        <v>15</v>
      </c>
    </row>
    <row r="9" spans="1:13" x14ac:dyDescent="0.3">
      <c r="A9" t="s">
        <v>252</v>
      </c>
      <c r="B9" t="s">
        <v>34</v>
      </c>
      <c r="C9" s="73">
        <v>45908</v>
      </c>
      <c r="D9" t="s">
        <v>21</v>
      </c>
      <c r="E9" t="s">
        <v>348</v>
      </c>
      <c r="F9" s="18">
        <v>23785</v>
      </c>
      <c r="G9" s="18">
        <v>1013</v>
      </c>
      <c r="H9" s="18">
        <v>468</v>
      </c>
      <c r="I9" s="18">
        <v>1628</v>
      </c>
      <c r="J9" s="18">
        <v>8272</v>
      </c>
      <c r="K9" s="18">
        <v>71348</v>
      </c>
      <c r="L9" s="33">
        <v>0.35412345125301342</v>
      </c>
      <c r="M9" t="s">
        <v>18</v>
      </c>
    </row>
    <row r="10" spans="1:13" x14ac:dyDescent="0.3">
      <c r="A10" t="s">
        <v>257</v>
      </c>
      <c r="B10" t="s">
        <v>34</v>
      </c>
      <c r="C10" s="73">
        <v>45909</v>
      </c>
      <c r="D10" t="s">
        <v>14</v>
      </c>
      <c r="E10" t="s">
        <v>347</v>
      </c>
      <c r="F10" s="18">
        <v>19260</v>
      </c>
      <c r="G10" s="18">
        <v>668</v>
      </c>
      <c r="H10" s="18">
        <v>994</v>
      </c>
      <c r="I10" s="18">
        <v>934</v>
      </c>
      <c r="J10" s="18">
        <v>20509</v>
      </c>
      <c r="K10" s="18">
        <v>61636</v>
      </c>
      <c r="L10" s="33">
        <v>0.33944448049841003</v>
      </c>
      <c r="M10" t="s">
        <v>18</v>
      </c>
    </row>
    <row r="11" spans="1:13" x14ac:dyDescent="0.3">
      <c r="A11" t="s">
        <v>211</v>
      </c>
      <c r="B11" t="s">
        <v>20</v>
      </c>
      <c r="C11" s="73">
        <v>45668</v>
      </c>
      <c r="D11" t="s">
        <v>14</v>
      </c>
      <c r="E11" t="s">
        <v>344</v>
      </c>
      <c r="F11" s="18">
        <v>21181</v>
      </c>
      <c r="G11" s="18">
        <v>1242</v>
      </c>
      <c r="H11" s="18">
        <v>963</v>
      </c>
      <c r="I11" s="18">
        <v>1689</v>
      </c>
      <c r="J11" s="18">
        <v>49329</v>
      </c>
      <c r="K11" s="18">
        <v>69165</v>
      </c>
      <c r="L11" s="33">
        <v>0.33811899081905589</v>
      </c>
      <c r="M11" t="s">
        <v>15</v>
      </c>
    </row>
    <row r="12" spans="1:13" x14ac:dyDescent="0.3">
      <c r="A12" t="s">
        <v>132</v>
      </c>
      <c r="B12" t="s">
        <v>34</v>
      </c>
      <c r="C12" s="73">
        <v>45692</v>
      </c>
      <c r="D12" t="s">
        <v>30</v>
      </c>
      <c r="E12" t="s">
        <v>348</v>
      </c>
      <c r="F12" s="18">
        <v>23833</v>
      </c>
      <c r="G12" s="18">
        <v>555</v>
      </c>
      <c r="H12" s="18">
        <v>523</v>
      </c>
      <c r="I12" s="18">
        <v>1330</v>
      </c>
      <c r="J12" s="18">
        <v>69141</v>
      </c>
      <c r="K12" s="18">
        <v>73997</v>
      </c>
      <c r="L12" s="33">
        <v>0.33664878305877266</v>
      </c>
      <c r="M12" t="s">
        <v>25</v>
      </c>
    </row>
    <row r="13" spans="1:13" x14ac:dyDescent="0.3">
      <c r="A13" t="s">
        <v>200</v>
      </c>
      <c r="B13" t="s">
        <v>17</v>
      </c>
      <c r="C13" s="73">
        <v>45465</v>
      </c>
      <c r="D13" t="s">
        <v>30</v>
      </c>
      <c r="E13" t="s">
        <v>343</v>
      </c>
      <c r="F13" s="18">
        <v>13479</v>
      </c>
      <c r="G13" s="18">
        <v>1189</v>
      </c>
      <c r="H13" s="18">
        <v>695</v>
      </c>
      <c r="I13" s="18">
        <v>416</v>
      </c>
      <c r="J13" s="18">
        <v>30229</v>
      </c>
      <c r="K13" s="18">
        <v>45704</v>
      </c>
      <c r="L13" s="33">
        <v>0.33614125678277612</v>
      </c>
      <c r="M13" t="s">
        <v>15</v>
      </c>
    </row>
    <row r="14" spans="1:13" x14ac:dyDescent="0.3">
      <c r="A14" t="s">
        <v>280</v>
      </c>
      <c r="B14" t="s">
        <v>20</v>
      </c>
      <c r="C14" s="73">
        <v>45671</v>
      </c>
      <c r="D14" t="s">
        <v>30</v>
      </c>
      <c r="E14" t="s">
        <v>350</v>
      </c>
      <c r="F14" s="18">
        <v>24350</v>
      </c>
      <c r="G14" s="18">
        <v>460</v>
      </c>
      <c r="H14" s="18">
        <v>666</v>
      </c>
      <c r="I14" s="18">
        <v>814</v>
      </c>
      <c r="J14" s="18">
        <v>21120</v>
      </c>
      <c r="K14" s="18">
        <v>76914</v>
      </c>
      <c r="L14" s="33">
        <v>0.33122708479600593</v>
      </c>
      <c r="M14" t="s">
        <v>15</v>
      </c>
    </row>
    <row r="15" spans="1:13" x14ac:dyDescent="0.3">
      <c r="A15" t="s">
        <v>249</v>
      </c>
      <c r="B15" t="s">
        <v>34</v>
      </c>
      <c r="C15" s="73">
        <v>45608</v>
      </c>
      <c r="D15" t="s">
        <v>24</v>
      </c>
      <c r="E15" t="s">
        <v>345</v>
      </c>
      <c r="F15" s="18">
        <v>17913</v>
      </c>
      <c r="G15" s="18">
        <v>1311</v>
      </c>
      <c r="H15" s="18">
        <v>859</v>
      </c>
      <c r="I15" s="18">
        <v>405</v>
      </c>
      <c r="J15" s="18">
        <v>59842</v>
      </c>
      <c r="K15" s="18">
        <v>62612</v>
      </c>
      <c r="L15" s="33">
        <v>0.32075321024723696</v>
      </c>
      <c r="M15" t="s">
        <v>22</v>
      </c>
    </row>
    <row r="16" spans="1:13" x14ac:dyDescent="0.3">
      <c r="A16" t="s">
        <v>190</v>
      </c>
      <c r="B16" t="s">
        <v>17</v>
      </c>
      <c r="C16" s="73">
        <v>45715</v>
      </c>
      <c r="D16" t="s">
        <v>14</v>
      </c>
      <c r="E16" t="s">
        <v>344</v>
      </c>
      <c r="F16" s="18">
        <v>16178</v>
      </c>
      <c r="G16" s="18">
        <v>1048</v>
      </c>
      <c r="H16" s="18">
        <v>871</v>
      </c>
      <c r="I16" s="18">
        <v>2553</v>
      </c>
      <c r="J16" s="18">
        <v>39025</v>
      </c>
      <c r="K16" s="18">
        <v>59508</v>
      </c>
      <c r="L16" s="33">
        <v>0.30411037171472743</v>
      </c>
      <c r="M16" t="s">
        <v>15</v>
      </c>
    </row>
    <row r="17" spans="1:13" x14ac:dyDescent="0.3">
      <c r="A17" t="s">
        <v>177</v>
      </c>
      <c r="B17" t="s">
        <v>13</v>
      </c>
      <c r="C17" s="73">
        <v>45499</v>
      </c>
      <c r="D17" t="s">
        <v>24</v>
      </c>
      <c r="E17" t="s">
        <v>55</v>
      </c>
      <c r="F17" s="18">
        <v>18282</v>
      </c>
      <c r="G17" s="18">
        <v>224</v>
      </c>
      <c r="H17" s="18">
        <v>962</v>
      </c>
      <c r="I17" s="18">
        <v>890</v>
      </c>
      <c r="J17" s="18">
        <v>35105</v>
      </c>
      <c r="K17" s="18">
        <v>64089</v>
      </c>
      <c r="L17" s="33">
        <v>0.30376507669022768</v>
      </c>
      <c r="M17" t="s">
        <v>25</v>
      </c>
    </row>
    <row r="18" spans="1:13" x14ac:dyDescent="0.3">
      <c r="A18" t="s">
        <v>166</v>
      </c>
      <c r="B18" t="s">
        <v>20</v>
      </c>
      <c r="C18" s="73">
        <v>45488</v>
      </c>
      <c r="D18" t="s">
        <v>21</v>
      </c>
      <c r="E18" t="s">
        <v>347</v>
      </c>
      <c r="F18" s="18">
        <v>14891</v>
      </c>
      <c r="G18" s="18">
        <v>674</v>
      </c>
      <c r="H18" s="18">
        <v>521</v>
      </c>
      <c r="I18" s="18">
        <v>1091</v>
      </c>
      <c r="J18" s="18">
        <v>18101</v>
      </c>
      <c r="K18" s="18">
        <v>53669</v>
      </c>
      <c r="L18" s="33">
        <v>0.29972609886526674</v>
      </c>
      <c r="M18" t="s">
        <v>15</v>
      </c>
    </row>
    <row r="19" spans="1:13" x14ac:dyDescent="0.3">
      <c r="A19" t="s">
        <v>109</v>
      </c>
      <c r="B19" t="s">
        <v>20</v>
      </c>
      <c r="C19" s="73">
        <v>45580</v>
      </c>
      <c r="D19" t="s">
        <v>30</v>
      </c>
      <c r="E19" t="s">
        <v>28</v>
      </c>
      <c r="F19" s="18">
        <v>17781</v>
      </c>
      <c r="G19" s="18">
        <v>993</v>
      </c>
      <c r="H19" s="18">
        <v>627</v>
      </c>
      <c r="I19" s="18">
        <v>2187</v>
      </c>
      <c r="J19" s="18">
        <v>9609</v>
      </c>
      <c r="K19" s="18">
        <v>66155</v>
      </c>
      <c r="L19" s="33">
        <v>0.29326581513113142</v>
      </c>
      <c r="M19" t="s">
        <v>25</v>
      </c>
    </row>
    <row r="20" spans="1:13" x14ac:dyDescent="0.3">
      <c r="A20" t="s">
        <v>222</v>
      </c>
      <c r="B20" t="s">
        <v>34</v>
      </c>
      <c r="C20" s="73">
        <v>45918</v>
      </c>
      <c r="D20" t="s">
        <v>21</v>
      </c>
      <c r="E20" t="s">
        <v>55</v>
      </c>
      <c r="F20" s="18">
        <v>10152</v>
      </c>
      <c r="G20" s="18">
        <v>1445</v>
      </c>
      <c r="H20" s="18">
        <v>526</v>
      </c>
      <c r="I20" s="18">
        <v>513</v>
      </c>
      <c r="J20" s="18">
        <v>18959</v>
      </c>
      <c r="K20" s="18">
        <v>43712</v>
      </c>
      <c r="L20" s="33">
        <v>0.27733803074670571</v>
      </c>
      <c r="M20" t="s">
        <v>18</v>
      </c>
    </row>
    <row r="21" spans="1:13" x14ac:dyDescent="0.3">
      <c r="A21" t="s">
        <v>162</v>
      </c>
      <c r="B21" t="s">
        <v>20</v>
      </c>
      <c r="C21" s="73">
        <v>45932</v>
      </c>
      <c r="D21" t="s">
        <v>30</v>
      </c>
      <c r="E21" t="s">
        <v>345</v>
      </c>
      <c r="F21" s="18">
        <v>12161</v>
      </c>
      <c r="G21" s="18">
        <v>736</v>
      </c>
      <c r="H21" s="18">
        <v>876</v>
      </c>
      <c r="I21" s="18">
        <v>1233</v>
      </c>
      <c r="J21" s="18">
        <v>21337</v>
      </c>
      <c r="K21" s="18">
        <v>50225</v>
      </c>
      <c r="L21" s="33">
        <v>0.27422598307615731</v>
      </c>
      <c r="M21" t="s">
        <v>18</v>
      </c>
    </row>
    <row r="22" spans="1:13" x14ac:dyDescent="0.3">
      <c r="A22" t="s">
        <v>26</v>
      </c>
      <c r="B22" t="s">
        <v>13</v>
      </c>
      <c r="C22" s="73">
        <v>45904</v>
      </c>
      <c r="D22" t="s">
        <v>24</v>
      </c>
      <c r="E22" t="s">
        <v>343</v>
      </c>
      <c r="F22" s="18">
        <v>21708</v>
      </c>
      <c r="G22" s="18">
        <v>435</v>
      </c>
      <c r="H22" s="18">
        <v>317</v>
      </c>
      <c r="I22" s="18">
        <v>1213</v>
      </c>
      <c r="J22" s="18">
        <v>70701</v>
      </c>
      <c r="K22" s="18">
        <v>83585</v>
      </c>
      <c r="L22" s="33">
        <v>0.26870850032900639</v>
      </c>
      <c r="M22" t="s">
        <v>18</v>
      </c>
    </row>
    <row r="23" spans="1:13" x14ac:dyDescent="0.3">
      <c r="A23" t="s">
        <v>106</v>
      </c>
      <c r="B23" t="s">
        <v>17</v>
      </c>
      <c r="C23" s="73">
        <v>45456</v>
      </c>
      <c r="D23" t="s">
        <v>14</v>
      </c>
      <c r="E23" t="s">
        <v>343</v>
      </c>
      <c r="F23" s="18">
        <v>14173</v>
      </c>
      <c r="G23" s="18">
        <v>294</v>
      </c>
      <c r="H23" s="18">
        <v>257</v>
      </c>
      <c r="I23" s="18">
        <v>1288</v>
      </c>
      <c r="J23" s="18">
        <v>39466</v>
      </c>
      <c r="K23" s="18">
        <v>55563</v>
      </c>
      <c r="L23" s="33">
        <v>0.26499649047027696</v>
      </c>
      <c r="M23" t="s">
        <v>38</v>
      </c>
    </row>
    <row r="24" spans="1:13" x14ac:dyDescent="0.3">
      <c r="A24" t="s">
        <v>176</v>
      </c>
      <c r="B24" t="s">
        <v>17</v>
      </c>
      <c r="C24" s="73">
        <v>45526</v>
      </c>
      <c r="D24" t="s">
        <v>24</v>
      </c>
      <c r="E24" t="s">
        <v>351</v>
      </c>
      <c r="F24" s="18">
        <v>16124</v>
      </c>
      <c r="G24" s="18">
        <v>863</v>
      </c>
      <c r="H24" s="18">
        <v>337</v>
      </c>
      <c r="I24" s="18">
        <v>819</v>
      </c>
      <c r="J24" s="18">
        <v>85788</v>
      </c>
      <c r="K24" s="18">
        <v>68625</v>
      </c>
      <c r="L24" s="33">
        <v>0.25244444444444447</v>
      </c>
      <c r="M24" t="s">
        <v>25</v>
      </c>
    </row>
    <row r="25" spans="1:13" x14ac:dyDescent="0.3">
      <c r="A25" t="s">
        <v>246</v>
      </c>
      <c r="B25" t="s">
        <v>13</v>
      </c>
      <c r="C25" s="73">
        <v>45445</v>
      </c>
      <c r="D25" t="s">
        <v>24</v>
      </c>
      <c r="E25" t="s">
        <v>344</v>
      </c>
      <c r="F25" s="18">
        <v>14199</v>
      </c>
      <c r="G25" s="18">
        <v>1206</v>
      </c>
      <c r="H25" s="18">
        <v>954</v>
      </c>
      <c r="I25" s="18">
        <v>2009</v>
      </c>
      <c r="J25" s="18">
        <v>8</v>
      </c>
      <c r="K25" s="18">
        <v>65537</v>
      </c>
      <c r="L25" s="33">
        <v>0.24961472145505592</v>
      </c>
      <c r="M25" t="s">
        <v>22</v>
      </c>
    </row>
    <row r="26" spans="1:13" x14ac:dyDescent="0.3">
      <c r="A26" t="s">
        <v>46</v>
      </c>
      <c r="B26" t="s">
        <v>34</v>
      </c>
      <c r="C26" s="73">
        <v>45908</v>
      </c>
      <c r="D26" t="s">
        <v>30</v>
      </c>
      <c r="E26" t="s">
        <v>351</v>
      </c>
      <c r="F26" s="18">
        <v>22309</v>
      </c>
      <c r="G26" s="18">
        <v>773</v>
      </c>
      <c r="H26" s="18">
        <v>854</v>
      </c>
      <c r="I26" s="18">
        <v>2387</v>
      </c>
      <c r="J26" s="18">
        <v>72396</v>
      </c>
      <c r="K26" s="18">
        <v>97056</v>
      </c>
      <c r="L26" s="33">
        <v>0.24662050774810418</v>
      </c>
      <c r="M26" t="s">
        <v>18</v>
      </c>
    </row>
    <row r="27" spans="1:13" x14ac:dyDescent="0.3">
      <c r="A27" t="s">
        <v>270</v>
      </c>
      <c r="B27" t="s">
        <v>20</v>
      </c>
      <c r="C27" s="73">
        <v>45913</v>
      </c>
      <c r="D27" t="s">
        <v>24</v>
      </c>
      <c r="E27" t="s">
        <v>351</v>
      </c>
      <c r="F27" s="18">
        <v>15046</v>
      </c>
      <c r="G27" s="18">
        <v>281</v>
      </c>
      <c r="H27" s="18">
        <v>515</v>
      </c>
      <c r="I27" s="18">
        <v>550</v>
      </c>
      <c r="J27" s="18">
        <v>22583</v>
      </c>
      <c r="K27" s="18">
        <v>64596</v>
      </c>
      <c r="L27" s="33">
        <v>0.24524738373893121</v>
      </c>
      <c r="M27" t="s">
        <v>18</v>
      </c>
    </row>
    <row r="28" spans="1:13" x14ac:dyDescent="0.3">
      <c r="A28" t="s">
        <v>102</v>
      </c>
      <c r="B28" t="s">
        <v>34</v>
      </c>
      <c r="C28" s="73">
        <v>45603</v>
      </c>
      <c r="D28" t="s">
        <v>30</v>
      </c>
      <c r="E28" t="s">
        <v>28</v>
      </c>
      <c r="F28" s="18">
        <v>17254</v>
      </c>
      <c r="G28" s="18">
        <v>246</v>
      </c>
      <c r="H28" s="18">
        <v>952</v>
      </c>
      <c r="I28" s="18">
        <v>871</v>
      </c>
      <c r="J28" s="18">
        <v>14957</v>
      </c>
      <c r="K28" s="18">
        <v>75946</v>
      </c>
      <c r="L28" s="33">
        <v>0.24296210465330631</v>
      </c>
      <c r="M28" t="s">
        <v>38</v>
      </c>
    </row>
    <row r="29" spans="1:13" x14ac:dyDescent="0.3">
      <c r="A29" t="s">
        <v>242</v>
      </c>
      <c r="B29" t="s">
        <v>20</v>
      </c>
      <c r="C29" s="73">
        <v>45502</v>
      </c>
      <c r="D29" t="s">
        <v>21</v>
      </c>
      <c r="E29" t="s">
        <v>343</v>
      </c>
      <c r="F29" s="18">
        <v>22590</v>
      </c>
      <c r="G29" s="18">
        <v>1462</v>
      </c>
      <c r="H29" s="18">
        <v>966</v>
      </c>
      <c r="I29" s="18">
        <v>2463</v>
      </c>
      <c r="J29" s="18">
        <v>29689</v>
      </c>
      <c r="K29" s="18">
        <v>103449</v>
      </c>
      <c r="L29" s="33">
        <v>0.24183897379385011</v>
      </c>
      <c r="M29" t="s">
        <v>22</v>
      </c>
    </row>
    <row r="30" spans="1:13" x14ac:dyDescent="0.3">
      <c r="A30" t="s">
        <v>77</v>
      </c>
      <c r="B30" t="s">
        <v>13</v>
      </c>
      <c r="C30" s="73">
        <v>45456</v>
      </c>
      <c r="D30" t="s">
        <v>30</v>
      </c>
      <c r="E30" t="s">
        <v>348</v>
      </c>
      <c r="F30" s="18">
        <v>23164</v>
      </c>
      <c r="G30" s="18">
        <v>1122</v>
      </c>
      <c r="H30" s="18">
        <v>900</v>
      </c>
      <c r="I30" s="18">
        <v>888</v>
      </c>
      <c r="J30" s="18">
        <v>36938</v>
      </c>
      <c r="K30" s="18">
        <v>104674</v>
      </c>
      <c r="L30" s="33">
        <v>0.24061371496264594</v>
      </c>
      <c r="M30" t="s">
        <v>15</v>
      </c>
    </row>
    <row r="31" spans="1:13" x14ac:dyDescent="0.3">
      <c r="A31" t="s">
        <v>27</v>
      </c>
      <c r="B31" t="s">
        <v>17</v>
      </c>
      <c r="C31" s="73">
        <v>45905</v>
      </c>
      <c r="D31" t="s">
        <v>14</v>
      </c>
      <c r="E31" t="s">
        <v>28</v>
      </c>
      <c r="F31" s="18">
        <v>14677</v>
      </c>
      <c r="G31" s="18">
        <v>533</v>
      </c>
      <c r="H31" s="18">
        <v>759</v>
      </c>
      <c r="I31" s="18">
        <v>753</v>
      </c>
      <c r="J31" s="18">
        <v>23275</v>
      </c>
      <c r="K31" s="18">
        <v>66958</v>
      </c>
      <c r="L31" s="33">
        <v>0.23849278652289496</v>
      </c>
      <c r="M31" t="s">
        <v>18</v>
      </c>
    </row>
    <row r="32" spans="1:13" x14ac:dyDescent="0.3">
      <c r="A32" t="s">
        <v>315</v>
      </c>
      <c r="B32" t="s">
        <v>20</v>
      </c>
      <c r="C32" s="73">
        <v>45624</v>
      </c>
      <c r="D32" t="s">
        <v>30</v>
      </c>
      <c r="E32" t="s">
        <v>347</v>
      </c>
      <c r="F32" s="18">
        <v>18644</v>
      </c>
      <c r="G32" s="18">
        <v>1369</v>
      </c>
      <c r="H32" s="18">
        <v>887</v>
      </c>
      <c r="I32" s="18">
        <v>1256</v>
      </c>
      <c r="J32" s="18">
        <v>43415</v>
      </c>
      <c r="K32" s="18">
        <v>88368</v>
      </c>
      <c r="L32" s="33">
        <v>0.23651095419156257</v>
      </c>
      <c r="M32" t="s">
        <v>22</v>
      </c>
    </row>
    <row r="33" spans="1:13" x14ac:dyDescent="0.3">
      <c r="A33" t="s">
        <v>212</v>
      </c>
      <c r="B33" t="s">
        <v>20</v>
      </c>
      <c r="C33" s="73">
        <v>45528</v>
      </c>
      <c r="D33" t="s">
        <v>24</v>
      </c>
      <c r="E33" t="s">
        <v>345</v>
      </c>
      <c r="F33" s="18">
        <v>24890</v>
      </c>
      <c r="G33" s="18">
        <v>217</v>
      </c>
      <c r="H33" s="18">
        <v>178</v>
      </c>
      <c r="I33" s="18">
        <v>906</v>
      </c>
      <c r="J33" s="18">
        <v>54826</v>
      </c>
      <c r="K33" s="18">
        <v>107203</v>
      </c>
      <c r="L33" s="33">
        <v>0.23586093672751696</v>
      </c>
      <c r="M33" t="s">
        <v>22</v>
      </c>
    </row>
    <row r="34" spans="1:13" x14ac:dyDescent="0.3">
      <c r="A34" t="s">
        <v>87</v>
      </c>
      <c r="B34" t="s">
        <v>13</v>
      </c>
      <c r="C34" s="73">
        <v>45540</v>
      </c>
      <c r="D34" t="s">
        <v>30</v>
      </c>
      <c r="E34" t="s">
        <v>55</v>
      </c>
      <c r="F34" s="18">
        <v>16489</v>
      </c>
      <c r="G34" s="18">
        <v>395</v>
      </c>
      <c r="H34" s="18">
        <v>350</v>
      </c>
      <c r="I34" s="18">
        <v>2364</v>
      </c>
      <c r="J34" s="18">
        <v>43239</v>
      </c>
      <c r="K34" s="18">
        <v>73397</v>
      </c>
      <c r="L34" s="33">
        <v>0.23480523727127811</v>
      </c>
      <c r="M34" t="s">
        <v>38</v>
      </c>
    </row>
    <row r="35" spans="1:13" x14ac:dyDescent="0.3">
      <c r="A35" t="s">
        <v>312</v>
      </c>
      <c r="B35" t="s">
        <v>13</v>
      </c>
      <c r="C35" s="73">
        <v>45919</v>
      </c>
      <c r="D35" t="s">
        <v>21</v>
      </c>
      <c r="E35" t="s">
        <v>348</v>
      </c>
      <c r="F35" s="18">
        <v>22128</v>
      </c>
      <c r="G35" s="18">
        <v>1004</v>
      </c>
      <c r="H35" s="18">
        <v>690</v>
      </c>
      <c r="I35" s="18">
        <v>2048</v>
      </c>
      <c r="J35" s="18">
        <v>19443</v>
      </c>
      <c r="K35" s="18">
        <v>103646</v>
      </c>
      <c r="L35" s="33">
        <v>0.22984003241803833</v>
      </c>
      <c r="M35" t="s">
        <v>18</v>
      </c>
    </row>
    <row r="36" spans="1:13" x14ac:dyDescent="0.3">
      <c r="A36" t="s">
        <v>131</v>
      </c>
      <c r="B36" t="s">
        <v>34</v>
      </c>
      <c r="C36" s="73">
        <v>45457</v>
      </c>
      <c r="D36" t="s">
        <v>30</v>
      </c>
      <c r="E36" t="s">
        <v>349</v>
      </c>
      <c r="F36" s="18">
        <v>21856</v>
      </c>
      <c r="G36" s="18">
        <v>1203</v>
      </c>
      <c r="H36" s="18">
        <v>634</v>
      </c>
      <c r="I36" s="18">
        <v>2807</v>
      </c>
      <c r="J36" s="18">
        <v>3647</v>
      </c>
      <c r="K36" s="18">
        <v>104178</v>
      </c>
      <c r="L36" s="33">
        <v>0.22742805582752595</v>
      </c>
      <c r="M36" t="s">
        <v>25</v>
      </c>
    </row>
    <row r="37" spans="1:13" x14ac:dyDescent="0.3">
      <c r="A37" t="s">
        <v>145</v>
      </c>
      <c r="B37" t="s">
        <v>17</v>
      </c>
      <c r="C37" s="73">
        <v>45695</v>
      </c>
      <c r="D37" t="s">
        <v>30</v>
      </c>
      <c r="E37" t="s">
        <v>352</v>
      </c>
      <c r="F37" s="18">
        <v>20290</v>
      </c>
      <c r="G37" s="18">
        <v>619</v>
      </c>
      <c r="H37" s="18">
        <v>927</v>
      </c>
      <c r="I37" s="18">
        <v>1186</v>
      </c>
      <c r="J37" s="18">
        <v>8924</v>
      </c>
      <c r="K37" s="18">
        <v>96503</v>
      </c>
      <c r="L37" s="33">
        <v>0.22627275835984373</v>
      </c>
      <c r="M37" t="s">
        <v>38</v>
      </c>
    </row>
    <row r="38" spans="1:13" x14ac:dyDescent="0.3">
      <c r="A38" t="s">
        <v>196</v>
      </c>
      <c r="B38" t="s">
        <v>34</v>
      </c>
      <c r="C38" s="73">
        <v>45775</v>
      </c>
      <c r="D38" t="s">
        <v>30</v>
      </c>
      <c r="E38" t="s">
        <v>351</v>
      </c>
      <c r="F38" s="18">
        <v>15013</v>
      </c>
      <c r="G38" s="18">
        <v>1286</v>
      </c>
      <c r="H38" s="18">
        <v>599</v>
      </c>
      <c r="I38" s="18">
        <v>2001</v>
      </c>
      <c r="J38" s="18">
        <v>67839</v>
      </c>
      <c r="K38" s="18">
        <v>76059</v>
      </c>
      <c r="L38" s="33">
        <v>0.22216963147030594</v>
      </c>
      <c r="M38" t="s">
        <v>15</v>
      </c>
    </row>
    <row r="39" spans="1:13" x14ac:dyDescent="0.3">
      <c r="A39" t="s">
        <v>72</v>
      </c>
      <c r="B39" t="s">
        <v>17</v>
      </c>
      <c r="C39" s="73">
        <v>45779</v>
      </c>
      <c r="D39" t="s">
        <v>21</v>
      </c>
      <c r="E39" t="s">
        <v>350</v>
      </c>
      <c r="F39" s="18">
        <v>17444</v>
      </c>
      <c r="G39" s="18">
        <v>1402</v>
      </c>
      <c r="H39" s="18">
        <v>218</v>
      </c>
      <c r="I39" s="18">
        <v>725</v>
      </c>
      <c r="J39" s="18">
        <v>8710</v>
      </c>
      <c r="K39" s="18">
        <v>85893</v>
      </c>
      <c r="L39" s="33">
        <v>0.22195056640238436</v>
      </c>
      <c r="M39" t="s">
        <v>38</v>
      </c>
    </row>
    <row r="40" spans="1:13" x14ac:dyDescent="0.3">
      <c r="A40" t="s">
        <v>213</v>
      </c>
      <c r="B40" t="s">
        <v>34</v>
      </c>
      <c r="C40" s="73">
        <v>45648</v>
      </c>
      <c r="D40" t="s">
        <v>21</v>
      </c>
      <c r="E40" t="s">
        <v>352</v>
      </c>
      <c r="F40" s="18">
        <v>7870</v>
      </c>
      <c r="G40" s="18">
        <v>968</v>
      </c>
      <c r="H40" s="18">
        <v>626</v>
      </c>
      <c r="I40" s="18">
        <v>465</v>
      </c>
      <c r="J40" s="18">
        <v>27184</v>
      </c>
      <c r="K40" s="18">
        <v>44114</v>
      </c>
      <c r="L40" s="33">
        <v>0.2145350682323072</v>
      </c>
      <c r="M40" t="s">
        <v>38</v>
      </c>
    </row>
    <row r="41" spans="1:13" x14ac:dyDescent="0.3">
      <c r="A41" t="s">
        <v>216</v>
      </c>
      <c r="B41" t="s">
        <v>34</v>
      </c>
      <c r="C41" s="73">
        <v>45569</v>
      </c>
      <c r="D41" t="s">
        <v>14</v>
      </c>
      <c r="E41" t="s">
        <v>347</v>
      </c>
      <c r="F41" s="18">
        <v>21729</v>
      </c>
      <c r="G41" s="18">
        <v>1209</v>
      </c>
      <c r="H41" s="18">
        <v>897</v>
      </c>
      <c r="I41" s="18">
        <v>1624</v>
      </c>
      <c r="J41" s="18">
        <v>38771</v>
      </c>
      <c r="K41" s="18">
        <v>113297</v>
      </c>
      <c r="L41" s="33">
        <v>0.21037626768581694</v>
      </c>
      <c r="M41" t="s">
        <v>25</v>
      </c>
    </row>
    <row r="42" spans="1:13" x14ac:dyDescent="0.3">
      <c r="A42" t="s">
        <v>277</v>
      </c>
      <c r="B42" t="s">
        <v>34</v>
      </c>
      <c r="C42" s="73">
        <v>45915</v>
      </c>
      <c r="D42" t="s">
        <v>14</v>
      </c>
      <c r="E42" t="s">
        <v>347</v>
      </c>
      <c r="F42" s="18">
        <v>18389</v>
      </c>
      <c r="G42" s="18">
        <v>670</v>
      </c>
      <c r="H42" s="18">
        <v>655</v>
      </c>
      <c r="I42" s="18">
        <v>321</v>
      </c>
      <c r="J42" s="18">
        <v>21869</v>
      </c>
      <c r="K42" s="18">
        <v>96088</v>
      </c>
      <c r="L42" s="33">
        <v>0.2051660977437349</v>
      </c>
      <c r="M42" t="s">
        <v>18</v>
      </c>
    </row>
    <row r="43" spans="1:13" x14ac:dyDescent="0.3">
      <c r="A43" t="s">
        <v>100</v>
      </c>
      <c r="B43" t="s">
        <v>34</v>
      </c>
      <c r="C43" s="73">
        <v>45593</v>
      </c>
      <c r="D43" t="s">
        <v>30</v>
      </c>
      <c r="E43" t="s">
        <v>346</v>
      </c>
      <c r="F43" s="18">
        <v>21198</v>
      </c>
      <c r="G43" s="18">
        <v>1484</v>
      </c>
      <c r="H43" s="18">
        <v>174</v>
      </c>
      <c r="I43" s="18">
        <v>1293</v>
      </c>
      <c r="J43" s="18">
        <v>16330</v>
      </c>
      <c r="K43" s="18">
        <v>111635</v>
      </c>
      <c r="L43" s="33">
        <v>0.20473865723115511</v>
      </c>
      <c r="M43" t="s">
        <v>25</v>
      </c>
    </row>
    <row r="44" spans="1:13" x14ac:dyDescent="0.3">
      <c r="A44" t="s">
        <v>68</v>
      </c>
      <c r="B44" t="s">
        <v>13</v>
      </c>
      <c r="C44" s="73">
        <v>45721</v>
      </c>
      <c r="D44" t="s">
        <v>30</v>
      </c>
      <c r="E44" t="s">
        <v>350</v>
      </c>
      <c r="F44" s="18">
        <v>12916</v>
      </c>
      <c r="G44" s="18">
        <v>1262</v>
      </c>
      <c r="H44" s="18">
        <v>772</v>
      </c>
      <c r="I44" s="18">
        <v>856</v>
      </c>
      <c r="J44" s="18">
        <v>11496</v>
      </c>
      <c r="K44" s="18">
        <v>75046</v>
      </c>
      <c r="L44" s="33">
        <v>0.19921115049436347</v>
      </c>
      <c r="M44" t="s">
        <v>22</v>
      </c>
    </row>
    <row r="45" spans="1:13" x14ac:dyDescent="0.3">
      <c r="A45" t="s">
        <v>272</v>
      </c>
      <c r="B45" t="s">
        <v>34</v>
      </c>
      <c r="C45" s="73">
        <v>45576</v>
      </c>
      <c r="D45" t="s">
        <v>30</v>
      </c>
      <c r="E45" t="s">
        <v>349</v>
      </c>
      <c r="F45" s="18">
        <v>19447</v>
      </c>
      <c r="G45" s="18">
        <v>1014</v>
      </c>
      <c r="H45" s="18">
        <v>256</v>
      </c>
      <c r="I45" s="18">
        <v>2354</v>
      </c>
      <c r="J45" s="18">
        <v>5472</v>
      </c>
      <c r="K45" s="18">
        <v>104106</v>
      </c>
      <c r="L45" s="33">
        <v>0.19899909707413599</v>
      </c>
      <c r="M45" t="s">
        <v>15</v>
      </c>
    </row>
    <row r="46" spans="1:13" x14ac:dyDescent="0.3">
      <c r="A46" t="s">
        <v>286</v>
      </c>
      <c r="B46" t="s">
        <v>13</v>
      </c>
      <c r="C46" s="73">
        <v>45700</v>
      </c>
      <c r="D46" t="s">
        <v>24</v>
      </c>
      <c r="E46" t="s">
        <v>344</v>
      </c>
      <c r="F46" s="18">
        <v>15234</v>
      </c>
      <c r="G46" s="18">
        <v>1276</v>
      </c>
      <c r="H46" s="18">
        <v>670</v>
      </c>
      <c r="I46" s="18">
        <v>1860</v>
      </c>
      <c r="J46" s="18">
        <v>60397</v>
      </c>
      <c r="K46" s="18">
        <v>86413</v>
      </c>
      <c r="L46" s="33">
        <v>0.19881267864788862</v>
      </c>
      <c r="M46" t="s">
        <v>38</v>
      </c>
    </row>
    <row r="47" spans="1:13" x14ac:dyDescent="0.3">
      <c r="A47" t="s">
        <v>119</v>
      </c>
      <c r="B47" t="s">
        <v>34</v>
      </c>
      <c r="C47" s="73">
        <v>45637</v>
      </c>
      <c r="D47" t="s">
        <v>30</v>
      </c>
      <c r="E47" t="s">
        <v>349</v>
      </c>
      <c r="F47" s="18">
        <v>22645</v>
      </c>
      <c r="G47" s="18">
        <v>545</v>
      </c>
      <c r="H47" s="18">
        <v>972</v>
      </c>
      <c r="I47" s="18">
        <v>321</v>
      </c>
      <c r="J47" s="18">
        <v>8396</v>
      </c>
      <c r="K47" s="18">
        <v>121537</v>
      </c>
      <c r="L47" s="33">
        <v>0.19880365649966678</v>
      </c>
      <c r="M47" t="s">
        <v>38</v>
      </c>
    </row>
    <row r="48" spans="1:13" x14ac:dyDescent="0.3">
      <c r="A48" t="s">
        <v>189</v>
      </c>
      <c r="B48" t="s">
        <v>17</v>
      </c>
      <c r="C48" s="73">
        <v>45755</v>
      </c>
      <c r="D48" t="s">
        <v>24</v>
      </c>
      <c r="E48" t="s">
        <v>343</v>
      </c>
      <c r="F48" s="18">
        <v>15568</v>
      </c>
      <c r="G48" s="18">
        <v>1166</v>
      </c>
      <c r="H48" s="18">
        <v>546</v>
      </c>
      <c r="I48" s="18">
        <v>826</v>
      </c>
      <c r="J48" s="18">
        <v>21836</v>
      </c>
      <c r="K48" s="18">
        <v>87055</v>
      </c>
      <c r="L48" s="33">
        <v>0.19849520418126471</v>
      </c>
      <c r="M48" t="s">
        <v>15</v>
      </c>
    </row>
    <row r="49" spans="1:13" x14ac:dyDescent="0.3">
      <c r="A49" t="s">
        <v>326</v>
      </c>
      <c r="B49" t="s">
        <v>17</v>
      </c>
      <c r="C49" s="73">
        <v>45926</v>
      </c>
      <c r="D49" t="s">
        <v>24</v>
      </c>
      <c r="E49" t="s">
        <v>349</v>
      </c>
      <c r="F49" s="18">
        <v>21216</v>
      </c>
      <c r="G49" s="18">
        <v>226</v>
      </c>
      <c r="H49" s="18">
        <v>187</v>
      </c>
      <c r="I49" s="18">
        <v>1573</v>
      </c>
      <c r="J49" s="18">
        <v>62688</v>
      </c>
      <c r="K49" s="18">
        <v>111031</v>
      </c>
      <c r="L49" s="33">
        <v>0.19480145184678152</v>
      </c>
      <c r="M49" t="s">
        <v>18</v>
      </c>
    </row>
    <row r="50" spans="1:13" x14ac:dyDescent="0.3">
      <c r="A50" t="s">
        <v>94</v>
      </c>
      <c r="B50" t="s">
        <v>20</v>
      </c>
      <c r="C50" s="73">
        <v>45634</v>
      </c>
      <c r="D50" t="s">
        <v>24</v>
      </c>
      <c r="E50" t="s">
        <v>344</v>
      </c>
      <c r="F50" s="18">
        <v>10427</v>
      </c>
      <c r="G50" s="18">
        <v>1014</v>
      </c>
      <c r="H50" s="18">
        <v>166</v>
      </c>
      <c r="I50" s="18">
        <v>1649</v>
      </c>
      <c r="J50" s="18">
        <v>15145</v>
      </c>
      <c r="K50" s="18">
        <v>59816</v>
      </c>
      <c r="L50" s="33">
        <v>0.19404507155276179</v>
      </c>
      <c r="M50" t="s">
        <v>22</v>
      </c>
    </row>
    <row r="51" spans="1:13" x14ac:dyDescent="0.3">
      <c r="A51" t="s">
        <v>152</v>
      </c>
      <c r="B51" t="s">
        <v>17</v>
      </c>
      <c r="C51" s="73">
        <v>45744</v>
      </c>
      <c r="D51" t="s">
        <v>14</v>
      </c>
      <c r="E51" t="s">
        <v>348</v>
      </c>
      <c r="F51" s="18">
        <v>13637</v>
      </c>
      <c r="G51" s="18">
        <v>1135</v>
      </c>
      <c r="H51" s="18">
        <v>540</v>
      </c>
      <c r="I51" s="18">
        <v>1288</v>
      </c>
      <c r="J51" s="18">
        <v>45183</v>
      </c>
      <c r="K51" s="18">
        <v>79062</v>
      </c>
      <c r="L51" s="33">
        <v>0.19367079001290127</v>
      </c>
      <c r="M51" t="s">
        <v>38</v>
      </c>
    </row>
    <row r="52" spans="1:13" x14ac:dyDescent="0.3">
      <c r="A52" t="s">
        <v>155</v>
      </c>
      <c r="B52" t="s">
        <v>17</v>
      </c>
      <c r="C52" s="73">
        <v>45494</v>
      </c>
      <c r="D52" t="s">
        <v>14</v>
      </c>
      <c r="E52" t="s">
        <v>346</v>
      </c>
      <c r="F52" s="18">
        <v>11911</v>
      </c>
      <c r="G52" s="18">
        <v>1360</v>
      </c>
      <c r="H52" s="18">
        <v>778</v>
      </c>
      <c r="I52" s="18">
        <v>1168</v>
      </c>
      <c r="J52" s="18">
        <v>16483</v>
      </c>
      <c r="K52" s="18">
        <v>72556</v>
      </c>
      <c r="L52" s="33">
        <v>0.19362974805667346</v>
      </c>
      <c r="M52" t="s">
        <v>22</v>
      </c>
    </row>
    <row r="53" spans="1:13" x14ac:dyDescent="0.3">
      <c r="A53" t="s">
        <v>123</v>
      </c>
      <c r="B53" t="s">
        <v>34</v>
      </c>
      <c r="C53" s="73">
        <v>45517</v>
      </c>
      <c r="D53" t="s">
        <v>30</v>
      </c>
      <c r="E53" t="s">
        <v>352</v>
      </c>
      <c r="F53" s="18">
        <v>6854</v>
      </c>
      <c r="G53" s="18">
        <v>417</v>
      </c>
      <c r="H53" s="18">
        <v>467</v>
      </c>
      <c r="I53" s="18">
        <v>1003</v>
      </c>
      <c r="J53" s="18">
        <v>61333</v>
      </c>
      <c r="K53" s="18">
        <v>40281</v>
      </c>
      <c r="L53" s="33">
        <v>0.19210049402944315</v>
      </c>
      <c r="M53" t="s">
        <v>15</v>
      </c>
    </row>
    <row r="54" spans="1:13" x14ac:dyDescent="0.3">
      <c r="A54" t="s">
        <v>73</v>
      </c>
      <c r="B54" t="s">
        <v>17</v>
      </c>
      <c r="C54" s="73">
        <v>45712</v>
      </c>
      <c r="D54" t="s">
        <v>21</v>
      </c>
      <c r="E54" t="s">
        <v>349</v>
      </c>
      <c r="F54" s="18">
        <v>24984</v>
      </c>
      <c r="G54" s="18">
        <v>753</v>
      </c>
      <c r="H54" s="18">
        <v>461</v>
      </c>
      <c r="I54" s="18">
        <v>2710</v>
      </c>
      <c r="J54" s="18">
        <v>20792</v>
      </c>
      <c r="K54" s="18">
        <v>141520</v>
      </c>
      <c r="L54" s="33">
        <v>0.18511871113623515</v>
      </c>
      <c r="M54" t="s">
        <v>22</v>
      </c>
    </row>
    <row r="55" spans="1:13" x14ac:dyDescent="0.3">
      <c r="A55" t="s">
        <v>178</v>
      </c>
      <c r="B55" t="s">
        <v>13</v>
      </c>
      <c r="C55" s="73">
        <v>45934</v>
      </c>
      <c r="D55" t="s">
        <v>24</v>
      </c>
      <c r="E55" t="s">
        <v>352</v>
      </c>
      <c r="F55" s="18">
        <v>12488</v>
      </c>
      <c r="G55" s="18">
        <v>1403</v>
      </c>
      <c r="H55" s="18">
        <v>247</v>
      </c>
      <c r="I55" s="18">
        <v>1350</v>
      </c>
      <c r="J55" s="18">
        <v>28370</v>
      </c>
      <c r="K55" s="18">
        <v>76487</v>
      </c>
      <c r="L55" s="33">
        <v>0.18484186855282597</v>
      </c>
      <c r="M55" t="s">
        <v>18</v>
      </c>
    </row>
    <row r="56" spans="1:13" x14ac:dyDescent="0.3">
      <c r="A56" t="s">
        <v>256</v>
      </c>
      <c r="B56" t="s">
        <v>20</v>
      </c>
      <c r="C56" s="73">
        <v>45488</v>
      </c>
      <c r="D56" t="s">
        <v>24</v>
      </c>
      <c r="E56" t="s">
        <v>28</v>
      </c>
      <c r="F56" s="18">
        <v>12554</v>
      </c>
      <c r="G56" s="18">
        <v>381</v>
      </c>
      <c r="H56" s="18">
        <v>211</v>
      </c>
      <c r="I56" s="18">
        <v>2286</v>
      </c>
      <c r="J56" s="18">
        <v>50567</v>
      </c>
      <c r="K56" s="18">
        <v>72779</v>
      </c>
      <c r="L56" s="33">
        <v>0.18062902760411656</v>
      </c>
      <c r="M56" t="s">
        <v>15</v>
      </c>
    </row>
    <row r="57" spans="1:13" x14ac:dyDescent="0.3">
      <c r="A57" t="s">
        <v>174</v>
      </c>
      <c r="B57" t="s">
        <v>13</v>
      </c>
      <c r="C57" s="73">
        <v>45762</v>
      </c>
      <c r="D57" t="s">
        <v>24</v>
      </c>
      <c r="E57" t="s">
        <v>349</v>
      </c>
      <c r="F57" s="18">
        <v>20977</v>
      </c>
      <c r="G57" s="18">
        <v>1402</v>
      </c>
      <c r="H57" s="18">
        <v>301</v>
      </c>
      <c r="I57" s="18">
        <v>1284</v>
      </c>
      <c r="J57" s="18">
        <v>24620</v>
      </c>
      <c r="K57" s="18">
        <v>128009</v>
      </c>
      <c r="L57" s="33">
        <v>0.17717504237983267</v>
      </c>
      <c r="M57" t="s">
        <v>15</v>
      </c>
    </row>
    <row r="58" spans="1:13" x14ac:dyDescent="0.3">
      <c r="A58" t="s">
        <v>165</v>
      </c>
      <c r="B58" t="s">
        <v>13</v>
      </c>
      <c r="C58" s="73">
        <v>45594</v>
      </c>
      <c r="D58" t="s">
        <v>21</v>
      </c>
      <c r="E58" t="s">
        <v>350</v>
      </c>
      <c r="F58" s="18">
        <v>23969</v>
      </c>
      <c r="G58" s="18">
        <v>1433</v>
      </c>
      <c r="H58" s="18">
        <v>372</v>
      </c>
      <c r="I58" s="18">
        <v>1092</v>
      </c>
      <c r="J58" s="18">
        <v>32147</v>
      </c>
      <c r="K58" s="18">
        <v>145823</v>
      </c>
      <c r="L58" s="33">
        <v>0.17674852389540743</v>
      </c>
      <c r="M58" t="s">
        <v>22</v>
      </c>
    </row>
    <row r="59" spans="1:13" x14ac:dyDescent="0.3">
      <c r="A59" t="s">
        <v>48</v>
      </c>
      <c r="B59" t="s">
        <v>34</v>
      </c>
      <c r="C59" s="73">
        <v>45602</v>
      </c>
      <c r="D59" t="s">
        <v>30</v>
      </c>
      <c r="E59" t="s">
        <v>350</v>
      </c>
      <c r="F59" s="18">
        <v>8938</v>
      </c>
      <c r="G59" s="18">
        <v>800</v>
      </c>
      <c r="H59" s="18">
        <v>842</v>
      </c>
      <c r="I59" s="18">
        <v>2072</v>
      </c>
      <c r="J59" s="18">
        <v>31736</v>
      </c>
      <c r="K59" s="18">
        <v>59975</v>
      </c>
      <c r="L59" s="33">
        <v>0.17640683618174238</v>
      </c>
      <c r="M59" t="s">
        <v>25</v>
      </c>
    </row>
    <row r="60" spans="1:13" x14ac:dyDescent="0.3">
      <c r="A60" t="s">
        <v>151</v>
      </c>
      <c r="B60" t="s">
        <v>20</v>
      </c>
      <c r="C60" s="73">
        <v>45543</v>
      </c>
      <c r="D60" t="s">
        <v>30</v>
      </c>
      <c r="E60" t="s">
        <v>343</v>
      </c>
      <c r="F60" s="18">
        <v>8090</v>
      </c>
      <c r="G60" s="18">
        <v>570</v>
      </c>
      <c r="H60" s="18">
        <v>399</v>
      </c>
      <c r="I60" s="18">
        <v>1862</v>
      </c>
      <c r="J60" s="18">
        <v>34088</v>
      </c>
      <c r="K60" s="18">
        <v>52115</v>
      </c>
      <c r="L60" s="33">
        <v>0.17382711311522595</v>
      </c>
      <c r="M60" t="s">
        <v>15</v>
      </c>
    </row>
    <row r="61" spans="1:13" x14ac:dyDescent="0.3">
      <c r="A61" t="s">
        <v>117</v>
      </c>
      <c r="B61" t="s">
        <v>17</v>
      </c>
      <c r="C61" s="73">
        <v>45924</v>
      </c>
      <c r="D61" t="s">
        <v>21</v>
      </c>
      <c r="E61" t="s">
        <v>347</v>
      </c>
      <c r="F61" s="18">
        <v>12209</v>
      </c>
      <c r="G61" s="18">
        <v>222</v>
      </c>
      <c r="H61" s="18">
        <v>479</v>
      </c>
      <c r="I61" s="18">
        <v>2748</v>
      </c>
      <c r="J61" s="18">
        <v>24615</v>
      </c>
      <c r="K61" s="18">
        <v>74707</v>
      </c>
      <c r="L61" s="33">
        <v>0.17280843829895459</v>
      </c>
      <c r="M61" t="s">
        <v>18</v>
      </c>
    </row>
    <row r="62" spans="1:13" x14ac:dyDescent="0.3">
      <c r="A62" t="s">
        <v>70</v>
      </c>
      <c r="B62" t="s">
        <v>17</v>
      </c>
      <c r="C62" s="73">
        <v>45718</v>
      </c>
      <c r="D62" t="s">
        <v>24</v>
      </c>
      <c r="E62" t="s">
        <v>351</v>
      </c>
      <c r="F62" s="18">
        <v>22562</v>
      </c>
      <c r="G62" s="18">
        <v>778</v>
      </c>
      <c r="H62" s="18">
        <v>907</v>
      </c>
      <c r="I62" s="18">
        <v>1354</v>
      </c>
      <c r="J62" s="18">
        <v>34475</v>
      </c>
      <c r="K62" s="18">
        <v>141459</v>
      </c>
      <c r="L62" s="33">
        <v>0.17140655596321194</v>
      </c>
      <c r="M62" t="s">
        <v>25</v>
      </c>
    </row>
    <row r="63" spans="1:13" x14ac:dyDescent="0.3">
      <c r="A63" t="s">
        <v>302</v>
      </c>
      <c r="B63" t="s">
        <v>17</v>
      </c>
      <c r="C63" s="73">
        <v>45450</v>
      </c>
      <c r="D63" t="s">
        <v>24</v>
      </c>
      <c r="E63" t="s">
        <v>346</v>
      </c>
      <c r="F63" s="18">
        <v>8233</v>
      </c>
      <c r="G63" s="18">
        <v>436</v>
      </c>
      <c r="H63" s="18">
        <v>269</v>
      </c>
      <c r="I63" s="18">
        <v>2037</v>
      </c>
      <c r="J63" s="18">
        <v>8875</v>
      </c>
      <c r="K63" s="18">
        <v>52289</v>
      </c>
      <c r="L63" s="33">
        <v>0.17093461339861157</v>
      </c>
      <c r="M63" t="s">
        <v>15</v>
      </c>
    </row>
    <row r="64" spans="1:13" x14ac:dyDescent="0.3">
      <c r="A64" t="s">
        <v>186</v>
      </c>
      <c r="B64" t="s">
        <v>17</v>
      </c>
      <c r="C64" s="73">
        <v>45528</v>
      </c>
      <c r="D64" t="s">
        <v>21</v>
      </c>
      <c r="E64" t="s">
        <v>351</v>
      </c>
      <c r="F64" s="18">
        <v>22527</v>
      </c>
      <c r="G64" s="18">
        <v>865</v>
      </c>
      <c r="H64" s="18">
        <v>646</v>
      </c>
      <c r="I64" s="18">
        <v>992</v>
      </c>
      <c r="J64" s="18">
        <v>18654</v>
      </c>
      <c r="K64" s="18">
        <v>141376</v>
      </c>
      <c r="L64" s="33">
        <v>0.17002885921231325</v>
      </c>
      <c r="M64" t="s">
        <v>38</v>
      </c>
    </row>
    <row r="65" spans="1:13" x14ac:dyDescent="0.3">
      <c r="A65" t="s">
        <v>184</v>
      </c>
      <c r="B65" t="s">
        <v>34</v>
      </c>
      <c r="C65" s="73">
        <v>45515</v>
      </c>
      <c r="D65" t="s">
        <v>30</v>
      </c>
      <c r="E65" t="s">
        <v>344</v>
      </c>
      <c r="F65" s="18">
        <v>14394</v>
      </c>
      <c r="G65" s="18">
        <v>1202</v>
      </c>
      <c r="H65" s="18">
        <v>188</v>
      </c>
      <c r="I65" s="18">
        <v>1259</v>
      </c>
      <c r="J65" s="18">
        <v>21925</v>
      </c>
      <c r="K65" s="18">
        <v>94061</v>
      </c>
      <c r="L65" s="33">
        <v>0.1678059982351878</v>
      </c>
      <c r="M65" t="s">
        <v>25</v>
      </c>
    </row>
    <row r="66" spans="1:13" x14ac:dyDescent="0.3">
      <c r="A66" t="s">
        <v>228</v>
      </c>
      <c r="B66" t="s">
        <v>17</v>
      </c>
      <c r="C66" s="73">
        <v>45921</v>
      </c>
      <c r="D66" t="s">
        <v>14</v>
      </c>
      <c r="E66" t="s">
        <v>352</v>
      </c>
      <c r="F66" s="18">
        <v>19680</v>
      </c>
      <c r="G66" s="18">
        <v>999</v>
      </c>
      <c r="H66" s="18">
        <v>838</v>
      </c>
      <c r="I66" s="18">
        <v>891</v>
      </c>
      <c r="J66" s="18">
        <v>29576</v>
      </c>
      <c r="K66" s="18">
        <v>129152</v>
      </c>
      <c r="L66" s="33">
        <v>0.16660214321110009</v>
      </c>
      <c r="M66" t="s">
        <v>18</v>
      </c>
    </row>
    <row r="67" spans="1:13" x14ac:dyDescent="0.3">
      <c r="A67" t="s">
        <v>99</v>
      </c>
      <c r="B67" t="s">
        <v>20</v>
      </c>
      <c r="C67" s="73">
        <v>45921</v>
      </c>
      <c r="D67" t="s">
        <v>24</v>
      </c>
      <c r="E67" t="s">
        <v>343</v>
      </c>
      <c r="F67" s="18">
        <v>23103</v>
      </c>
      <c r="G67" s="18">
        <v>1380</v>
      </c>
      <c r="H67" s="18">
        <v>191</v>
      </c>
      <c r="I67" s="18">
        <v>1547</v>
      </c>
      <c r="J67" s="18">
        <v>77798</v>
      </c>
      <c r="K67" s="18">
        <v>148856</v>
      </c>
      <c r="L67" s="33">
        <v>0.16575751061428495</v>
      </c>
      <c r="M67" t="s">
        <v>18</v>
      </c>
    </row>
    <row r="68" spans="1:13" x14ac:dyDescent="0.3">
      <c r="A68" t="s">
        <v>247</v>
      </c>
      <c r="B68" t="s">
        <v>13</v>
      </c>
      <c r="C68" s="73">
        <v>45739</v>
      </c>
      <c r="D68" t="s">
        <v>30</v>
      </c>
      <c r="E68" t="s">
        <v>347</v>
      </c>
      <c r="F68" s="18">
        <v>17728</v>
      </c>
      <c r="G68" s="18">
        <v>1487</v>
      </c>
      <c r="H68" s="18">
        <v>210</v>
      </c>
      <c r="I68" s="18">
        <v>2469</v>
      </c>
      <c r="J68" s="18">
        <v>30565</v>
      </c>
      <c r="K68" s="18">
        <v>117576</v>
      </c>
      <c r="L68" s="33">
        <v>0.16521228822208614</v>
      </c>
      <c r="M68" t="s">
        <v>15</v>
      </c>
    </row>
    <row r="69" spans="1:13" x14ac:dyDescent="0.3">
      <c r="A69" t="s">
        <v>311</v>
      </c>
      <c r="B69" t="s">
        <v>34</v>
      </c>
      <c r="C69" s="73">
        <v>45491</v>
      </c>
      <c r="D69" t="s">
        <v>24</v>
      </c>
      <c r="E69" t="s">
        <v>343</v>
      </c>
      <c r="F69" s="18">
        <v>16594</v>
      </c>
      <c r="G69" s="18">
        <v>809</v>
      </c>
      <c r="H69" s="18">
        <v>784</v>
      </c>
      <c r="I69" s="18">
        <v>1655</v>
      </c>
      <c r="J69" s="18">
        <v>35505</v>
      </c>
      <c r="K69" s="18">
        <v>112588</v>
      </c>
      <c r="L69" s="33">
        <v>0.16153586527871533</v>
      </c>
      <c r="M69" t="s">
        <v>22</v>
      </c>
    </row>
    <row r="70" spans="1:13" x14ac:dyDescent="0.3">
      <c r="A70" t="s">
        <v>88</v>
      </c>
      <c r="B70" t="s">
        <v>13</v>
      </c>
      <c r="C70" s="73">
        <v>45920</v>
      </c>
      <c r="D70" t="s">
        <v>14</v>
      </c>
      <c r="E70" t="s">
        <v>350</v>
      </c>
      <c r="F70" s="18">
        <v>18633</v>
      </c>
      <c r="G70" s="18">
        <v>797</v>
      </c>
      <c r="H70" s="18">
        <v>303</v>
      </c>
      <c r="I70" s="18">
        <v>659</v>
      </c>
      <c r="J70" s="18">
        <v>7</v>
      </c>
      <c r="K70" s="18">
        <v>122189</v>
      </c>
      <c r="L70" s="33">
        <v>0.16149571565361859</v>
      </c>
      <c r="M70" t="s">
        <v>18</v>
      </c>
    </row>
    <row r="71" spans="1:13" x14ac:dyDescent="0.3">
      <c r="A71" t="s">
        <v>101</v>
      </c>
      <c r="B71" t="s">
        <v>20</v>
      </c>
      <c r="C71" s="73">
        <v>45505</v>
      </c>
      <c r="D71" t="s">
        <v>14</v>
      </c>
      <c r="E71" t="s">
        <v>345</v>
      </c>
      <c r="F71" s="18">
        <v>21758</v>
      </c>
      <c r="G71" s="18">
        <v>1380</v>
      </c>
      <c r="H71" s="18">
        <v>188</v>
      </c>
      <c r="I71" s="18">
        <v>1735</v>
      </c>
      <c r="J71" s="18">
        <v>20998</v>
      </c>
      <c r="K71" s="18">
        <v>147803</v>
      </c>
      <c r="L71" s="33">
        <v>0.15781817689762725</v>
      </c>
      <c r="M71" t="s">
        <v>38</v>
      </c>
    </row>
    <row r="72" spans="1:13" x14ac:dyDescent="0.3">
      <c r="A72" t="s">
        <v>215</v>
      </c>
      <c r="B72" t="s">
        <v>13</v>
      </c>
      <c r="C72" s="73">
        <v>45740</v>
      </c>
      <c r="D72" t="s">
        <v>14</v>
      </c>
      <c r="E72" t="s">
        <v>28</v>
      </c>
      <c r="F72" s="18">
        <v>10172</v>
      </c>
      <c r="G72" s="18">
        <v>1398</v>
      </c>
      <c r="H72" s="18">
        <v>394</v>
      </c>
      <c r="I72" s="18">
        <v>2358</v>
      </c>
      <c r="J72" s="18">
        <v>59610</v>
      </c>
      <c r="K72" s="18">
        <v>76321</v>
      </c>
      <c r="L72" s="33">
        <v>0.15675895231980713</v>
      </c>
      <c r="M72" t="s">
        <v>25</v>
      </c>
    </row>
    <row r="73" spans="1:13" x14ac:dyDescent="0.3">
      <c r="A73" t="s">
        <v>76</v>
      </c>
      <c r="B73" t="s">
        <v>34</v>
      </c>
      <c r="C73" s="73">
        <v>45476</v>
      </c>
      <c r="D73" t="s">
        <v>21</v>
      </c>
      <c r="E73" t="s">
        <v>347</v>
      </c>
      <c r="F73" s="18">
        <v>14338</v>
      </c>
      <c r="G73" s="18">
        <v>1454</v>
      </c>
      <c r="H73" s="18">
        <v>697</v>
      </c>
      <c r="I73" s="18">
        <v>2703</v>
      </c>
      <c r="J73" s="18">
        <v>21288</v>
      </c>
      <c r="K73" s="18">
        <v>107649</v>
      </c>
      <c r="L73" s="33">
        <v>0.1531737405828201</v>
      </c>
      <c r="M73" t="s">
        <v>25</v>
      </c>
    </row>
    <row r="74" spans="1:13" x14ac:dyDescent="0.3">
      <c r="A74" t="s">
        <v>158</v>
      </c>
      <c r="B74" t="s">
        <v>20</v>
      </c>
      <c r="C74" s="73">
        <v>45720</v>
      </c>
      <c r="D74" t="s">
        <v>24</v>
      </c>
      <c r="E74" t="s">
        <v>344</v>
      </c>
      <c r="F74" s="18">
        <v>5266</v>
      </c>
      <c r="G74" s="18">
        <v>316</v>
      </c>
      <c r="H74" s="18">
        <v>837</v>
      </c>
      <c r="I74" s="18">
        <v>2276</v>
      </c>
      <c r="J74" s="18">
        <v>20967</v>
      </c>
      <c r="K74" s="18">
        <v>41969</v>
      </c>
      <c r="L74" s="33">
        <v>0.1529462222116324</v>
      </c>
      <c r="M74" t="s">
        <v>38</v>
      </c>
    </row>
    <row r="75" spans="1:13" x14ac:dyDescent="0.3">
      <c r="A75" t="s">
        <v>66</v>
      </c>
      <c r="B75" t="s">
        <v>13</v>
      </c>
      <c r="C75" s="73">
        <v>45914</v>
      </c>
      <c r="D75" t="s">
        <v>30</v>
      </c>
      <c r="E75" t="s">
        <v>348</v>
      </c>
      <c r="F75" s="18">
        <v>19844</v>
      </c>
      <c r="G75" s="18">
        <v>1020</v>
      </c>
      <c r="H75" s="18">
        <v>247</v>
      </c>
      <c r="I75" s="18">
        <v>2354</v>
      </c>
      <c r="J75" s="18">
        <v>37792</v>
      </c>
      <c r="K75" s="18">
        <v>138317</v>
      </c>
      <c r="L75" s="33">
        <v>0.15262765965138053</v>
      </c>
      <c r="M75" t="s">
        <v>18</v>
      </c>
    </row>
    <row r="76" spans="1:13" x14ac:dyDescent="0.3">
      <c r="A76" t="s">
        <v>103</v>
      </c>
      <c r="B76" t="s">
        <v>17</v>
      </c>
      <c r="C76" s="73">
        <v>45720</v>
      </c>
      <c r="D76" t="s">
        <v>30</v>
      </c>
      <c r="E76" t="s">
        <v>349</v>
      </c>
      <c r="F76" s="18">
        <v>13470</v>
      </c>
      <c r="G76" s="18">
        <v>523</v>
      </c>
      <c r="H76" s="18">
        <v>280</v>
      </c>
      <c r="I76" s="18">
        <v>2682</v>
      </c>
      <c r="J76" s="18">
        <v>8538</v>
      </c>
      <c r="K76" s="18">
        <v>95204</v>
      </c>
      <c r="L76" s="33">
        <v>0.14992017142136885</v>
      </c>
      <c r="M76" t="s">
        <v>15</v>
      </c>
    </row>
    <row r="77" spans="1:13" x14ac:dyDescent="0.3">
      <c r="A77" t="s">
        <v>290</v>
      </c>
      <c r="B77" t="s">
        <v>20</v>
      </c>
      <c r="C77" s="73">
        <v>45687</v>
      </c>
      <c r="D77" t="s">
        <v>21</v>
      </c>
      <c r="E77" t="s">
        <v>351</v>
      </c>
      <c r="F77" s="18">
        <v>12954</v>
      </c>
      <c r="G77" s="18">
        <v>913</v>
      </c>
      <c r="H77" s="18">
        <v>722</v>
      </c>
      <c r="I77" s="18">
        <v>1049</v>
      </c>
      <c r="J77" s="18">
        <v>475</v>
      </c>
      <c r="K77" s="18">
        <v>97716</v>
      </c>
      <c r="L77" s="33">
        <v>0.14930001228048631</v>
      </c>
      <c r="M77" t="s">
        <v>15</v>
      </c>
    </row>
    <row r="78" spans="1:13" x14ac:dyDescent="0.3">
      <c r="A78" t="s">
        <v>134</v>
      </c>
      <c r="B78" t="s">
        <v>17</v>
      </c>
      <c r="C78" s="73">
        <v>45928</v>
      </c>
      <c r="D78" t="s">
        <v>30</v>
      </c>
      <c r="E78" t="s">
        <v>348</v>
      </c>
      <c r="F78" s="18">
        <v>21963</v>
      </c>
      <c r="G78" s="18">
        <v>1356</v>
      </c>
      <c r="H78" s="18">
        <v>349</v>
      </c>
      <c r="I78" s="18">
        <v>1206</v>
      </c>
      <c r="J78" s="18">
        <v>51755</v>
      </c>
      <c r="K78" s="18">
        <v>159273</v>
      </c>
      <c r="L78" s="33">
        <v>0.14860020216860359</v>
      </c>
      <c r="M78" t="s">
        <v>18</v>
      </c>
    </row>
    <row r="79" spans="1:13" x14ac:dyDescent="0.3">
      <c r="A79" t="s">
        <v>274</v>
      </c>
      <c r="B79" t="s">
        <v>20</v>
      </c>
      <c r="C79" s="73">
        <v>45914</v>
      </c>
      <c r="D79" t="s">
        <v>30</v>
      </c>
      <c r="E79" t="s">
        <v>350</v>
      </c>
      <c r="F79" s="18">
        <v>12787</v>
      </c>
      <c r="G79" s="18">
        <v>945</v>
      </c>
      <c r="H79" s="18">
        <v>974</v>
      </c>
      <c r="I79" s="18">
        <v>1407</v>
      </c>
      <c r="J79" s="18">
        <v>4037</v>
      </c>
      <c r="K79" s="18">
        <v>99182</v>
      </c>
      <c r="L79" s="33">
        <v>0.14827287209372669</v>
      </c>
      <c r="M79" t="s">
        <v>18</v>
      </c>
    </row>
    <row r="80" spans="1:13" x14ac:dyDescent="0.3">
      <c r="A80" t="s">
        <v>130</v>
      </c>
      <c r="B80" t="s">
        <v>17</v>
      </c>
      <c r="C80" s="73">
        <v>45739</v>
      </c>
      <c r="D80" t="s">
        <v>14</v>
      </c>
      <c r="E80" t="s">
        <v>345</v>
      </c>
      <c r="F80" s="18">
        <v>24711</v>
      </c>
      <c r="G80" s="18">
        <v>882</v>
      </c>
      <c r="H80" s="18">
        <v>876</v>
      </c>
      <c r="I80" s="18">
        <v>2728</v>
      </c>
      <c r="J80" s="18">
        <v>32015</v>
      </c>
      <c r="K80" s="18">
        <v>180272</v>
      </c>
      <c r="L80" s="33">
        <v>0.1468281263867933</v>
      </c>
      <c r="M80" t="s">
        <v>25</v>
      </c>
    </row>
    <row r="81" spans="1:13" x14ac:dyDescent="0.3">
      <c r="A81" t="s">
        <v>268</v>
      </c>
      <c r="B81" t="s">
        <v>13</v>
      </c>
      <c r="C81" s="73">
        <v>45912</v>
      </c>
      <c r="D81" t="s">
        <v>24</v>
      </c>
      <c r="E81" t="s">
        <v>347</v>
      </c>
      <c r="F81" s="18">
        <v>15918</v>
      </c>
      <c r="G81" s="18">
        <v>1114</v>
      </c>
      <c r="H81" s="18">
        <v>392</v>
      </c>
      <c r="I81" s="18">
        <v>1641</v>
      </c>
      <c r="J81" s="18">
        <v>28044</v>
      </c>
      <c r="K81" s="18">
        <v>118714</v>
      </c>
      <c r="L81" s="33">
        <v>0.14677291642097814</v>
      </c>
      <c r="M81" t="s">
        <v>18</v>
      </c>
    </row>
    <row r="82" spans="1:13" x14ac:dyDescent="0.3">
      <c r="A82" t="s">
        <v>181</v>
      </c>
      <c r="B82" t="s">
        <v>20</v>
      </c>
      <c r="C82" s="73">
        <v>45647</v>
      </c>
      <c r="D82" t="s">
        <v>14</v>
      </c>
      <c r="E82" t="s">
        <v>343</v>
      </c>
      <c r="F82" s="18">
        <v>12453</v>
      </c>
      <c r="G82" s="18">
        <v>376</v>
      </c>
      <c r="H82" s="18">
        <v>320</v>
      </c>
      <c r="I82" s="18">
        <v>2546</v>
      </c>
      <c r="J82" s="18">
        <v>22617</v>
      </c>
      <c r="K82" s="18">
        <v>90138</v>
      </c>
      <c r="L82" s="33">
        <v>0.14587632297144379</v>
      </c>
      <c r="M82" t="s">
        <v>22</v>
      </c>
    </row>
    <row r="83" spans="1:13" x14ac:dyDescent="0.3">
      <c r="A83" t="s">
        <v>258</v>
      </c>
      <c r="B83" t="s">
        <v>17</v>
      </c>
      <c r="C83" s="73">
        <v>45776</v>
      </c>
      <c r="D83" t="s">
        <v>30</v>
      </c>
      <c r="E83" t="s">
        <v>348</v>
      </c>
      <c r="F83" s="18">
        <v>16277</v>
      </c>
      <c r="G83" s="18">
        <v>1109</v>
      </c>
      <c r="H83" s="18">
        <v>375</v>
      </c>
      <c r="I83" s="18">
        <v>2225</v>
      </c>
      <c r="J83" s="18">
        <v>1044</v>
      </c>
      <c r="K83" s="18">
        <v>121889</v>
      </c>
      <c r="L83" s="33">
        <v>0.14571454356012437</v>
      </c>
      <c r="M83" t="s">
        <v>25</v>
      </c>
    </row>
    <row r="84" spans="1:13" x14ac:dyDescent="0.3">
      <c r="A84" t="s">
        <v>250</v>
      </c>
      <c r="B84" t="s">
        <v>17</v>
      </c>
      <c r="C84" s="73">
        <v>45907</v>
      </c>
      <c r="D84" t="s">
        <v>21</v>
      </c>
      <c r="E84" t="s">
        <v>352</v>
      </c>
      <c r="F84" s="18">
        <v>4472</v>
      </c>
      <c r="G84" s="18">
        <v>1301</v>
      </c>
      <c r="H84" s="18">
        <v>956</v>
      </c>
      <c r="I84" s="18">
        <v>1186</v>
      </c>
      <c r="J84" s="18">
        <v>3363</v>
      </c>
      <c r="K84" s="18">
        <v>46471</v>
      </c>
      <c r="L84" s="33">
        <v>0.14479998278496267</v>
      </c>
      <c r="M84" t="s">
        <v>18</v>
      </c>
    </row>
    <row r="85" spans="1:13" x14ac:dyDescent="0.3">
      <c r="A85" t="s">
        <v>93</v>
      </c>
      <c r="B85" t="s">
        <v>17</v>
      </c>
      <c r="C85" s="73">
        <v>45745</v>
      </c>
      <c r="D85" t="s">
        <v>24</v>
      </c>
      <c r="E85" t="s">
        <v>348</v>
      </c>
      <c r="F85" s="18">
        <v>19461</v>
      </c>
      <c r="G85" s="18">
        <v>1382</v>
      </c>
      <c r="H85" s="18">
        <v>445</v>
      </c>
      <c r="I85" s="18">
        <v>1307</v>
      </c>
      <c r="J85" s="18">
        <v>84691</v>
      </c>
      <c r="K85" s="18">
        <v>151453</v>
      </c>
      <c r="L85" s="33">
        <v>0.14055845707909384</v>
      </c>
      <c r="M85" t="s">
        <v>25</v>
      </c>
    </row>
    <row r="86" spans="1:13" x14ac:dyDescent="0.3">
      <c r="A86" t="s">
        <v>229</v>
      </c>
      <c r="B86" t="s">
        <v>13</v>
      </c>
      <c r="C86" s="73">
        <v>45617</v>
      </c>
      <c r="D86" t="s">
        <v>14</v>
      </c>
      <c r="E86" t="s">
        <v>348</v>
      </c>
      <c r="F86" s="18">
        <v>8229</v>
      </c>
      <c r="G86" s="18">
        <v>977</v>
      </c>
      <c r="H86" s="18">
        <v>152</v>
      </c>
      <c r="I86" s="18">
        <v>1633</v>
      </c>
      <c r="J86" s="18">
        <v>71447</v>
      </c>
      <c r="K86" s="18">
        <v>67723</v>
      </c>
      <c r="L86" s="33">
        <v>0.13818052950991538</v>
      </c>
      <c r="M86" t="s">
        <v>38</v>
      </c>
    </row>
    <row r="87" spans="1:13" x14ac:dyDescent="0.3">
      <c r="A87" t="s">
        <v>210</v>
      </c>
      <c r="B87" t="s">
        <v>13</v>
      </c>
      <c r="C87" s="73">
        <v>45943</v>
      </c>
      <c r="D87" t="s">
        <v>24</v>
      </c>
      <c r="E87" t="s">
        <v>350</v>
      </c>
      <c r="F87" s="18">
        <v>19302</v>
      </c>
      <c r="G87" s="18">
        <v>1367</v>
      </c>
      <c r="H87" s="18">
        <v>188</v>
      </c>
      <c r="I87" s="18">
        <v>637</v>
      </c>
      <c r="J87" s="18">
        <v>31404</v>
      </c>
      <c r="K87" s="18">
        <v>154044</v>
      </c>
      <c r="L87" s="33">
        <v>0.13539638025499209</v>
      </c>
      <c r="M87" t="s">
        <v>18</v>
      </c>
    </row>
    <row r="88" spans="1:13" x14ac:dyDescent="0.3">
      <c r="A88" t="s">
        <v>114</v>
      </c>
      <c r="B88" t="s">
        <v>20</v>
      </c>
      <c r="C88" s="73">
        <v>45480</v>
      </c>
      <c r="D88" t="s">
        <v>21</v>
      </c>
      <c r="E88" t="s">
        <v>344</v>
      </c>
      <c r="F88" s="18">
        <v>24625</v>
      </c>
      <c r="G88" s="18">
        <v>749</v>
      </c>
      <c r="H88" s="18">
        <v>193</v>
      </c>
      <c r="I88" s="18">
        <v>1340</v>
      </c>
      <c r="J88" s="18">
        <v>4890</v>
      </c>
      <c r="K88" s="18">
        <v>189381</v>
      </c>
      <c r="L88" s="33">
        <v>0.13500298340382616</v>
      </c>
      <c r="M88" t="s">
        <v>15</v>
      </c>
    </row>
    <row r="89" spans="1:13" x14ac:dyDescent="0.3">
      <c r="A89" t="s">
        <v>65</v>
      </c>
      <c r="B89" t="s">
        <v>20</v>
      </c>
      <c r="C89" s="73">
        <v>45913</v>
      </c>
      <c r="D89" t="s">
        <v>30</v>
      </c>
      <c r="E89" t="s">
        <v>347</v>
      </c>
      <c r="F89" s="18">
        <v>17106</v>
      </c>
      <c r="G89" s="18">
        <v>702</v>
      </c>
      <c r="H89" s="18">
        <v>459</v>
      </c>
      <c r="I89" s="18">
        <v>999</v>
      </c>
      <c r="J89" s="18">
        <v>59627</v>
      </c>
      <c r="K89" s="18">
        <v>136059</v>
      </c>
      <c r="L89" s="33">
        <v>0.13425793222058077</v>
      </c>
      <c r="M89" t="s">
        <v>18</v>
      </c>
    </row>
    <row r="90" spans="1:13" x14ac:dyDescent="0.3">
      <c r="A90" t="s">
        <v>194</v>
      </c>
      <c r="B90" t="s">
        <v>13</v>
      </c>
      <c r="C90" s="73">
        <v>45608</v>
      </c>
      <c r="D90" t="s">
        <v>14</v>
      </c>
      <c r="E90" t="s">
        <v>344</v>
      </c>
      <c r="F90" s="18">
        <v>19022</v>
      </c>
      <c r="G90" s="18">
        <v>541</v>
      </c>
      <c r="H90" s="18">
        <v>575</v>
      </c>
      <c r="I90" s="18">
        <v>2063</v>
      </c>
      <c r="J90" s="18">
        <v>42743</v>
      </c>
      <c r="K90" s="18">
        <v>150169</v>
      </c>
      <c r="L90" s="33">
        <v>0.13410224480418728</v>
      </c>
      <c r="M90" t="s">
        <v>15</v>
      </c>
    </row>
    <row r="91" spans="1:13" x14ac:dyDescent="0.3">
      <c r="A91" t="s">
        <v>86</v>
      </c>
      <c r="B91" t="s">
        <v>20</v>
      </c>
      <c r="C91" s="73">
        <v>45685</v>
      </c>
      <c r="D91" t="s">
        <v>21</v>
      </c>
      <c r="E91" t="s">
        <v>348</v>
      </c>
      <c r="F91" s="18">
        <v>9239</v>
      </c>
      <c r="G91" s="18">
        <v>1477</v>
      </c>
      <c r="H91" s="18">
        <v>631</v>
      </c>
      <c r="I91" s="18">
        <v>1556</v>
      </c>
      <c r="J91" s="18">
        <v>11580</v>
      </c>
      <c r="K91" s="18">
        <v>84738</v>
      </c>
      <c r="L91" s="33">
        <v>0.13390686586891359</v>
      </c>
      <c r="M91" t="s">
        <v>22</v>
      </c>
    </row>
    <row r="92" spans="1:13" x14ac:dyDescent="0.3">
      <c r="A92" t="s">
        <v>173</v>
      </c>
      <c r="B92" t="s">
        <v>13</v>
      </c>
      <c r="C92" s="73">
        <v>45586</v>
      </c>
      <c r="D92" t="s">
        <v>21</v>
      </c>
      <c r="E92" t="s">
        <v>349</v>
      </c>
      <c r="F92" s="18">
        <v>20777</v>
      </c>
      <c r="G92" s="18">
        <v>962</v>
      </c>
      <c r="H92" s="18">
        <v>308</v>
      </c>
      <c r="I92" s="18">
        <v>2777</v>
      </c>
      <c r="J92" s="18">
        <v>25529</v>
      </c>
      <c r="K92" s="18">
        <v>165354</v>
      </c>
      <c r="L92" s="33">
        <v>0.13333212380710477</v>
      </c>
      <c r="M92" t="s">
        <v>15</v>
      </c>
    </row>
    <row r="93" spans="1:13" x14ac:dyDescent="0.3">
      <c r="A93" t="s">
        <v>98</v>
      </c>
      <c r="B93" t="s">
        <v>34</v>
      </c>
      <c r="C93" s="73">
        <v>45719</v>
      </c>
      <c r="D93" t="s">
        <v>30</v>
      </c>
      <c r="E93" t="s">
        <v>350</v>
      </c>
      <c r="F93" s="18">
        <v>24928</v>
      </c>
      <c r="G93" s="18">
        <v>214</v>
      </c>
      <c r="H93" s="18">
        <v>765</v>
      </c>
      <c r="I93" s="18">
        <v>1556</v>
      </c>
      <c r="J93" s="18">
        <v>5239</v>
      </c>
      <c r="K93" s="18">
        <v>194571</v>
      </c>
      <c r="L93" s="33">
        <v>0.13314933880177415</v>
      </c>
      <c r="M93" t="s">
        <v>38</v>
      </c>
    </row>
    <row r="94" spans="1:13" x14ac:dyDescent="0.3">
      <c r="A94" t="s">
        <v>291</v>
      </c>
      <c r="B94" t="s">
        <v>13</v>
      </c>
      <c r="C94" s="73">
        <v>45708</v>
      </c>
      <c r="D94" t="s">
        <v>30</v>
      </c>
      <c r="E94" t="s">
        <v>349</v>
      </c>
      <c r="F94" s="18">
        <v>15703</v>
      </c>
      <c r="G94" s="18">
        <v>1381</v>
      </c>
      <c r="H94" s="18">
        <v>639</v>
      </c>
      <c r="I94" s="18">
        <v>984</v>
      </c>
      <c r="J94" s="18">
        <v>10967</v>
      </c>
      <c r="K94" s="18">
        <v>133747</v>
      </c>
      <c r="L94" s="33">
        <v>0.13251138343289942</v>
      </c>
      <c r="M94" t="s">
        <v>38</v>
      </c>
    </row>
    <row r="95" spans="1:13" x14ac:dyDescent="0.3">
      <c r="A95" t="s">
        <v>29</v>
      </c>
      <c r="B95" t="s">
        <v>20</v>
      </c>
      <c r="C95" s="73">
        <v>45467</v>
      </c>
      <c r="D95" t="s">
        <v>30</v>
      </c>
      <c r="E95" t="s">
        <v>347</v>
      </c>
      <c r="F95" s="18">
        <v>7713</v>
      </c>
      <c r="G95" s="18">
        <v>575</v>
      </c>
      <c r="H95" s="18">
        <v>417</v>
      </c>
      <c r="I95" s="18">
        <v>336</v>
      </c>
      <c r="J95" s="18">
        <v>61660</v>
      </c>
      <c r="K95" s="18">
        <v>66017</v>
      </c>
      <c r="L95" s="33">
        <v>0.13185997546086614</v>
      </c>
      <c r="M95" t="s">
        <v>25</v>
      </c>
    </row>
    <row r="96" spans="1:13" x14ac:dyDescent="0.3">
      <c r="A96" t="s">
        <v>126</v>
      </c>
      <c r="B96" t="s">
        <v>20</v>
      </c>
      <c r="C96" s="73">
        <v>45925</v>
      </c>
      <c r="D96" t="s">
        <v>14</v>
      </c>
      <c r="E96" t="s">
        <v>28</v>
      </c>
      <c r="F96" s="18">
        <v>20564</v>
      </c>
      <c r="G96" s="18">
        <v>1433</v>
      </c>
      <c r="H96" s="18">
        <v>488</v>
      </c>
      <c r="I96" s="18">
        <v>1015</v>
      </c>
      <c r="J96" s="18">
        <v>24333</v>
      </c>
      <c r="K96" s="18">
        <v>172130</v>
      </c>
      <c r="L96" s="33">
        <v>0.13062801371056759</v>
      </c>
      <c r="M96" t="s">
        <v>18</v>
      </c>
    </row>
    <row r="97" spans="1:13" x14ac:dyDescent="0.3">
      <c r="A97" t="s">
        <v>320</v>
      </c>
      <c r="B97" t="s">
        <v>34</v>
      </c>
      <c r="C97" s="73">
        <v>45462</v>
      </c>
      <c r="D97" t="s">
        <v>30</v>
      </c>
      <c r="E97" t="s">
        <v>351</v>
      </c>
      <c r="F97" s="18">
        <v>20444</v>
      </c>
      <c r="G97" s="18">
        <v>233</v>
      </c>
      <c r="H97" s="18">
        <v>189</v>
      </c>
      <c r="I97" s="18">
        <v>2879</v>
      </c>
      <c r="J97" s="18">
        <v>28185</v>
      </c>
      <c r="K97" s="18">
        <v>159891</v>
      </c>
      <c r="L97" s="33">
        <v>0.13050140408153055</v>
      </c>
      <c r="M97" t="s">
        <v>25</v>
      </c>
    </row>
    <row r="98" spans="1:13" x14ac:dyDescent="0.3">
      <c r="A98" t="s">
        <v>12</v>
      </c>
      <c r="B98" t="s">
        <v>13</v>
      </c>
      <c r="C98" s="73">
        <v>45649</v>
      </c>
      <c r="D98" t="s">
        <v>14</v>
      </c>
      <c r="E98" t="s">
        <v>343</v>
      </c>
      <c r="F98" s="18">
        <v>24516</v>
      </c>
      <c r="G98" s="18">
        <v>976</v>
      </c>
      <c r="H98" s="18">
        <v>974</v>
      </c>
      <c r="I98" s="18">
        <v>2675</v>
      </c>
      <c r="J98" s="18">
        <v>23275</v>
      </c>
      <c r="K98" s="18">
        <v>202932</v>
      </c>
      <c r="L98" s="33">
        <v>0.13041807107799658</v>
      </c>
      <c r="M98" t="s">
        <v>15</v>
      </c>
    </row>
    <row r="99" spans="1:13" x14ac:dyDescent="0.3">
      <c r="A99" t="s">
        <v>110</v>
      </c>
      <c r="B99" t="s">
        <v>17</v>
      </c>
      <c r="C99" s="73">
        <v>45635</v>
      </c>
      <c r="D99" t="s">
        <v>14</v>
      </c>
      <c r="E99" t="s">
        <v>344</v>
      </c>
      <c r="F99" s="18">
        <v>15051</v>
      </c>
      <c r="G99" s="18">
        <v>268</v>
      </c>
      <c r="H99" s="18">
        <v>251</v>
      </c>
      <c r="I99" s="18">
        <v>783</v>
      </c>
      <c r="J99" s="18">
        <v>34154</v>
      </c>
      <c r="K99" s="18">
        <v>119671</v>
      </c>
      <c r="L99" s="33">
        <v>0.13010670922779954</v>
      </c>
      <c r="M99" t="s">
        <v>25</v>
      </c>
    </row>
    <row r="100" spans="1:13" x14ac:dyDescent="0.3">
      <c r="A100" t="s">
        <v>79</v>
      </c>
      <c r="B100" t="s">
        <v>13</v>
      </c>
      <c r="C100" s="73">
        <v>45712</v>
      </c>
      <c r="D100" t="s">
        <v>14</v>
      </c>
      <c r="E100" t="s">
        <v>350</v>
      </c>
      <c r="F100" s="18">
        <v>23949</v>
      </c>
      <c r="G100" s="18">
        <v>356</v>
      </c>
      <c r="H100" s="18">
        <v>616</v>
      </c>
      <c r="I100" s="18">
        <v>1847</v>
      </c>
      <c r="J100" s="18">
        <v>3144</v>
      </c>
      <c r="K100" s="18">
        <v>192999</v>
      </c>
      <c r="L100" s="33">
        <v>0.12912502137316773</v>
      </c>
      <c r="M100" t="s">
        <v>25</v>
      </c>
    </row>
    <row r="101" spans="1:13" x14ac:dyDescent="0.3">
      <c r="A101" t="s">
        <v>164</v>
      </c>
      <c r="B101" t="s">
        <v>20</v>
      </c>
      <c r="C101" s="73">
        <v>45745</v>
      </c>
      <c r="D101" t="s">
        <v>30</v>
      </c>
      <c r="E101" t="s">
        <v>345</v>
      </c>
      <c r="F101" s="18">
        <v>23508</v>
      </c>
      <c r="G101" s="18">
        <v>585</v>
      </c>
      <c r="H101" s="18">
        <v>743</v>
      </c>
      <c r="I101" s="18">
        <v>2155</v>
      </c>
      <c r="J101" s="18">
        <v>3704</v>
      </c>
      <c r="K101" s="18">
        <v>194268</v>
      </c>
      <c r="L101" s="33">
        <v>0.1278440093067309</v>
      </c>
      <c r="M101" t="s">
        <v>25</v>
      </c>
    </row>
    <row r="102" spans="1:13" x14ac:dyDescent="0.3">
      <c r="A102" t="s">
        <v>220</v>
      </c>
      <c r="B102" t="s">
        <v>13</v>
      </c>
      <c r="C102" s="73">
        <v>45567</v>
      </c>
      <c r="D102" t="s">
        <v>24</v>
      </c>
      <c r="E102" t="s">
        <v>347</v>
      </c>
      <c r="F102" s="18">
        <v>5086</v>
      </c>
      <c r="G102" s="18">
        <v>1336</v>
      </c>
      <c r="H102" s="18">
        <v>897</v>
      </c>
      <c r="I102" s="18">
        <v>1715</v>
      </c>
      <c r="J102" s="18">
        <v>60592</v>
      </c>
      <c r="K102" s="18">
        <v>57772</v>
      </c>
      <c r="L102" s="33">
        <v>0.12668766876687668</v>
      </c>
      <c r="M102" t="s">
        <v>22</v>
      </c>
    </row>
    <row r="103" spans="1:13" x14ac:dyDescent="0.3">
      <c r="A103" t="s">
        <v>161</v>
      </c>
      <c r="B103" t="s">
        <v>13</v>
      </c>
      <c r="C103" s="73">
        <v>45624</v>
      </c>
      <c r="D103" t="s">
        <v>30</v>
      </c>
      <c r="E103" t="s">
        <v>349</v>
      </c>
      <c r="F103" s="18">
        <v>19055</v>
      </c>
      <c r="G103" s="18">
        <v>443</v>
      </c>
      <c r="H103" s="18">
        <v>976</v>
      </c>
      <c r="I103" s="18">
        <v>869</v>
      </c>
      <c r="J103" s="18">
        <v>75437</v>
      </c>
      <c r="K103" s="18">
        <v>161863</v>
      </c>
      <c r="L103" s="33">
        <v>0.12648968572187591</v>
      </c>
      <c r="M103" t="s">
        <v>22</v>
      </c>
    </row>
    <row r="104" spans="1:13" x14ac:dyDescent="0.3">
      <c r="A104" t="s">
        <v>231</v>
      </c>
      <c r="B104" t="s">
        <v>17</v>
      </c>
      <c r="C104" s="73">
        <v>45923</v>
      </c>
      <c r="D104" t="s">
        <v>21</v>
      </c>
      <c r="E104" t="s">
        <v>350</v>
      </c>
      <c r="F104" s="18">
        <v>17147</v>
      </c>
      <c r="G104" s="18">
        <v>286</v>
      </c>
      <c r="H104" s="18">
        <v>291</v>
      </c>
      <c r="I104" s="18">
        <v>2439</v>
      </c>
      <c r="J104" s="18">
        <v>45631</v>
      </c>
      <c r="K104" s="18">
        <v>140494</v>
      </c>
      <c r="L104" s="33">
        <v>0.12615485358805359</v>
      </c>
      <c r="M104" t="s">
        <v>18</v>
      </c>
    </row>
    <row r="105" spans="1:13" x14ac:dyDescent="0.3">
      <c r="A105" t="s">
        <v>49</v>
      </c>
      <c r="B105" t="s">
        <v>17</v>
      </c>
      <c r="C105" s="73">
        <v>45680</v>
      </c>
      <c r="D105" t="s">
        <v>24</v>
      </c>
      <c r="E105" t="s">
        <v>349</v>
      </c>
      <c r="F105" s="18">
        <v>23168</v>
      </c>
      <c r="G105" s="18">
        <v>1265</v>
      </c>
      <c r="H105" s="18">
        <v>441</v>
      </c>
      <c r="I105" s="18">
        <v>1612</v>
      </c>
      <c r="J105" s="18">
        <v>66615</v>
      </c>
      <c r="K105" s="18">
        <v>197795</v>
      </c>
      <c r="L105" s="33">
        <v>0.12575646502692181</v>
      </c>
      <c r="M105" t="s">
        <v>25</v>
      </c>
    </row>
    <row r="106" spans="1:13" x14ac:dyDescent="0.3">
      <c r="A106" t="s">
        <v>297</v>
      </c>
      <c r="B106" t="s">
        <v>34</v>
      </c>
      <c r="C106" s="73">
        <v>45582</v>
      </c>
      <c r="D106" t="s">
        <v>24</v>
      </c>
      <c r="E106" t="s">
        <v>345</v>
      </c>
      <c r="F106" s="18">
        <v>18608</v>
      </c>
      <c r="G106" s="18">
        <v>1338</v>
      </c>
      <c r="H106" s="18">
        <v>365</v>
      </c>
      <c r="I106" s="18">
        <v>2289</v>
      </c>
      <c r="J106" s="18">
        <v>20785</v>
      </c>
      <c r="K106" s="18">
        <v>161999</v>
      </c>
      <c r="L106" s="33">
        <v>0.12537731714393299</v>
      </c>
      <c r="M106" t="s">
        <v>15</v>
      </c>
    </row>
    <row r="107" spans="1:13" x14ac:dyDescent="0.3">
      <c r="A107" t="s">
        <v>157</v>
      </c>
      <c r="B107" t="s">
        <v>17</v>
      </c>
      <c r="C107" s="73">
        <v>45586</v>
      </c>
      <c r="D107" t="s">
        <v>14</v>
      </c>
      <c r="E107" t="s">
        <v>349</v>
      </c>
      <c r="F107" s="18">
        <v>20271</v>
      </c>
      <c r="G107" s="18">
        <v>512</v>
      </c>
      <c r="H107" s="18">
        <v>286</v>
      </c>
      <c r="I107" s="18">
        <v>1982</v>
      </c>
      <c r="J107" s="18">
        <v>43225</v>
      </c>
      <c r="K107" s="18">
        <v>168335</v>
      </c>
      <c r="L107" s="33">
        <v>0.12516113701844536</v>
      </c>
      <c r="M107" t="s">
        <v>25</v>
      </c>
    </row>
    <row r="108" spans="1:13" x14ac:dyDescent="0.3">
      <c r="A108" t="s">
        <v>62</v>
      </c>
      <c r="B108" t="s">
        <v>20</v>
      </c>
      <c r="C108" s="73">
        <v>45766</v>
      </c>
      <c r="D108" t="s">
        <v>30</v>
      </c>
      <c r="E108" t="s">
        <v>55</v>
      </c>
      <c r="F108" s="18">
        <v>20384</v>
      </c>
      <c r="G108" s="18">
        <v>344</v>
      </c>
      <c r="H108" s="18">
        <v>956</v>
      </c>
      <c r="I108" s="18">
        <v>655</v>
      </c>
      <c r="J108" s="18">
        <v>67621</v>
      </c>
      <c r="K108" s="18">
        <v>175720</v>
      </c>
      <c r="L108" s="33">
        <v>0.12340086501251991</v>
      </c>
      <c r="M108" t="s">
        <v>22</v>
      </c>
    </row>
    <row r="109" spans="1:13" x14ac:dyDescent="0.3">
      <c r="A109" t="s">
        <v>170</v>
      </c>
      <c r="B109" t="s">
        <v>17</v>
      </c>
      <c r="C109" s="73">
        <v>45593</v>
      </c>
      <c r="D109" t="s">
        <v>30</v>
      </c>
      <c r="E109" t="s">
        <v>351</v>
      </c>
      <c r="F109" s="18">
        <v>8981</v>
      </c>
      <c r="G109" s="18">
        <v>1138</v>
      </c>
      <c r="H109" s="18">
        <v>764</v>
      </c>
      <c r="I109" s="18">
        <v>2555</v>
      </c>
      <c r="J109" s="18">
        <v>92810</v>
      </c>
      <c r="K109" s="18">
        <v>88320</v>
      </c>
      <c r="L109" s="33">
        <v>0.1232223731884058</v>
      </c>
      <c r="M109" t="s">
        <v>38</v>
      </c>
    </row>
    <row r="110" spans="1:13" x14ac:dyDescent="0.3">
      <c r="A110" t="s">
        <v>183</v>
      </c>
      <c r="B110" t="s">
        <v>13</v>
      </c>
      <c r="C110" s="73">
        <v>45496</v>
      </c>
      <c r="D110" t="s">
        <v>24</v>
      </c>
      <c r="E110" t="s">
        <v>351</v>
      </c>
      <c r="F110" s="18">
        <v>24877</v>
      </c>
      <c r="G110" s="18">
        <v>262</v>
      </c>
      <c r="H110" s="18">
        <v>513</v>
      </c>
      <c r="I110" s="18">
        <v>648</v>
      </c>
      <c r="J110" s="18">
        <v>47544</v>
      </c>
      <c r="K110" s="18">
        <v>208280</v>
      </c>
      <c r="L110" s="33">
        <v>0.12316112924908777</v>
      </c>
      <c r="M110" t="s">
        <v>22</v>
      </c>
    </row>
    <row r="111" spans="1:13" x14ac:dyDescent="0.3">
      <c r="A111" t="s">
        <v>135</v>
      </c>
      <c r="B111" t="s">
        <v>34</v>
      </c>
      <c r="C111" s="73">
        <v>45512</v>
      </c>
      <c r="D111" t="s">
        <v>30</v>
      </c>
      <c r="E111" t="s">
        <v>348</v>
      </c>
      <c r="F111" s="18">
        <v>24355</v>
      </c>
      <c r="G111" s="18">
        <v>1087</v>
      </c>
      <c r="H111" s="18">
        <v>686</v>
      </c>
      <c r="I111" s="18">
        <v>2426</v>
      </c>
      <c r="J111" s="18">
        <v>24963</v>
      </c>
      <c r="K111" s="18">
        <v>212307</v>
      </c>
      <c r="L111" s="33">
        <v>0.1230670679723231</v>
      </c>
      <c r="M111" t="s">
        <v>15</v>
      </c>
    </row>
    <row r="112" spans="1:13" x14ac:dyDescent="0.3">
      <c r="A112" t="s">
        <v>243</v>
      </c>
      <c r="B112" t="s">
        <v>17</v>
      </c>
      <c r="C112" s="73">
        <v>45926</v>
      </c>
      <c r="D112" t="s">
        <v>30</v>
      </c>
      <c r="E112" t="s">
        <v>343</v>
      </c>
      <c r="F112" s="18">
        <v>16369</v>
      </c>
      <c r="G112" s="18">
        <v>1452</v>
      </c>
      <c r="H112" s="18">
        <v>493</v>
      </c>
      <c r="I112" s="18">
        <v>1217</v>
      </c>
      <c r="J112" s="18">
        <v>91440</v>
      </c>
      <c r="K112" s="18">
        <v>149834</v>
      </c>
      <c r="L112" s="33">
        <v>0.12222859965027964</v>
      </c>
      <c r="M112" t="s">
        <v>18</v>
      </c>
    </row>
    <row r="113" spans="1:13" x14ac:dyDescent="0.3">
      <c r="A113" t="s">
        <v>92</v>
      </c>
      <c r="B113" t="s">
        <v>34</v>
      </c>
      <c r="C113" s="73">
        <v>45499</v>
      </c>
      <c r="D113" t="s">
        <v>21</v>
      </c>
      <c r="E113" t="s">
        <v>348</v>
      </c>
      <c r="F113" s="18">
        <v>12176</v>
      </c>
      <c r="G113" s="18">
        <v>1005</v>
      </c>
      <c r="H113" s="18">
        <v>862</v>
      </c>
      <c r="I113" s="18">
        <v>974</v>
      </c>
      <c r="J113" s="18">
        <v>2285</v>
      </c>
      <c r="K113" s="18">
        <v>116619</v>
      </c>
      <c r="L113" s="33">
        <v>0.12041777068916729</v>
      </c>
      <c r="M113" t="s">
        <v>25</v>
      </c>
    </row>
    <row r="114" spans="1:13" x14ac:dyDescent="0.3">
      <c r="A114" t="s">
        <v>254</v>
      </c>
      <c r="B114" t="s">
        <v>34</v>
      </c>
      <c r="C114" s="73">
        <v>45474</v>
      </c>
      <c r="D114" t="s">
        <v>24</v>
      </c>
      <c r="E114" t="s">
        <v>345</v>
      </c>
      <c r="F114" s="18">
        <v>3761</v>
      </c>
      <c r="G114" s="18">
        <v>651</v>
      </c>
      <c r="H114" s="18">
        <v>493</v>
      </c>
      <c r="I114" s="18">
        <v>2294</v>
      </c>
      <c r="J114" s="18">
        <v>71696</v>
      </c>
      <c r="K114" s="18">
        <v>41177</v>
      </c>
      <c r="L114" s="33">
        <v>0.11911989702989532</v>
      </c>
      <c r="M114" t="s">
        <v>15</v>
      </c>
    </row>
    <row r="115" spans="1:13" x14ac:dyDescent="0.3">
      <c r="A115" t="s">
        <v>260</v>
      </c>
      <c r="B115" t="s">
        <v>17</v>
      </c>
      <c r="C115" s="73">
        <v>45444</v>
      </c>
      <c r="D115" t="s">
        <v>14</v>
      </c>
      <c r="E115" t="s">
        <v>347</v>
      </c>
      <c r="F115" s="18">
        <v>19844</v>
      </c>
      <c r="G115" s="18">
        <v>1022</v>
      </c>
      <c r="H115" s="18">
        <v>860</v>
      </c>
      <c r="I115" s="18">
        <v>2570</v>
      </c>
      <c r="J115" s="18">
        <v>23719</v>
      </c>
      <c r="K115" s="18">
        <v>182628</v>
      </c>
      <c r="L115" s="33">
        <v>0.11896313818253498</v>
      </c>
      <c r="M115" t="s">
        <v>22</v>
      </c>
    </row>
    <row r="116" spans="1:13" x14ac:dyDescent="0.3">
      <c r="A116" t="s">
        <v>133</v>
      </c>
      <c r="B116" t="s">
        <v>34</v>
      </c>
      <c r="C116" s="73">
        <v>45464</v>
      </c>
      <c r="D116" t="s">
        <v>24</v>
      </c>
      <c r="E116" t="s">
        <v>346</v>
      </c>
      <c r="F116" s="18">
        <v>21216</v>
      </c>
      <c r="G116" s="18">
        <v>1207</v>
      </c>
      <c r="H116" s="18">
        <v>859</v>
      </c>
      <c r="I116" s="18">
        <v>328</v>
      </c>
      <c r="J116" s="18">
        <v>91296</v>
      </c>
      <c r="K116" s="18">
        <v>196683</v>
      </c>
      <c r="L116" s="33">
        <v>0.1183732198512327</v>
      </c>
      <c r="M116" t="s">
        <v>22</v>
      </c>
    </row>
    <row r="117" spans="1:13" x14ac:dyDescent="0.3">
      <c r="A117" t="s">
        <v>89</v>
      </c>
      <c r="B117" t="s">
        <v>20</v>
      </c>
      <c r="C117" s="73">
        <v>45504</v>
      </c>
      <c r="D117" t="s">
        <v>14</v>
      </c>
      <c r="E117" t="s">
        <v>343</v>
      </c>
      <c r="F117" s="18">
        <v>12357</v>
      </c>
      <c r="G117" s="18">
        <v>716</v>
      </c>
      <c r="H117" s="18">
        <v>599</v>
      </c>
      <c r="I117" s="18">
        <v>999</v>
      </c>
      <c r="J117" s="18">
        <v>89591</v>
      </c>
      <c r="K117" s="18">
        <v>116367</v>
      </c>
      <c r="L117" s="33">
        <v>0.11749035379446063</v>
      </c>
      <c r="M117" t="s">
        <v>15</v>
      </c>
    </row>
    <row r="118" spans="1:13" x14ac:dyDescent="0.3">
      <c r="A118" t="s">
        <v>230</v>
      </c>
      <c r="B118" t="s">
        <v>20</v>
      </c>
      <c r="C118" s="73">
        <v>45922</v>
      </c>
      <c r="D118" t="s">
        <v>30</v>
      </c>
      <c r="E118" t="s">
        <v>28</v>
      </c>
      <c r="F118" s="18">
        <v>18509</v>
      </c>
      <c r="G118" s="18">
        <v>361</v>
      </c>
      <c r="H118" s="18">
        <v>578</v>
      </c>
      <c r="I118" s="18">
        <v>1409</v>
      </c>
      <c r="J118" s="18">
        <v>10569</v>
      </c>
      <c r="K118" s="18">
        <v>166969</v>
      </c>
      <c r="L118" s="33">
        <v>0.11647671124580011</v>
      </c>
      <c r="M118" t="s">
        <v>18</v>
      </c>
    </row>
    <row r="119" spans="1:13" x14ac:dyDescent="0.3">
      <c r="A119" t="s">
        <v>276</v>
      </c>
      <c r="B119" t="s">
        <v>13</v>
      </c>
      <c r="C119" s="73">
        <v>45465</v>
      </c>
      <c r="D119" t="s">
        <v>21</v>
      </c>
      <c r="E119" t="s">
        <v>348</v>
      </c>
      <c r="F119" s="18">
        <v>7342</v>
      </c>
      <c r="G119" s="18">
        <v>906</v>
      </c>
      <c r="H119" s="18">
        <v>902</v>
      </c>
      <c r="I119" s="18">
        <v>1199</v>
      </c>
      <c r="J119" s="18">
        <v>68488</v>
      </c>
      <c r="K119" s="18">
        <v>79310</v>
      </c>
      <c r="L119" s="33">
        <v>0.1153700668263775</v>
      </c>
      <c r="M119" t="s">
        <v>15</v>
      </c>
    </row>
    <row r="120" spans="1:13" x14ac:dyDescent="0.3">
      <c r="A120" t="s">
        <v>121</v>
      </c>
      <c r="B120" t="s">
        <v>34</v>
      </c>
      <c r="C120" s="73">
        <v>45604</v>
      </c>
      <c r="D120" t="s">
        <v>21</v>
      </c>
      <c r="E120" t="s">
        <v>346</v>
      </c>
      <c r="F120" s="18">
        <v>23499</v>
      </c>
      <c r="G120" s="18">
        <v>562</v>
      </c>
      <c r="H120" s="18">
        <v>964</v>
      </c>
      <c r="I120" s="18">
        <v>2557</v>
      </c>
      <c r="J120" s="18">
        <v>56890</v>
      </c>
      <c r="K120" s="18">
        <v>218686</v>
      </c>
      <c r="L120" s="33">
        <v>0.11443347996671026</v>
      </c>
      <c r="M120" t="s">
        <v>25</v>
      </c>
    </row>
    <row r="121" spans="1:13" x14ac:dyDescent="0.3">
      <c r="A121" t="s">
        <v>169</v>
      </c>
      <c r="B121" t="s">
        <v>17</v>
      </c>
      <c r="C121" s="73">
        <v>45567</v>
      </c>
      <c r="D121" t="s">
        <v>14</v>
      </c>
      <c r="E121" t="s">
        <v>345</v>
      </c>
      <c r="F121" s="18">
        <v>15716</v>
      </c>
      <c r="G121" s="18">
        <v>839</v>
      </c>
      <c r="H121" s="18">
        <v>639</v>
      </c>
      <c r="I121" s="18">
        <v>2839</v>
      </c>
      <c r="J121" s="18">
        <v>349</v>
      </c>
      <c r="K121" s="18">
        <v>150677</v>
      </c>
      <c r="L121" s="33">
        <v>0.11411164278556117</v>
      </c>
      <c r="M121" t="s">
        <v>22</v>
      </c>
    </row>
    <row r="122" spans="1:13" x14ac:dyDescent="0.3">
      <c r="A122" t="s">
        <v>124</v>
      </c>
      <c r="B122" t="s">
        <v>17</v>
      </c>
      <c r="C122" s="73">
        <v>45453</v>
      </c>
      <c r="D122" t="s">
        <v>24</v>
      </c>
      <c r="E122" t="s">
        <v>347</v>
      </c>
      <c r="F122" s="18">
        <v>21561</v>
      </c>
      <c r="G122" s="18">
        <v>340</v>
      </c>
      <c r="H122" s="18">
        <v>741</v>
      </c>
      <c r="I122" s="18">
        <v>986</v>
      </c>
      <c r="J122" s="18">
        <v>24826</v>
      </c>
      <c r="K122" s="18">
        <v>198492</v>
      </c>
      <c r="L122" s="33">
        <v>0.11407008846704149</v>
      </c>
      <c r="M122" t="s">
        <v>15</v>
      </c>
    </row>
    <row r="123" spans="1:13" x14ac:dyDescent="0.3">
      <c r="A123" t="s">
        <v>187</v>
      </c>
      <c r="B123" t="s">
        <v>13</v>
      </c>
      <c r="C123" s="73">
        <v>45936</v>
      </c>
      <c r="D123" t="s">
        <v>24</v>
      </c>
      <c r="E123" t="s">
        <v>345</v>
      </c>
      <c r="F123" s="18">
        <v>22028</v>
      </c>
      <c r="G123" s="18">
        <v>355</v>
      </c>
      <c r="H123" s="18">
        <v>665</v>
      </c>
      <c r="I123" s="18">
        <v>1859</v>
      </c>
      <c r="J123" s="18">
        <v>50565</v>
      </c>
      <c r="K123" s="18">
        <v>202962</v>
      </c>
      <c r="L123" s="33">
        <v>0.11355820301337197</v>
      </c>
      <c r="M123" t="s">
        <v>18</v>
      </c>
    </row>
    <row r="124" spans="1:13" x14ac:dyDescent="0.3">
      <c r="A124" t="s">
        <v>52</v>
      </c>
      <c r="B124" t="s">
        <v>34</v>
      </c>
      <c r="C124" s="73">
        <v>45552</v>
      </c>
      <c r="D124" t="s">
        <v>21</v>
      </c>
      <c r="E124" t="s">
        <v>349</v>
      </c>
      <c r="F124" s="18">
        <v>20017</v>
      </c>
      <c r="G124" s="18">
        <v>495</v>
      </c>
      <c r="H124" s="18">
        <v>178</v>
      </c>
      <c r="I124" s="18">
        <v>2683</v>
      </c>
      <c r="J124" s="18">
        <v>32244</v>
      </c>
      <c r="K124" s="18">
        <v>182633</v>
      </c>
      <c r="L124" s="33">
        <v>0.11328730295182141</v>
      </c>
      <c r="M124" t="s">
        <v>15</v>
      </c>
    </row>
    <row r="125" spans="1:13" x14ac:dyDescent="0.3">
      <c r="A125" t="s">
        <v>154</v>
      </c>
      <c r="B125" t="s">
        <v>20</v>
      </c>
      <c r="C125" s="73">
        <v>45667</v>
      </c>
      <c r="D125" t="s">
        <v>30</v>
      </c>
      <c r="E125" t="s">
        <v>351</v>
      </c>
      <c r="F125" s="18">
        <v>14647</v>
      </c>
      <c r="G125" s="18">
        <v>1168</v>
      </c>
      <c r="H125" s="18">
        <v>484</v>
      </c>
      <c r="I125" s="18">
        <v>2650</v>
      </c>
      <c r="J125" s="18">
        <v>27217</v>
      </c>
      <c r="K125" s="18">
        <v>144061</v>
      </c>
      <c r="L125" s="33">
        <v>0.11313957281984714</v>
      </c>
      <c r="M125" t="s">
        <v>25</v>
      </c>
    </row>
    <row r="126" spans="1:13" x14ac:dyDescent="0.3">
      <c r="A126" t="s">
        <v>185</v>
      </c>
      <c r="B126" t="s">
        <v>20</v>
      </c>
      <c r="C126" s="73">
        <v>45935</v>
      </c>
      <c r="D126" t="s">
        <v>21</v>
      </c>
      <c r="E126" t="s">
        <v>347</v>
      </c>
      <c r="F126" s="18">
        <v>21262</v>
      </c>
      <c r="G126" s="18">
        <v>861</v>
      </c>
      <c r="H126" s="18">
        <v>676</v>
      </c>
      <c r="I126" s="18">
        <v>2263</v>
      </c>
      <c r="J126" s="18">
        <v>12085</v>
      </c>
      <c r="K126" s="18">
        <v>201731</v>
      </c>
      <c r="L126" s="33">
        <v>0.11301683925623726</v>
      </c>
      <c r="M126" t="s">
        <v>18</v>
      </c>
    </row>
    <row r="127" spans="1:13" x14ac:dyDescent="0.3">
      <c r="A127" t="s">
        <v>221</v>
      </c>
      <c r="B127" t="s">
        <v>13</v>
      </c>
      <c r="C127" s="73">
        <v>45519</v>
      </c>
      <c r="D127" t="s">
        <v>14</v>
      </c>
      <c r="E127" t="s">
        <v>349</v>
      </c>
      <c r="F127" s="18">
        <v>15503</v>
      </c>
      <c r="G127" s="18">
        <v>313</v>
      </c>
      <c r="H127" s="18">
        <v>388</v>
      </c>
      <c r="I127" s="18">
        <v>1078</v>
      </c>
      <c r="J127" s="18">
        <v>11500</v>
      </c>
      <c r="K127" s="18">
        <v>143754</v>
      </c>
      <c r="L127" s="33">
        <v>0.1127203416948398</v>
      </c>
      <c r="M127" t="s">
        <v>25</v>
      </c>
    </row>
    <row r="128" spans="1:13" x14ac:dyDescent="0.3">
      <c r="A128" t="s">
        <v>97</v>
      </c>
      <c r="B128" t="s">
        <v>34</v>
      </c>
      <c r="C128" s="73">
        <v>45537</v>
      </c>
      <c r="D128" t="s">
        <v>30</v>
      </c>
      <c r="E128" t="s">
        <v>346</v>
      </c>
      <c r="F128" s="18">
        <v>12040</v>
      </c>
      <c r="G128" s="18">
        <v>1147</v>
      </c>
      <c r="H128" s="18">
        <v>210</v>
      </c>
      <c r="I128" s="18">
        <v>885</v>
      </c>
      <c r="J128" s="18">
        <v>30360</v>
      </c>
      <c r="K128" s="18">
        <v>119530</v>
      </c>
      <c r="L128" s="33">
        <v>0.1120806492094035</v>
      </c>
      <c r="M128" t="s">
        <v>25</v>
      </c>
    </row>
    <row r="129" spans="1:13" x14ac:dyDescent="0.3">
      <c r="A129" t="s">
        <v>118</v>
      </c>
      <c r="B129" t="s">
        <v>17</v>
      </c>
      <c r="C129" s="73">
        <v>45586</v>
      </c>
      <c r="D129" t="s">
        <v>21</v>
      </c>
      <c r="E129" t="s">
        <v>344</v>
      </c>
      <c r="F129" s="18">
        <v>19715</v>
      </c>
      <c r="G129" s="18">
        <v>1014</v>
      </c>
      <c r="H129" s="18">
        <v>718</v>
      </c>
      <c r="I129" s="18">
        <v>1185</v>
      </c>
      <c r="J129" s="18">
        <v>37625</v>
      </c>
      <c r="K129" s="18">
        <v>191409</v>
      </c>
      <c r="L129" s="33">
        <v>0.11204802282024356</v>
      </c>
      <c r="M129" t="s">
        <v>15</v>
      </c>
    </row>
    <row r="130" spans="1:13" x14ac:dyDescent="0.3">
      <c r="A130" t="s">
        <v>251</v>
      </c>
      <c r="B130" t="s">
        <v>34</v>
      </c>
      <c r="C130" s="73">
        <v>45463</v>
      </c>
      <c r="D130" t="s">
        <v>24</v>
      </c>
      <c r="E130" t="s">
        <v>348</v>
      </c>
      <c r="F130" s="18">
        <v>21123</v>
      </c>
      <c r="G130" s="18">
        <v>1343</v>
      </c>
      <c r="H130" s="18">
        <v>589</v>
      </c>
      <c r="I130" s="18">
        <v>727</v>
      </c>
      <c r="J130" s="18">
        <v>87833</v>
      </c>
      <c r="K130" s="18">
        <v>206703</v>
      </c>
      <c r="L130" s="33">
        <v>0.11153684271636116</v>
      </c>
      <c r="M130" t="s">
        <v>15</v>
      </c>
    </row>
    <row r="131" spans="1:13" x14ac:dyDescent="0.3">
      <c r="A131" t="s">
        <v>44</v>
      </c>
      <c r="B131" t="s">
        <v>17</v>
      </c>
      <c r="C131" s="73">
        <v>45466</v>
      </c>
      <c r="D131" t="s">
        <v>21</v>
      </c>
      <c r="E131" t="s">
        <v>350</v>
      </c>
      <c r="F131" s="18">
        <v>16512</v>
      </c>
      <c r="G131" s="18">
        <v>1050</v>
      </c>
      <c r="H131" s="18">
        <v>971</v>
      </c>
      <c r="I131" s="18">
        <v>1891</v>
      </c>
      <c r="J131" s="18">
        <v>15865</v>
      </c>
      <c r="K131" s="18">
        <v>166503</v>
      </c>
      <c r="L131" s="33">
        <v>0.1113073037723044</v>
      </c>
      <c r="M131" t="s">
        <v>25</v>
      </c>
    </row>
    <row r="132" spans="1:13" x14ac:dyDescent="0.3">
      <c r="A132" t="s">
        <v>19</v>
      </c>
      <c r="B132" t="s">
        <v>20</v>
      </c>
      <c r="C132" s="73">
        <v>45789</v>
      </c>
      <c r="D132" t="s">
        <v>21</v>
      </c>
      <c r="E132" t="s">
        <v>345</v>
      </c>
      <c r="F132" s="18">
        <v>19308</v>
      </c>
      <c r="G132" s="18">
        <v>1318</v>
      </c>
      <c r="H132" s="18">
        <v>795</v>
      </c>
      <c r="I132" s="18">
        <v>1499</v>
      </c>
      <c r="J132" s="18">
        <v>52307</v>
      </c>
      <c r="K132" s="18">
        <v>193087</v>
      </c>
      <c r="L132" s="33">
        <v>0.11093962825047776</v>
      </c>
      <c r="M132" t="s">
        <v>22</v>
      </c>
    </row>
    <row r="133" spans="1:13" x14ac:dyDescent="0.3">
      <c r="A133" t="s">
        <v>172</v>
      </c>
      <c r="B133" t="s">
        <v>13</v>
      </c>
      <c r="C133" s="73">
        <v>45448</v>
      </c>
      <c r="D133" t="s">
        <v>21</v>
      </c>
      <c r="E133" t="s">
        <v>351</v>
      </c>
      <c r="F133" s="18">
        <v>18907</v>
      </c>
      <c r="G133" s="18">
        <v>1075</v>
      </c>
      <c r="H133" s="18">
        <v>675</v>
      </c>
      <c r="I133" s="18">
        <v>1383</v>
      </c>
      <c r="J133" s="18">
        <v>17875</v>
      </c>
      <c r="K133" s="18">
        <v>186649</v>
      </c>
      <c r="L133" s="33">
        <v>0.11067297440650634</v>
      </c>
      <c r="M133" t="s">
        <v>15</v>
      </c>
    </row>
    <row r="134" spans="1:13" x14ac:dyDescent="0.3">
      <c r="A134" t="s">
        <v>310</v>
      </c>
      <c r="B134" t="s">
        <v>13</v>
      </c>
      <c r="C134" s="73">
        <v>45552</v>
      </c>
      <c r="D134" t="s">
        <v>24</v>
      </c>
      <c r="E134" t="s">
        <v>347</v>
      </c>
      <c r="F134" s="18">
        <v>20410</v>
      </c>
      <c r="G134" s="18">
        <v>1332</v>
      </c>
      <c r="H134" s="18">
        <v>472</v>
      </c>
      <c r="I134" s="18">
        <v>1202</v>
      </c>
      <c r="J134" s="18">
        <v>9418</v>
      </c>
      <c r="K134" s="18">
        <v>200806</v>
      </c>
      <c r="L134" s="33">
        <v>0.11062418453631864</v>
      </c>
      <c r="M134" t="s">
        <v>15</v>
      </c>
    </row>
    <row r="135" spans="1:13" x14ac:dyDescent="0.3">
      <c r="A135" t="s">
        <v>261</v>
      </c>
      <c r="B135" t="s">
        <v>17</v>
      </c>
      <c r="C135" s="73">
        <v>45648</v>
      </c>
      <c r="D135" t="s">
        <v>21</v>
      </c>
      <c r="E135" t="s">
        <v>346</v>
      </c>
      <c r="F135" s="18">
        <v>20117</v>
      </c>
      <c r="G135" s="18">
        <v>1143</v>
      </c>
      <c r="H135" s="18">
        <v>713</v>
      </c>
      <c r="I135" s="18">
        <v>1739</v>
      </c>
      <c r="J135" s="18">
        <v>34444</v>
      </c>
      <c r="K135" s="18">
        <v>198670</v>
      </c>
      <c r="L135" s="33">
        <v>0.11060049328031409</v>
      </c>
      <c r="M135" t="s">
        <v>38</v>
      </c>
    </row>
    <row r="136" spans="1:13" x14ac:dyDescent="0.3">
      <c r="A136" t="s">
        <v>308</v>
      </c>
      <c r="B136" t="s">
        <v>17</v>
      </c>
      <c r="C136" s="73">
        <v>45568</v>
      </c>
      <c r="D136" t="s">
        <v>14</v>
      </c>
      <c r="E136" t="s">
        <v>346</v>
      </c>
      <c r="F136" s="18">
        <v>22618</v>
      </c>
      <c r="G136" s="18">
        <v>641</v>
      </c>
      <c r="H136" s="18">
        <v>416</v>
      </c>
      <c r="I136" s="18">
        <v>1530</v>
      </c>
      <c r="J136" s="18">
        <v>18395</v>
      </c>
      <c r="K136" s="18">
        <v>215211</v>
      </c>
      <c r="L136" s="33">
        <v>0.1100083174187193</v>
      </c>
      <c r="M136" t="s">
        <v>38</v>
      </c>
    </row>
    <row r="137" spans="1:13" x14ac:dyDescent="0.3">
      <c r="A137" t="s">
        <v>284</v>
      </c>
      <c r="B137" t="s">
        <v>34</v>
      </c>
      <c r="C137" s="73">
        <v>45509</v>
      </c>
      <c r="D137" t="s">
        <v>24</v>
      </c>
      <c r="E137" t="s">
        <v>343</v>
      </c>
      <c r="F137" s="18">
        <v>20935</v>
      </c>
      <c r="G137" s="18">
        <v>1104</v>
      </c>
      <c r="H137" s="18">
        <v>876</v>
      </c>
      <c r="I137" s="18">
        <v>1270</v>
      </c>
      <c r="J137" s="18">
        <v>21454</v>
      </c>
      <c r="K137" s="18">
        <v>208722</v>
      </c>
      <c r="L137" s="33">
        <v>0.10978718103506099</v>
      </c>
      <c r="M137" t="s">
        <v>22</v>
      </c>
    </row>
    <row r="138" spans="1:13" x14ac:dyDescent="0.3">
      <c r="A138" t="s">
        <v>179</v>
      </c>
      <c r="B138" t="s">
        <v>20</v>
      </c>
      <c r="C138" s="73">
        <v>45658</v>
      </c>
      <c r="D138" t="s">
        <v>24</v>
      </c>
      <c r="E138" t="s">
        <v>344</v>
      </c>
      <c r="F138" s="18">
        <v>24574</v>
      </c>
      <c r="G138" s="18">
        <v>909</v>
      </c>
      <c r="H138" s="18">
        <v>280</v>
      </c>
      <c r="I138" s="18">
        <v>2009</v>
      </c>
      <c r="J138" s="18">
        <v>6221</v>
      </c>
      <c r="K138" s="18">
        <v>236910</v>
      </c>
      <c r="L138" s="33">
        <v>0.10874593727575872</v>
      </c>
      <c r="M138" t="s">
        <v>38</v>
      </c>
    </row>
    <row r="139" spans="1:13" x14ac:dyDescent="0.3">
      <c r="A139" t="s">
        <v>59</v>
      </c>
      <c r="B139" t="s">
        <v>17</v>
      </c>
      <c r="C139" s="73">
        <v>45911</v>
      </c>
      <c r="D139" t="s">
        <v>30</v>
      </c>
      <c r="E139" t="s">
        <v>349</v>
      </c>
      <c r="F139" s="18">
        <v>10175</v>
      </c>
      <c r="G139" s="18">
        <v>342</v>
      </c>
      <c r="H139" s="18">
        <v>825</v>
      </c>
      <c r="I139" s="18">
        <v>2904</v>
      </c>
      <c r="J139" s="18">
        <v>15954</v>
      </c>
      <c r="K139" s="18">
        <v>104324</v>
      </c>
      <c r="L139" s="33">
        <v>0.10871899083624094</v>
      </c>
      <c r="M139" t="s">
        <v>18</v>
      </c>
    </row>
    <row r="140" spans="1:13" x14ac:dyDescent="0.3">
      <c r="A140" t="s">
        <v>209</v>
      </c>
      <c r="B140" t="s">
        <v>34</v>
      </c>
      <c r="C140" s="73">
        <v>45643</v>
      </c>
      <c r="D140" t="s">
        <v>14</v>
      </c>
      <c r="E140" t="s">
        <v>348</v>
      </c>
      <c r="F140" s="18">
        <v>20030</v>
      </c>
      <c r="G140" s="18">
        <v>485</v>
      </c>
      <c r="H140" s="18">
        <v>888</v>
      </c>
      <c r="I140" s="18">
        <v>1643</v>
      </c>
      <c r="J140" s="18">
        <v>4322</v>
      </c>
      <c r="K140" s="18">
        <v>196995</v>
      </c>
      <c r="L140" s="33">
        <v>0.10864742759968526</v>
      </c>
      <c r="M140" t="s">
        <v>22</v>
      </c>
    </row>
    <row r="141" spans="1:13" x14ac:dyDescent="0.3">
      <c r="A141" t="s">
        <v>78</v>
      </c>
      <c r="B141" t="s">
        <v>34</v>
      </c>
      <c r="C141" s="73">
        <v>45919</v>
      </c>
      <c r="D141" t="s">
        <v>14</v>
      </c>
      <c r="E141" t="s">
        <v>348</v>
      </c>
      <c r="F141" s="18">
        <v>19100</v>
      </c>
      <c r="G141" s="18">
        <v>619</v>
      </c>
      <c r="H141" s="18">
        <v>297</v>
      </c>
      <c r="I141" s="18">
        <v>2312</v>
      </c>
      <c r="J141" s="18">
        <v>9730</v>
      </c>
      <c r="K141" s="18">
        <v>184832</v>
      </c>
      <c r="L141" s="33">
        <v>0.10829293628808864</v>
      </c>
      <c r="M141" t="s">
        <v>18</v>
      </c>
    </row>
    <row r="142" spans="1:13" x14ac:dyDescent="0.3">
      <c r="A142" t="s">
        <v>225</v>
      </c>
      <c r="B142" t="s">
        <v>20</v>
      </c>
      <c r="C142" s="73">
        <v>45920</v>
      </c>
      <c r="D142" t="s">
        <v>14</v>
      </c>
      <c r="E142" t="s">
        <v>348</v>
      </c>
      <c r="F142" s="18">
        <v>12267</v>
      </c>
      <c r="G142" s="18">
        <v>1487</v>
      </c>
      <c r="H142" s="18">
        <v>489</v>
      </c>
      <c r="I142" s="18">
        <v>2748</v>
      </c>
      <c r="J142" s="18">
        <v>34685</v>
      </c>
      <c r="K142" s="18">
        <v>131736</v>
      </c>
      <c r="L142" s="33">
        <v>0.1081177506528208</v>
      </c>
      <c r="M142" t="s">
        <v>18</v>
      </c>
    </row>
    <row r="143" spans="1:13" x14ac:dyDescent="0.3">
      <c r="A143" t="s">
        <v>288</v>
      </c>
      <c r="B143" t="s">
        <v>34</v>
      </c>
      <c r="C143" s="73">
        <v>45675</v>
      </c>
      <c r="D143" t="s">
        <v>21</v>
      </c>
      <c r="E143" t="s">
        <v>351</v>
      </c>
      <c r="F143" s="18">
        <v>22673</v>
      </c>
      <c r="G143" s="18">
        <v>1053</v>
      </c>
      <c r="H143" s="18">
        <v>169</v>
      </c>
      <c r="I143" s="18">
        <v>1566</v>
      </c>
      <c r="J143" s="18">
        <v>9417</v>
      </c>
      <c r="K143" s="18">
        <v>221187</v>
      </c>
      <c r="L143" s="33">
        <v>0.10803076130152314</v>
      </c>
      <c r="M143" t="s">
        <v>25</v>
      </c>
    </row>
    <row r="144" spans="1:13" x14ac:dyDescent="0.3">
      <c r="A144" t="s">
        <v>294</v>
      </c>
      <c r="B144" t="s">
        <v>17</v>
      </c>
      <c r="C144" s="73">
        <v>45760</v>
      </c>
      <c r="D144" t="s">
        <v>30</v>
      </c>
      <c r="E144" t="s">
        <v>55</v>
      </c>
      <c r="F144" s="18">
        <v>24700</v>
      </c>
      <c r="G144" s="18">
        <v>327</v>
      </c>
      <c r="H144" s="18">
        <v>999</v>
      </c>
      <c r="I144" s="18">
        <v>994</v>
      </c>
      <c r="J144" s="18">
        <v>59400</v>
      </c>
      <c r="K144" s="18">
        <v>243502</v>
      </c>
      <c r="L144" s="33">
        <v>0.10688207899729776</v>
      </c>
      <c r="M144" t="s">
        <v>22</v>
      </c>
    </row>
    <row r="145" spans="1:13" x14ac:dyDescent="0.3">
      <c r="A145" t="s">
        <v>206</v>
      </c>
      <c r="B145" t="s">
        <v>13</v>
      </c>
      <c r="C145" s="73">
        <v>45941</v>
      </c>
      <c r="D145" t="s">
        <v>30</v>
      </c>
      <c r="E145" t="s">
        <v>348</v>
      </c>
      <c r="F145" s="18">
        <v>15623</v>
      </c>
      <c r="G145" s="18">
        <v>869</v>
      </c>
      <c r="H145" s="18">
        <v>423</v>
      </c>
      <c r="I145" s="18">
        <v>371</v>
      </c>
      <c r="J145" s="18">
        <v>47579</v>
      </c>
      <c r="K145" s="18">
        <v>158516</v>
      </c>
      <c r="L145" s="33">
        <v>0.10670847106916652</v>
      </c>
      <c r="M145" t="s">
        <v>18</v>
      </c>
    </row>
    <row r="146" spans="1:13" x14ac:dyDescent="0.3">
      <c r="A146" t="s">
        <v>240</v>
      </c>
      <c r="B146" t="s">
        <v>13</v>
      </c>
      <c r="C146" s="73">
        <v>45649</v>
      </c>
      <c r="D146" t="s">
        <v>24</v>
      </c>
      <c r="E146" t="s">
        <v>345</v>
      </c>
      <c r="F146" s="18">
        <v>18616</v>
      </c>
      <c r="G146" s="18">
        <v>1277</v>
      </c>
      <c r="H146" s="18">
        <v>734</v>
      </c>
      <c r="I146" s="18">
        <v>2249</v>
      </c>
      <c r="J146" s="18">
        <v>3399</v>
      </c>
      <c r="K146" s="18">
        <v>193515</v>
      </c>
      <c r="L146" s="33">
        <v>0.10659122031883833</v>
      </c>
      <c r="M146" t="s">
        <v>25</v>
      </c>
    </row>
    <row r="147" spans="1:13" x14ac:dyDescent="0.3">
      <c r="A147" t="s">
        <v>298</v>
      </c>
      <c r="B147" t="s">
        <v>17</v>
      </c>
      <c r="C147" s="73">
        <v>45743</v>
      </c>
      <c r="D147" t="s">
        <v>21</v>
      </c>
      <c r="E147" t="s">
        <v>351</v>
      </c>
      <c r="F147" s="18">
        <v>14819</v>
      </c>
      <c r="G147" s="18">
        <v>1432</v>
      </c>
      <c r="H147" s="18">
        <v>152</v>
      </c>
      <c r="I147" s="18">
        <v>961</v>
      </c>
      <c r="J147" s="18">
        <v>39154</v>
      </c>
      <c r="K147" s="18">
        <v>154793</v>
      </c>
      <c r="L147" s="33">
        <v>0.10596732410380315</v>
      </c>
      <c r="M147" t="s">
        <v>25</v>
      </c>
    </row>
    <row r="148" spans="1:13" x14ac:dyDescent="0.3">
      <c r="A148" t="s">
        <v>224</v>
      </c>
      <c r="B148" t="s">
        <v>17</v>
      </c>
      <c r="C148" s="73">
        <v>45919</v>
      </c>
      <c r="D148" t="s">
        <v>30</v>
      </c>
      <c r="E148" t="s">
        <v>346</v>
      </c>
      <c r="F148" s="18">
        <v>14772</v>
      </c>
      <c r="G148" s="18">
        <v>1030</v>
      </c>
      <c r="H148" s="18">
        <v>508</v>
      </c>
      <c r="I148" s="18">
        <v>1876</v>
      </c>
      <c r="J148" s="18">
        <v>8882</v>
      </c>
      <c r="K148" s="18">
        <v>155142</v>
      </c>
      <c r="L148" s="33">
        <v>0.10512949426976577</v>
      </c>
      <c r="M148" t="s">
        <v>18</v>
      </c>
    </row>
    <row r="149" spans="1:13" x14ac:dyDescent="0.3">
      <c r="A149" t="s">
        <v>322</v>
      </c>
      <c r="B149" t="s">
        <v>17</v>
      </c>
      <c r="C149" s="73">
        <v>45699</v>
      </c>
      <c r="D149" t="s">
        <v>30</v>
      </c>
      <c r="E149" t="s">
        <v>352</v>
      </c>
      <c r="F149" s="18">
        <v>3619</v>
      </c>
      <c r="G149" s="18">
        <v>1376</v>
      </c>
      <c r="H149" s="18">
        <v>410</v>
      </c>
      <c r="I149" s="18">
        <v>2499</v>
      </c>
      <c r="J149" s="18">
        <v>58146</v>
      </c>
      <c r="K149" s="18">
        <v>52149</v>
      </c>
      <c r="L149" s="33">
        <v>0.10364532397553165</v>
      </c>
      <c r="M149" t="s">
        <v>15</v>
      </c>
    </row>
    <row r="150" spans="1:13" x14ac:dyDescent="0.3">
      <c r="A150" t="s">
        <v>266</v>
      </c>
      <c r="B150" t="s">
        <v>17</v>
      </c>
      <c r="C150" s="73">
        <v>45911</v>
      </c>
      <c r="D150" t="s">
        <v>24</v>
      </c>
      <c r="E150" t="s">
        <v>347</v>
      </c>
      <c r="F150" s="18">
        <v>21901</v>
      </c>
      <c r="G150" s="18">
        <v>1308</v>
      </c>
      <c r="H150" s="18">
        <v>724</v>
      </c>
      <c r="I150" s="18">
        <v>2183</v>
      </c>
      <c r="J150" s="18">
        <v>15996</v>
      </c>
      <c r="K150" s="18">
        <v>230961</v>
      </c>
      <c r="L150" s="33">
        <v>0.10362355549205277</v>
      </c>
      <c r="M150" t="s">
        <v>18</v>
      </c>
    </row>
    <row r="151" spans="1:13" x14ac:dyDescent="0.3">
      <c r="A151" t="s">
        <v>269</v>
      </c>
      <c r="B151" t="s">
        <v>17</v>
      </c>
      <c r="C151" s="73">
        <v>45722</v>
      </c>
      <c r="D151" t="s">
        <v>21</v>
      </c>
      <c r="E151" t="s">
        <v>349</v>
      </c>
      <c r="F151" s="18">
        <v>22119</v>
      </c>
      <c r="G151" s="18">
        <v>899</v>
      </c>
      <c r="H151" s="18">
        <v>642</v>
      </c>
      <c r="I151" s="18">
        <v>410</v>
      </c>
      <c r="J151" s="18">
        <v>49490</v>
      </c>
      <c r="K151" s="18">
        <v>229420</v>
      </c>
      <c r="L151" s="33">
        <v>0.10312963124400662</v>
      </c>
      <c r="M151" t="s">
        <v>25</v>
      </c>
    </row>
    <row r="152" spans="1:13" x14ac:dyDescent="0.3">
      <c r="A152" t="s">
        <v>316</v>
      </c>
      <c r="B152" t="s">
        <v>17</v>
      </c>
      <c r="C152" s="73">
        <v>45920</v>
      </c>
      <c r="D152" t="s">
        <v>14</v>
      </c>
      <c r="E152" t="s">
        <v>28</v>
      </c>
      <c r="F152" s="18">
        <v>24422</v>
      </c>
      <c r="G152" s="18">
        <v>327</v>
      </c>
      <c r="H152" s="18">
        <v>481</v>
      </c>
      <c r="I152" s="18">
        <v>2371</v>
      </c>
      <c r="J152" s="18">
        <v>35340</v>
      </c>
      <c r="K152" s="18">
        <v>245244</v>
      </c>
      <c r="L152" s="33">
        <v>0.10287713460879777</v>
      </c>
      <c r="M152" t="s">
        <v>18</v>
      </c>
    </row>
    <row r="153" spans="1:13" x14ac:dyDescent="0.3">
      <c r="A153" t="s">
        <v>263</v>
      </c>
      <c r="B153" t="s">
        <v>34</v>
      </c>
      <c r="C153" s="73">
        <v>45587</v>
      </c>
      <c r="D153" t="s">
        <v>30</v>
      </c>
      <c r="E153" t="s">
        <v>345</v>
      </c>
      <c r="F153" s="18">
        <v>7622</v>
      </c>
      <c r="G153" s="18">
        <v>529</v>
      </c>
      <c r="H153" s="18">
        <v>720</v>
      </c>
      <c r="I153" s="18">
        <v>1015</v>
      </c>
      <c r="J153" s="18">
        <v>71322</v>
      </c>
      <c r="K153" s="18">
        <v>86819</v>
      </c>
      <c r="L153" s="33">
        <v>0.10217809465669957</v>
      </c>
      <c r="M153" t="s">
        <v>38</v>
      </c>
    </row>
    <row r="154" spans="1:13" x14ac:dyDescent="0.3">
      <c r="A154" t="s">
        <v>192</v>
      </c>
      <c r="B154" t="s">
        <v>20</v>
      </c>
      <c r="C154" s="73">
        <v>45704</v>
      </c>
      <c r="D154" t="s">
        <v>21</v>
      </c>
      <c r="E154" t="s">
        <v>350</v>
      </c>
      <c r="F154" s="18">
        <v>24195</v>
      </c>
      <c r="G154" s="18">
        <v>888</v>
      </c>
      <c r="H154" s="18">
        <v>165</v>
      </c>
      <c r="I154" s="18">
        <v>1559</v>
      </c>
      <c r="J154" s="18">
        <v>11596</v>
      </c>
      <c r="K154" s="18">
        <v>249988</v>
      </c>
      <c r="L154" s="33">
        <v>0.10099684784869674</v>
      </c>
      <c r="M154" t="s">
        <v>22</v>
      </c>
    </row>
    <row r="155" spans="1:13" x14ac:dyDescent="0.3">
      <c r="A155" t="s">
        <v>148</v>
      </c>
      <c r="B155" t="s">
        <v>20</v>
      </c>
      <c r="C155" s="73">
        <v>45567</v>
      </c>
      <c r="D155" t="s">
        <v>24</v>
      </c>
      <c r="E155" t="s">
        <v>351</v>
      </c>
      <c r="F155" s="18">
        <v>9350</v>
      </c>
      <c r="G155" s="18">
        <v>1024</v>
      </c>
      <c r="H155" s="18">
        <v>550</v>
      </c>
      <c r="I155" s="18">
        <v>2123</v>
      </c>
      <c r="J155" s="18">
        <v>53916</v>
      </c>
      <c r="K155" s="18">
        <v>108785</v>
      </c>
      <c r="L155" s="33">
        <v>0.10041825619340902</v>
      </c>
      <c r="M155" t="s">
        <v>22</v>
      </c>
    </row>
    <row r="156" spans="1:13" x14ac:dyDescent="0.3">
      <c r="A156" t="s">
        <v>275</v>
      </c>
      <c r="B156" t="s">
        <v>20</v>
      </c>
      <c r="C156" s="73">
        <v>45491</v>
      </c>
      <c r="D156" t="s">
        <v>24</v>
      </c>
      <c r="E156" t="s">
        <v>55</v>
      </c>
      <c r="F156" s="18">
        <v>11111</v>
      </c>
      <c r="G156" s="18">
        <v>1222</v>
      </c>
      <c r="H156" s="18">
        <v>367</v>
      </c>
      <c r="I156" s="18">
        <v>507</v>
      </c>
      <c r="J156" s="18">
        <v>14129</v>
      </c>
      <c r="K156" s="18">
        <v>127163</v>
      </c>
      <c r="L156" s="33">
        <v>9.9871818060284834E-2</v>
      </c>
      <c r="M156" t="s">
        <v>38</v>
      </c>
    </row>
    <row r="157" spans="1:13" x14ac:dyDescent="0.3">
      <c r="A157" t="s">
        <v>191</v>
      </c>
      <c r="B157" t="s">
        <v>34</v>
      </c>
      <c r="C157" s="73">
        <v>45937</v>
      </c>
      <c r="D157" t="s">
        <v>30</v>
      </c>
      <c r="E157" t="s">
        <v>348</v>
      </c>
      <c r="F157" s="18">
        <v>19660</v>
      </c>
      <c r="G157" s="18">
        <v>1307</v>
      </c>
      <c r="H157" s="18">
        <v>310</v>
      </c>
      <c r="I157" s="18">
        <v>2802</v>
      </c>
      <c r="J157" s="18">
        <v>22171</v>
      </c>
      <c r="K157" s="18">
        <v>213359</v>
      </c>
      <c r="L157" s="33">
        <v>9.9723939463533293E-2</v>
      </c>
      <c r="M157" t="s">
        <v>18</v>
      </c>
    </row>
    <row r="158" spans="1:13" x14ac:dyDescent="0.3">
      <c r="A158" t="s">
        <v>33</v>
      </c>
      <c r="B158" t="s">
        <v>34</v>
      </c>
      <c r="C158" s="73">
        <v>45727</v>
      </c>
      <c r="D158" t="s">
        <v>24</v>
      </c>
      <c r="E158" t="s">
        <v>349</v>
      </c>
      <c r="F158" s="18">
        <v>20222</v>
      </c>
      <c r="G158" s="18">
        <v>712</v>
      </c>
      <c r="H158" s="18">
        <v>604</v>
      </c>
      <c r="I158" s="18">
        <v>1272</v>
      </c>
      <c r="J158" s="18">
        <v>71598</v>
      </c>
      <c r="K158" s="18">
        <v>216422</v>
      </c>
      <c r="L158" s="33">
        <v>9.9518533235992648E-2</v>
      </c>
      <c r="M158" t="s">
        <v>22</v>
      </c>
    </row>
    <row r="159" spans="1:13" x14ac:dyDescent="0.3">
      <c r="A159" t="s">
        <v>129</v>
      </c>
      <c r="B159" t="s">
        <v>34</v>
      </c>
      <c r="C159" s="73">
        <v>45927</v>
      </c>
      <c r="D159" t="s">
        <v>21</v>
      </c>
      <c r="E159" t="s">
        <v>344</v>
      </c>
      <c r="F159" s="18">
        <v>18521</v>
      </c>
      <c r="G159" s="18">
        <v>1027</v>
      </c>
      <c r="H159" s="18">
        <v>230</v>
      </c>
      <c r="I159" s="18">
        <v>1247</v>
      </c>
      <c r="J159" s="18">
        <v>39588</v>
      </c>
      <c r="K159" s="18">
        <v>200928</v>
      </c>
      <c r="L159" s="33">
        <v>9.8433269628921807E-2</v>
      </c>
      <c r="M159" t="s">
        <v>18</v>
      </c>
    </row>
    <row r="160" spans="1:13" x14ac:dyDescent="0.3">
      <c r="A160" t="s">
        <v>144</v>
      </c>
      <c r="B160" t="s">
        <v>34</v>
      </c>
      <c r="C160" s="73">
        <v>45600</v>
      </c>
      <c r="D160" t="s">
        <v>24</v>
      </c>
      <c r="E160" t="s">
        <v>28</v>
      </c>
      <c r="F160" s="18">
        <v>14234</v>
      </c>
      <c r="G160" s="18">
        <v>1013</v>
      </c>
      <c r="H160" s="18">
        <v>437</v>
      </c>
      <c r="I160" s="18">
        <v>338</v>
      </c>
      <c r="J160" s="18">
        <v>67754</v>
      </c>
      <c r="K160" s="18">
        <v>160030</v>
      </c>
      <c r="L160" s="33">
        <v>9.8006623758045364E-2</v>
      </c>
      <c r="M160" t="s">
        <v>22</v>
      </c>
    </row>
    <row r="161" spans="1:13" x14ac:dyDescent="0.3">
      <c r="A161" t="s">
        <v>279</v>
      </c>
      <c r="B161" t="s">
        <v>17</v>
      </c>
      <c r="C161" s="73">
        <v>45916</v>
      </c>
      <c r="D161" t="s">
        <v>14</v>
      </c>
      <c r="E161" t="s">
        <v>55</v>
      </c>
      <c r="F161" s="18">
        <v>16043</v>
      </c>
      <c r="G161" s="18">
        <v>595</v>
      </c>
      <c r="H161" s="18">
        <v>923</v>
      </c>
      <c r="I161" s="18">
        <v>1194</v>
      </c>
      <c r="J161" s="18">
        <v>52613</v>
      </c>
      <c r="K161" s="18">
        <v>179978</v>
      </c>
      <c r="L161" s="33">
        <v>9.757303670448611E-2</v>
      </c>
      <c r="M161" t="s">
        <v>18</v>
      </c>
    </row>
    <row r="162" spans="1:13" x14ac:dyDescent="0.3">
      <c r="A162" t="s">
        <v>140</v>
      </c>
      <c r="B162" t="s">
        <v>34</v>
      </c>
      <c r="C162" s="73">
        <v>45610</v>
      </c>
      <c r="D162" t="s">
        <v>14</v>
      </c>
      <c r="E162" t="s">
        <v>345</v>
      </c>
      <c r="F162" s="18">
        <v>6300</v>
      </c>
      <c r="G162" s="18">
        <v>1213</v>
      </c>
      <c r="H162" s="18">
        <v>720</v>
      </c>
      <c r="I162" s="18">
        <v>1037</v>
      </c>
      <c r="J162" s="18">
        <v>39569</v>
      </c>
      <c r="K162" s="18">
        <v>85272</v>
      </c>
      <c r="L162" s="33">
        <v>9.6549863964724647E-2</v>
      </c>
      <c r="M162" t="s">
        <v>25</v>
      </c>
    </row>
    <row r="163" spans="1:13" x14ac:dyDescent="0.3">
      <c r="A163" t="s">
        <v>234</v>
      </c>
      <c r="B163" t="s">
        <v>17</v>
      </c>
      <c r="C163" s="73">
        <v>45467</v>
      </c>
      <c r="D163" t="s">
        <v>21</v>
      </c>
      <c r="E163" t="s">
        <v>344</v>
      </c>
      <c r="F163" s="18">
        <v>5596</v>
      </c>
      <c r="G163" s="18">
        <v>1231</v>
      </c>
      <c r="H163" s="18">
        <v>473</v>
      </c>
      <c r="I163" s="18">
        <v>2251</v>
      </c>
      <c r="J163" s="18">
        <v>43705</v>
      </c>
      <c r="K163" s="18">
        <v>75643</v>
      </c>
      <c r="L163" s="33">
        <v>9.6505955607260427E-2</v>
      </c>
      <c r="M163" t="s">
        <v>15</v>
      </c>
    </row>
    <row r="164" spans="1:13" x14ac:dyDescent="0.3">
      <c r="A164" t="s">
        <v>289</v>
      </c>
      <c r="B164" t="s">
        <v>20</v>
      </c>
      <c r="C164" s="73">
        <v>45524</v>
      </c>
      <c r="D164" t="s">
        <v>21</v>
      </c>
      <c r="E164" t="s">
        <v>28</v>
      </c>
      <c r="F164" s="18">
        <v>2846</v>
      </c>
      <c r="G164" s="18">
        <v>792</v>
      </c>
      <c r="H164" s="18">
        <v>902</v>
      </c>
      <c r="I164" s="18">
        <v>2469</v>
      </c>
      <c r="J164" s="18">
        <v>12130</v>
      </c>
      <c r="K164" s="18">
        <v>47151</v>
      </c>
      <c r="L164" s="33">
        <v>9.6286399015927546E-2</v>
      </c>
      <c r="M164" t="s">
        <v>15</v>
      </c>
    </row>
    <row r="165" spans="1:13" x14ac:dyDescent="0.3">
      <c r="A165" t="s">
        <v>61</v>
      </c>
      <c r="B165" t="s">
        <v>34</v>
      </c>
      <c r="C165" s="73">
        <v>45626</v>
      </c>
      <c r="D165" t="s">
        <v>24</v>
      </c>
      <c r="E165" t="s">
        <v>350</v>
      </c>
      <c r="F165" s="18">
        <v>14763</v>
      </c>
      <c r="G165" s="18">
        <v>864</v>
      </c>
      <c r="H165" s="18">
        <v>336</v>
      </c>
      <c r="I165" s="18">
        <v>1493</v>
      </c>
      <c r="J165" s="18">
        <v>33310</v>
      </c>
      <c r="K165" s="18">
        <v>165932</v>
      </c>
      <c r="L165" s="33">
        <v>9.6202058674637797E-2</v>
      </c>
      <c r="M165" t="s">
        <v>25</v>
      </c>
    </row>
    <row r="166" spans="1:13" x14ac:dyDescent="0.3">
      <c r="A166" t="s">
        <v>51</v>
      </c>
      <c r="B166" t="s">
        <v>34</v>
      </c>
      <c r="C166" s="73">
        <v>45752</v>
      </c>
      <c r="D166" t="s">
        <v>24</v>
      </c>
      <c r="E166" t="s">
        <v>348</v>
      </c>
      <c r="F166" s="18">
        <v>22384</v>
      </c>
      <c r="G166" s="18">
        <v>601</v>
      </c>
      <c r="H166" s="18">
        <v>943</v>
      </c>
      <c r="I166" s="18">
        <v>515</v>
      </c>
      <c r="J166" s="18">
        <v>41309</v>
      </c>
      <c r="K166" s="18">
        <v>249373</v>
      </c>
      <c r="L166" s="33">
        <v>9.5952649244304716E-2</v>
      </c>
      <c r="M166" t="s">
        <v>15</v>
      </c>
    </row>
    <row r="167" spans="1:13" x14ac:dyDescent="0.3">
      <c r="A167" t="s">
        <v>264</v>
      </c>
      <c r="B167" t="s">
        <v>34</v>
      </c>
      <c r="C167" s="73">
        <v>45489</v>
      </c>
      <c r="D167" t="s">
        <v>21</v>
      </c>
      <c r="E167" t="s">
        <v>349</v>
      </c>
      <c r="F167" s="18">
        <v>8767</v>
      </c>
      <c r="G167" s="18">
        <v>974</v>
      </c>
      <c r="H167" s="18">
        <v>733</v>
      </c>
      <c r="I167" s="18">
        <v>1587</v>
      </c>
      <c r="J167" s="18">
        <v>74927</v>
      </c>
      <c r="K167" s="18">
        <v>113770</v>
      </c>
      <c r="L167" s="33">
        <v>9.2062933989628198E-2</v>
      </c>
      <c r="M167" t="s">
        <v>15</v>
      </c>
    </row>
    <row r="168" spans="1:13" x14ac:dyDescent="0.3">
      <c r="A168" t="s">
        <v>82</v>
      </c>
      <c r="B168" t="s">
        <v>17</v>
      </c>
      <c r="C168" s="73">
        <v>45644</v>
      </c>
      <c r="D168" t="s">
        <v>21</v>
      </c>
      <c r="E168" t="s">
        <v>349</v>
      </c>
      <c r="F168" s="18">
        <v>14775</v>
      </c>
      <c r="G168" s="18">
        <v>1220</v>
      </c>
      <c r="H168" s="18">
        <v>640</v>
      </c>
      <c r="I168" s="18">
        <v>1547</v>
      </c>
      <c r="J168" s="18">
        <v>28527</v>
      </c>
      <c r="K168" s="18">
        <v>183660</v>
      </c>
      <c r="L168" s="33">
        <v>9.0574975498203203E-2</v>
      </c>
      <c r="M168" t="s">
        <v>38</v>
      </c>
    </row>
    <row r="169" spans="1:13" x14ac:dyDescent="0.3">
      <c r="A169" t="s">
        <v>292</v>
      </c>
      <c r="B169" t="s">
        <v>34</v>
      </c>
      <c r="C169" s="73">
        <v>45621</v>
      </c>
      <c r="D169" t="s">
        <v>24</v>
      </c>
      <c r="E169" t="s">
        <v>349</v>
      </c>
      <c r="F169" s="18">
        <v>17385</v>
      </c>
      <c r="G169" s="18">
        <v>831</v>
      </c>
      <c r="H169" s="18">
        <v>568</v>
      </c>
      <c r="I169" s="18">
        <v>2227</v>
      </c>
      <c r="J169" s="18">
        <v>49351</v>
      </c>
      <c r="K169" s="18">
        <v>207450</v>
      </c>
      <c r="L169" s="33">
        <v>9.0547119787900698E-2</v>
      </c>
      <c r="M169" t="s">
        <v>22</v>
      </c>
    </row>
    <row r="170" spans="1:13" x14ac:dyDescent="0.3">
      <c r="A170" t="s">
        <v>205</v>
      </c>
      <c r="B170" t="s">
        <v>20</v>
      </c>
      <c r="C170" s="73">
        <v>45488</v>
      </c>
      <c r="D170" t="s">
        <v>14</v>
      </c>
      <c r="E170" t="s">
        <v>350</v>
      </c>
      <c r="F170" s="18">
        <v>17034</v>
      </c>
      <c r="G170" s="18">
        <v>231</v>
      </c>
      <c r="H170" s="18">
        <v>290</v>
      </c>
      <c r="I170" s="18">
        <v>1387</v>
      </c>
      <c r="J170" s="18">
        <v>63550</v>
      </c>
      <c r="K170" s="18">
        <v>198280</v>
      </c>
      <c r="L170" s="33">
        <v>8.8536413153116805E-2</v>
      </c>
      <c r="M170" t="s">
        <v>38</v>
      </c>
    </row>
    <row r="171" spans="1:13" x14ac:dyDescent="0.3">
      <c r="A171" t="s">
        <v>16</v>
      </c>
      <c r="B171" t="s">
        <v>17</v>
      </c>
      <c r="C171" s="73">
        <v>45903</v>
      </c>
      <c r="D171" t="s">
        <v>14</v>
      </c>
      <c r="E171" t="s">
        <v>344</v>
      </c>
      <c r="F171" s="18">
        <v>4779</v>
      </c>
      <c r="G171" s="18">
        <v>1110</v>
      </c>
      <c r="H171" s="18">
        <v>436</v>
      </c>
      <c r="I171" s="18">
        <v>1574</v>
      </c>
      <c r="J171" s="18">
        <v>77167</v>
      </c>
      <c r="K171" s="18">
        <v>71585</v>
      </c>
      <c r="L171" s="33">
        <v>8.8356499266606131E-2</v>
      </c>
      <c r="M171" t="s">
        <v>18</v>
      </c>
    </row>
    <row r="172" spans="1:13" x14ac:dyDescent="0.3">
      <c r="A172" t="s">
        <v>112</v>
      </c>
      <c r="B172" t="s">
        <v>13</v>
      </c>
      <c r="C172" s="73">
        <v>45684</v>
      </c>
      <c r="D172" t="s">
        <v>30</v>
      </c>
      <c r="E172" t="s">
        <v>349</v>
      </c>
      <c r="F172" s="18">
        <v>8949</v>
      </c>
      <c r="G172" s="18">
        <v>1477</v>
      </c>
      <c r="H172" s="18">
        <v>424</v>
      </c>
      <c r="I172" s="18">
        <v>1030</v>
      </c>
      <c r="J172" s="18">
        <v>58052</v>
      </c>
      <c r="K172" s="18">
        <v>123310</v>
      </c>
      <c r="L172" s="33">
        <v>8.7989619657773091E-2</v>
      </c>
      <c r="M172" t="s">
        <v>15</v>
      </c>
    </row>
    <row r="173" spans="1:13" x14ac:dyDescent="0.3">
      <c r="A173" t="s">
        <v>83</v>
      </c>
      <c r="B173" t="s">
        <v>17</v>
      </c>
      <c r="C173" s="73">
        <v>45586</v>
      </c>
      <c r="D173" t="s">
        <v>24</v>
      </c>
      <c r="E173" t="s">
        <v>350</v>
      </c>
      <c r="F173" s="18">
        <v>12015</v>
      </c>
      <c r="G173" s="18">
        <v>1196</v>
      </c>
      <c r="H173" s="18">
        <v>998</v>
      </c>
      <c r="I173" s="18">
        <v>1848</v>
      </c>
      <c r="J173" s="18">
        <v>44739</v>
      </c>
      <c r="K173" s="18">
        <v>161750</v>
      </c>
      <c r="L173" s="33">
        <v>8.7845440494590421E-2</v>
      </c>
      <c r="M173" t="s">
        <v>38</v>
      </c>
    </row>
    <row r="174" spans="1:13" x14ac:dyDescent="0.3">
      <c r="A174" t="s">
        <v>323</v>
      </c>
      <c r="B174" t="s">
        <v>34</v>
      </c>
      <c r="C174" s="73">
        <v>45650</v>
      </c>
      <c r="D174" t="s">
        <v>14</v>
      </c>
      <c r="E174" t="s">
        <v>55</v>
      </c>
      <c r="F174" s="18">
        <v>10512</v>
      </c>
      <c r="G174" s="18">
        <v>1197</v>
      </c>
      <c r="H174" s="18">
        <v>544</v>
      </c>
      <c r="I174" s="18">
        <v>2012</v>
      </c>
      <c r="J174" s="18">
        <v>10245</v>
      </c>
      <c r="K174" s="18">
        <v>140102</v>
      </c>
      <c r="L174" s="33">
        <v>8.745770938316369E-2</v>
      </c>
      <c r="M174" t="s">
        <v>15</v>
      </c>
    </row>
    <row r="175" spans="1:13" x14ac:dyDescent="0.3">
      <c r="A175" t="s">
        <v>163</v>
      </c>
      <c r="B175" t="s">
        <v>20</v>
      </c>
      <c r="C175" s="73">
        <v>45504</v>
      </c>
      <c r="D175" t="s">
        <v>30</v>
      </c>
      <c r="E175" t="s">
        <v>346</v>
      </c>
      <c r="F175" s="18">
        <v>13314</v>
      </c>
      <c r="G175" s="18">
        <v>274</v>
      </c>
      <c r="H175" s="18">
        <v>626</v>
      </c>
      <c r="I175" s="18">
        <v>2280</v>
      </c>
      <c r="J175" s="18">
        <v>14639</v>
      </c>
      <c r="K175" s="18">
        <v>163008</v>
      </c>
      <c r="L175" s="33">
        <v>8.7198174322732622E-2</v>
      </c>
      <c r="M175" t="s">
        <v>25</v>
      </c>
    </row>
    <row r="176" spans="1:13" x14ac:dyDescent="0.3">
      <c r="A176" t="s">
        <v>54</v>
      </c>
      <c r="B176" t="s">
        <v>17</v>
      </c>
      <c r="C176" s="73">
        <v>45910</v>
      </c>
      <c r="D176" t="s">
        <v>30</v>
      </c>
      <c r="E176" t="s">
        <v>55</v>
      </c>
      <c r="F176" s="18">
        <v>9266</v>
      </c>
      <c r="G176" s="18">
        <v>999</v>
      </c>
      <c r="H176" s="18">
        <v>928</v>
      </c>
      <c r="I176" s="18">
        <v>2700</v>
      </c>
      <c r="J176" s="18">
        <v>12264</v>
      </c>
      <c r="K176" s="18">
        <v>128397</v>
      </c>
      <c r="L176" s="33">
        <v>8.7174933993784898E-2</v>
      </c>
      <c r="M176" t="s">
        <v>18</v>
      </c>
    </row>
    <row r="177" spans="1:13" x14ac:dyDescent="0.3">
      <c r="A177" t="s">
        <v>60</v>
      </c>
      <c r="B177" t="s">
        <v>34</v>
      </c>
      <c r="C177" s="73">
        <v>45912</v>
      </c>
      <c r="D177" t="s">
        <v>21</v>
      </c>
      <c r="E177" t="s">
        <v>345</v>
      </c>
      <c r="F177" s="18">
        <v>17158</v>
      </c>
      <c r="G177" s="18">
        <v>1192</v>
      </c>
      <c r="H177" s="18">
        <v>262</v>
      </c>
      <c r="I177" s="18">
        <v>2016</v>
      </c>
      <c r="J177" s="18">
        <v>28771</v>
      </c>
      <c r="K177" s="18">
        <v>216037</v>
      </c>
      <c r="L177" s="33">
        <v>8.6151909163708074E-2</v>
      </c>
      <c r="M177" t="s">
        <v>18</v>
      </c>
    </row>
    <row r="178" spans="1:13" x14ac:dyDescent="0.3">
      <c r="A178" t="s">
        <v>90</v>
      </c>
      <c r="B178" t="s">
        <v>20</v>
      </c>
      <c r="C178" s="73">
        <v>45521</v>
      </c>
      <c r="D178" t="s">
        <v>24</v>
      </c>
      <c r="E178" t="s">
        <v>28</v>
      </c>
      <c r="F178" s="18">
        <v>19154</v>
      </c>
      <c r="G178" s="18">
        <v>1064</v>
      </c>
      <c r="H178" s="18">
        <v>650</v>
      </c>
      <c r="I178" s="18">
        <v>747</v>
      </c>
      <c r="J178" s="18">
        <v>42667</v>
      </c>
      <c r="K178" s="18">
        <v>242332</v>
      </c>
      <c r="L178" s="33">
        <v>8.6113266097750191E-2</v>
      </c>
      <c r="M178" t="s">
        <v>22</v>
      </c>
    </row>
    <row r="179" spans="1:13" x14ac:dyDescent="0.3">
      <c r="A179" t="s">
        <v>81</v>
      </c>
      <c r="B179" t="s">
        <v>13</v>
      </c>
      <c r="C179" s="73">
        <v>45460</v>
      </c>
      <c r="D179" t="s">
        <v>30</v>
      </c>
      <c r="E179" t="s">
        <v>343</v>
      </c>
      <c r="F179" s="18">
        <v>6976</v>
      </c>
      <c r="G179" s="18">
        <v>1320</v>
      </c>
      <c r="H179" s="18">
        <v>393</v>
      </c>
      <c r="I179" s="18">
        <v>2285</v>
      </c>
      <c r="J179" s="18">
        <v>14049</v>
      </c>
      <c r="K179" s="18">
        <v>101367</v>
      </c>
      <c r="L179" s="33">
        <v>8.5718231771681114E-2</v>
      </c>
      <c r="M179" t="s">
        <v>38</v>
      </c>
    </row>
    <row r="180" spans="1:13" x14ac:dyDescent="0.3">
      <c r="A180" t="s">
        <v>285</v>
      </c>
      <c r="B180" t="s">
        <v>17</v>
      </c>
      <c r="C180" s="73">
        <v>45698</v>
      </c>
      <c r="D180" t="s">
        <v>30</v>
      </c>
      <c r="E180" t="s">
        <v>344</v>
      </c>
      <c r="F180" s="18">
        <v>16309</v>
      </c>
      <c r="G180" s="18">
        <v>1449</v>
      </c>
      <c r="H180" s="18">
        <v>838</v>
      </c>
      <c r="I180" s="18">
        <v>2434</v>
      </c>
      <c r="J180" s="18">
        <v>2940</v>
      </c>
      <c r="K180" s="18">
        <v>217953</v>
      </c>
      <c r="L180" s="33">
        <v>8.5321147219813445E-2</v>
      </c>
      <c r="M180" t="s">
        <v>25</v>
      </c>
    </row>
    <row r="181" spans="1:13" x14ac:dyDescent="0.3">
      <c r="A181" t="s">
        <v>50</v>
      </c>
      <c r="B181" t="s">
        <v>17</v>
      </c>
      <c r="C181" s="73">
        <v>45909</v>
      </c>
      <c r="D181" t="s">
        <v>24</v>
      </c>
      <c r="E181" t="s">
        <v>348</v>
      </c>
      <c r="F181" s="18">
        <v>15772</v>
      </c>
      <c r="G181" s="18">
        <v>288</v>
      </c>
      <c r="H181" s="18">
        <v>520</v>
      </c>
      <c r="I181" s="18">
        <v>1585</v>
      </c>
      <c r="J181" s="18">
        <v>59182</v>
      </c>
      <c r="K181" s="18">
        <v>194351</v>
      </c>
      <c r="L181" s="33">
        <v>8.5309568769905988E-2</v>
      </c>
      <c r="M181" t="s">
        <v>18</v>
      </c>
    </row>
    <row r="182" spans="1:13" x14ac:dyDescent="0.3">
      <c r="A182" t="s">
        <v>239</v>
      </c>
      <c r="B182" t="s">
        <v>20</v>
      </c>
      <c r="C182" s="73">
        <v>45778</v>
      </c>
      <c r="D182" t="s">
        <v>21</v>
      </c>
      <c r="E182" t="s">
        <v>349</v>
      </c>
      <c r="F182" s="18">
        <v>10258</v>
      </c>
      <c r="G182" s="18">
        <v>527</v>
      </c>
      <c r="H182" s="18">
        <v>854</v>
      </c>
      <c r="I182" s="18">
        <v>2068</v>
      </c>
      <c r="J182" s="18">
        <v>45632</v>
      </c>
      <c r="K182" s="18">
        <v>136546</v>
      </c>
      <c r="L182" s="33">
        <v>8.5238674146441498E-2</v>
      </c>
      <c r="M182" t="s">
        <v>38</v>
      </c>
    </row>
    <row r="183" spans="1:13" x14ac:dyDescent="0.3">
      <c r="A183" t="s">
        <v>281</v>
      </c>
      <c r="B183" t="s">
        <v>20</v>
      </c>
      <c r="C183" s="73">
        <v>45750</v>
      </c>
      <c r="D183" t="s">
        <v>14</v>
      </c>
      <c r="E183" t="s">
        <v>352</v>
      </c>
      <c r="F183" s="18">
        <v>10837</v>
      </c>
      <c r="G183" s="18">
        <v>1004</v>
      </c>
      <c r="H183" s="18">
        <v>922</v>
      </c>
      <c r="I183" s="18">
        <v>1108</v>
      </c>
      <c r="J183" s="18">
        <v>36807</v>
      </c>
      <c r="K183" s="18">
        <v>150350</v>
      </c>
      <c r="L183" s="33">
        <v>8.4888593282341204E-2</v>
      </c>
      <c r="M183" t="s">
        <v>22</v>
      </c>
    </row>
    <row r="184" spans="1:13" x14ac:dyDescent="0.3">
      <c r="A184" t="s">
        <v>31</v>
      </c>
      <c r="B184" t="s">
        <v>20</v>
      </c>
      <c r="C184" s="73">
        <v>45486</v>
      </c>
      <c r="D184" t="s">
        <v>24</v>
      </c>
      <c r="E184" t="s">
        <v>348</v>
      </c>
      <c r="F184" s="18">
        <v>18639</v>
      </c>
      <c r="G184" s="18">
        <v>1360</v>
      </c>
      <c r="H184" s="18">
        <v>898</v>
      </c>
      <c r="I184" s="18">
        <v>2011</v>
      </c>
      <c r="J184" s="18">
        <v>42841</v>
      </c>
      <c r="K184" s="18">
        <v>247779</v>
      </c>
      <c r="L184" s="33">
        <v>8.4337252148083575E-2</v>
      </c>
      <c r="M184" t="s">
        <v>25</v>
      </c>
    </row>
    <row r="185" spans="1:13" x14ac:dyDescent="0.3">
      <c r="A185" t="s">
        <v>241</v>
      </c>
      <c r="B185" t="s">
        <v>13</v>
      </c>
      <c r="C185" s="73">
        <v>45925</v>
      </c>
      <c r="D185" t="s">
        <v>24</v>
      </c>
      <c r="E185" t="s">
        <v>351</v>
      </c>
      <c r="F185" s="18">
        <v>8371</v>
      </c>
      <c r="G185" s="18">
        <v>960</v>
      </c>
      <c r="H185" s="18">
        <v>548</v>
      </c>
      <c r="I185" s="18">
        <v>2936</v>
      </c>
      <c r="J185" s="18">
        <v>82543</v>
      </c>
      <c r="K185" s="18">
        <v>119973</v>
      </c>
      <c r="L185" s="33">
        <v>8.2343527293641069E-2</v>
      </c>
      <c r="M185" t="s">
        <v>18</v>
      </c>
    </row>
    <row r="186" spans="1:13" x14ac:dyDescent="0.3">
      <c r="A186" t="s">
        <v>143</v>
      </c>
      <c r="B186" t="s">
        <v>20</v>
      </c>
      <c r="C186" s="73">
        <v>45600</v>
      </c>
      <c r="D186" t="s">
        <v>14</v>
      </c>
      <c r="E186" t="s">
        <v>350</v>
      </c>
      <c r="F186" s="18">
        <v>14015</v>
      </c>
      <c r="G186" s="18">
        <v>978</v>
      </c>
      <c r="H186" s="18">
        <v>196</v>
      </c>
      <c r="I186" s="18">
        <v>2744</v>
      </c>
      <c r="J186" s="18">
        <v>20190</v>
      </c>
      <c r="K186" s="18">
        <v>186470</v>
      </c>
      <c r="L186" s="33">
        <v>8.1455462004611998E-2</v>
      </c>
      <c r="M186" t="s">
        <v>22</v>
      </c>
    </row>
    <row r="187" spans="1:13" x14ac:dyDescent="0.3">
      <c r="A187" t="s">
        <v>202</v>
      </c>
      <c r="B187" t="s">
        <v>34</v>
      </c>
      <c r="C187" s="73">
        <v>45939</v>
      </c>
      <c r="D187" t="s">
        <v>30</v>
      </c>
      <c r="E187" t="s">
        <v>345</v>
      </c>
      <c r="F187" s="18">
        <v>18748</v>
      </c>
      <c r="G187" s="18">
        <v>634</v>
      </c>
      <c r="H187" s="18">
        <v>400</v>
      </c>
      <c r="I187" s="18">
        <v>1667</v>
      </c>
      <c r="J187" s="18">
        <v>75813</v>
      </c>
      <c r="K187" s="18">
        <v>244456</v>
      </c>
      <c r="L187" s="33">
        <v>8.0922538207284747E-2</v>
      </c>
      <c r="M187" t="s">
        <v>18</v>
      </c>
    </row>
    <row r="188" spans="1:13" x14ac:dyDescent="0.3">
      <c r="A188" t="s">
        <v>201</v>
      </c>
      <c r="B188" t="s">
        <v>17</v>
      </c>
      <c r="C188" s="73">
        <v>45938</v>
      </c>
      <c r="D188" t="s">
        <v>21</v>
      </c>
      <c r="E188" t="s">
        <v>350</v>
      </c>
      <c r="F188" s="18">
        <v>17745</v>
      </c>
      <c r="G188" s="18">
        <v>414</v>
      </c>
      <c r="H188" s="18">
        <v>563</v>
      </c>
      <c r="I188" s="18">
        <v>2733</v>
      </c>
      <c r="J188" s="18">
        <v>995</v>
      </c>
      <c r="K188" s="18">
        <v>231648</v>
      </c>
      <c r="L188" s="33">
        <v>8.0820900676889074E-2</v>
      </c>
      <c r="M188" t="s">
        <v>18</v>
      </c>
    </row>
    <row r="189" spans="1:13" x14ac:dyDescent="0.3">
      <c r="A189" t="s">
        <v>238</v>
      </c>
      <c r="B189" t="s">
        <v>13</v>
      </c>
      <c r="C189" s="73">
        <v>45719</v>
      </c>
      <c r="D189" t="s">
        <v>24</v>
      </c>
      <c r="E189" t="s">
        <v>343</v>
      </c>
      <c r="F189" s="18">
        <v>9561</v>
      </c>
      <c r="G189" s="18">
        <v>642</v>
      </c>
      <c r="H189" s="18">
        <v>581</v>
      </c>
      <c r="I189" s="18">
        <v>2572</v>
      </c>
      <c r="J189" s="18">
        <v>38552</v>
      </c>
      <c r="K189" s="18">
        <v>133680</v>
      </c>
      <c r="L189" s="33">
        <v>8.0670257330939563E-2</v>
      </c>
      <c r="M189" t="s">
        <v>15</v>
      </c>
    </row>
    <row r="190" spans="1:13" x14ac:dyDescent="0.3">
      <c r="A190" t="s">
        <v>198</v>
      </c>
      <c r="B190" t="s">
        <v>20</v>
      </c>
      <c r="C190" s="73">
        <v>45518</v>
      </c>
      <c r="D190" t="s">
        <v>30</v>
      </c>
      <c r="E190" t="s">
        <v>352</v>
      </c>
      <c r="F190" s="18">
        <v>10150</v>
      </c>
      <c r="G190" s="18">
        <v>526</v>
      </c>
      <c r="H190" s="18">
        <v>888</v>
      </c>
      <c r="I190" s="18">
        <v>1313</v>
      </c>
      <c r="J190" s="18">
        <v>51605</v>
      </c>
      <c r="K190" s="18">
        <v>143409</v>
      </c>
      <c r="L190" s="33">
        <v>8.0636501195880311E-2</v>
      </c>
      <c r="M190" t="s">
        <v>15</v>
      </c>
    </row>
    <row r="191" spans="1:13" x14ac:dyDescent="0.3">
      <c r="A191" t="s">
        <v>217</v>
      </c>
      <c r="B191" t="s">
        <v>13</v>
      </c>
      <c r="C191" s="73">
        <v>45944</v>
      </c>
      <c r="D191" t="s">
        <v>30</v>
      </c>
      <c r="E191" t="s">
        <v>351</v>
      </c>
      <c r="F191" s="18">
        <v>9673</v>
      </c>
      <c r="G191" s="18">
        <v>393</v>
      </c>
      <c r="H191" s="18">
        <v>846</v>
      </c>
      <c r="I191" s="18">
        <v>1028</v>
      </c>
      <c r="J191" s="18">
        <v>55556</v>
      </c>
      <c r="K191" s="18">
        <v>136652</v>
      </c>
      <c r="L191" s="33">
        <v>7.9852471972601938E-2</v>
      </c>
      <c r="M191" t="s">
        <v>18</v>
      </c>
    </row>
    <row r="192" spans="1:13" x14ac:dyDescent="0.3">
      <c r="A192" t="s">
        <v>253</v>
      </c>
      <c r="B192" t="s">
        <v>20</v>
      </c>
      <c r="C192" s="73">
        <v>45455</v>
      </c>
      <c r="D192" t="s">
        <v>21</v>
      </c>
      <c r="E192" t="s">
        <v>344</v>
      </c>
      <c r="F192" s="18">
        <v>17679</v>
      </c>
      <c r="G192" s="18">
        <v>690</v>
      </c>
      <c r="H192" s="18">
        <v>451</v>
      </c>
      <c r="I192" s="18">
        <v>2195</v>
      </c>
      <c r="J192" s="18">
        <v>4390</v>
      </c>
      <c r="K192" s="18">
        <v>235804</v>
      </c>
      <c r="L192" s="33">
        <v>7.9812047293514959E-2</v>
      </c>
      <c r="M192" t="s">
        <v>38</v>
      </c>
    </row>
    <row r="193" spans="1:13" x14ac:dyDescent="0.3">
      <c r="A193" t="s">
        <v>293</v>
      </c>
      <c r="B193" t="s">
        <v>17</v>
      </c>
      <c r="C193" s="73">
        <v>45569</v>
      </c>
      <c r="D193" t="s">
        <v>24</v>
      </c>
      <c r="E193" t="s">
        <v>350</v>
      </c>
      <c r="F193" s="18">
        <v>15746</v>
      </c>
      <c r="G193" s="18">
        <v>258</v>
      </c>
      <c r="H193" s="18">
        <v>839</v>
      </c>
      <c r="I193" s="18">
        <v>2656</v>
      </c>
      <c r="J193" s="18">
        <v>66614</v>
      </c>
      <c r="K193" s="18">
        <v>213724</v>
      </c>
      <c r="L193" s="33">
        <v>7.8807246729426739E-2</v>
      </c>
      <c r="M193" t="s">
        <v>22</v>
      </c>
    </row>
    <row r="194" spans="1:13" x14ac:dyDescent="0.3">
      <c r="A194" t="s">
        <v>85</v>
      </c>
      <c r="B194" t="s">
        <v>13</v>
      </c>
      <c r="C194" s="73">
        <v>45465</v>
      </c>
      <c r="D194" t="s">
        <v>14</v>
      </c>
      <c r="E194" t="s">
        <v>348</v>
      </c>
      <c r="F194" s="18">
        <v>16430</v>
      </c>
      <c r="G194" s="18">
        <v>488</v>
      </c>
      <c r="H194" s="18">
        <v>514</v>
      </c>
      <c r="I194" s="18">
        <v>1436</v>
      </c>
      <c r="J194" s="18">
        <v>30059</v>
      </c>
      <c r="K194" s="18">
        <v>223305</v>
      </c>
      <c r="L194" s="33">
        <v>7.8063634938760881E-2</v>
      </c>
      <c r="M194" t="s">
        <v>25</v>
      </c>
    </row>
    <row r="195" spans="1:13" x14ac:dyDescent="0.3">
      <c r="A195" t="s">
        <v>150</v>
      </c>
      <c r="B195" t="s">
        <v>13</v>
      </c>
      <c r="C195" s="73">
        <v>45753</v>
      </c>
      <c r="D195" t="s">
        <v>21</v>
      </c>
      <c r="E195" t="s">
        <v>351</v>
      </c>
      <c r="F195" s="18">
        <v>8238</v>
      </c>
      <c r="G195" s="18">
        <v>766</v>
      </c>
      <c r="H195" s="18">
        <v>235</v>
      </c>
      <c r="I195" s="18">
        <v>1273</v>
      </c>
      <c r="J195" s="18">
        <v>4706</v>
      </c>
      <c r="K195" s="18">
        <v>119141</v>
      </c>
      <c r="L195" s="33">
        <v>7.7546772311798629E-2</v>
      </c>
      <c r="M195" t="s">
        <v>25</v>
      </c>
    </row>
    <row r="196" spans="1:13" x14ac:dyDescent="0.3">
      <c r="A196" t="s">
        <v>127</v>
      </c>
      <c r="B196" t="s">
        <v>13</v>
      </c>
      <c r="C196" s="73">
        <v>45583</v>
      </c>
      <c r="D196" t="s">
        <v>30</v>
      </c>
      <c r="E196" t="s">
        <v>344</v>
      </c>
      <c r="F196" s="18">
        <v>6892</v>
      </c>
      <c r="G196" s="18">
        <v>1184</v>
      </c>
      <c r="H196" s="18">
        <v>925</v>
      </c>
      <c r="I196" s="18">
        <v>1062</v>
      </c>
      <c r="J196" s="18">
        <v>75008</v>
      </c>
      <c r="K196" s="18">
        <v>116260</v>
      </c>
      <c r="L196" s="33">
        <v>7.7421297092723204E-2</v>
      </c>
      <c r="M196" t="s">
        <v>38</v>
      </c>
    </row>
    <row r="197" spans="1:13" x14ac:dyDescent="0.3">
      <c r="A197" t="s">
        <v>304</v>
      </c>
      <c r="B197" t="s">
        <v>34</v>
      </c>
      <c r="C197" s="73">
        <v>45622</v>
      </c>
      <c r="D197" t="s">
        <v>24</v>
      </c>
      <c r="E197" t="s">
        <v>347</v>
      </c>
      <c r="F197" s="18">
        <v>14607</v>
      </c>
      <c r="G197" s="18">
        <v>1458</v>
      </c>
      <c r="H197" s="18">
        <v>478</v>
      </c>
      <c r="I197" s="18">
        <v>334</v>
      </c>
      <c r="J197" s="18">
        <v>49257</v>
      </c>
      <c r="K197" s="18">
        <v>214668</v>
      </c>
      <c r="L197" s="33">
        <v>7.7063185942944451E-2</v>
      </c>
      <c r="M197" t="s">
        <v>25</v>
      </c>
    </row>
    <row r="198" spans="1:13" x14ac:dyDescent="0.3">
      <c r="A198" t="s">
        <v>35</v>
      </c>
      <c r="B198" t="s">
        <v>13</v>
      </c>
      <c r="C198" s="73">
        <v>45690</v>
      </c>
      <c r="D198" t="s">
        <v>30</v>
      </c>
      <c r="E198" t="s">
        <v>346</v>
      </c>
      <c r="F198" s="18">
        <v>12136</v>
      </c>
      <c r="G198" s="18">
        <v>1117</v>
      </c>
      <c r="H198" s="18">
        <v>834</v>
      </c>
      <c r="I198" s="18">
        <v>892</v>
      </c>
      <c r="J198" s="18">
        <v>24675</v>
      </c>
      <c r="K198" s="18">
        <v>183273</v>
      </c>
      <c r="L198" s="33">
        <v>7.6863476889667326E-2</v>
      </c>
      <c r="M198" t="s">
        <v>22</v>
      </c>
    </row>
    <row r="199" spans="1:13" x14ac:dyDescent="0.3">
      <c r="A199" t="s">
        <v>303</v>
      </c>
      <c r="B199" t="s">
        <v>20</v>
      </c>
      <c r="C199" s="73">
        <v>45753</v>
      </c>
      <c r="D199" t="s">
        <v>14</v>
      </c>
      <c r="E199" t="s">
        <v>55</v>
      </c>
      <c r="F199" s="18">
        <v>14941</v>
      </c>
      <c r="G199" s="18">
        <v>1424</v>
      </c>
      <c r="H199" s="18">
        <v>238</v>
      </c>
      <c r="I199" s="18">
        <v>1054</v>
      </c>
      <c r="J199" s="18">
        <v>20516</v>
      </c>
      <c r="K199" s="18">
        <v>216048</v>
      </c>
      <c r="L199" s="33">
        <v>7.6848663260016298E-2</v>
      </c>
      <c r="M199" t="s">
        <v>38</v>
      </c>
    </row>
    <row r="200" spans="1:13" x14ac:dyDescent="0.3">
      <c r="A200" t="s">
        <v>142</v>
      </c>
      <c r="B200" t="s">
        <v>17</v>
      </c>
      <c r="C200" s="73">
        <v>45734</v>
      </c>
      <c r="D200" t="s">
        <v>14</v>
      </c>
      <c r="E200" t="s">
        <v>348</v>
      </c>
      <c r="F200" s="18">
        <v>5818</v>
      </c>
      <c r="G200" s="18">
        <v>1252</v>
      </c>
      <c r="H200" s="18">
        <v>687</v>
      </c>
      <c r="I200" s="18">
        <v>2300</v>
      </c>
      <c r="J200" s="18">
        <v>25081</v>
      </c>
      <c r="K200" s="18">
        <v>101212</v>
      </c>
      <c r="L200" s="33">
        <v>7.6641109749832043E-2</v>
      </c>
      <c r="M200" t="s">
        <v>38</v>
      </c>
    </row>
    <row r="201" spans="1:13" x14ac:dyDescent="0.3">
      <c r="A201" t="s">
        <v>138</v>
      </c>
      <c r="B201" t="s">
        <v>13</v>
      </c>
      <c r="C201" s="73">
        <v>45570</v>
      </c>
      <c r="D201" t="s">
        <v>30</v>
      </c>
      <c r="E201" t="s">
        <v>344</v>
      </c>
      <c r="F201" s="18">
        <v>16388</v>
      </c>
      <c r="G201" s="18">
        <v>1208</v>
      </c>
      <c r="H201" s="18">
        <v>417</v>
      </c>
      <c r="I201" s="18">
        <v>2306</v>
      </c>
      <c r="J201" s="18">
        <v>16865</v>
      </c>
      <c r="K201" s="18">
        <v>236733</v>
      </c>
      <c r="L201" s="33">
        <v>7.6089940988370866E-2</v>
      </c>
      <c r="M201" t="s">
        <v>15</v>
      </c>
    </row>
    <row r="202" spans="1:13" x14ac:dyDescent="0.3">
      <c r="A202" t="s">
        <v>237</v>
      </c>
      <c r="B202" t="s">
        <v>13</v>
      </c>
      <c r="C202" s="73">
        <v>45924</v>
      </c>
      <c r="D202" t="s">
        <v>14</v>
      </c>
      <c r="E202" t="s">
        <v>55</v>
      </c>
      <c r="F202" s="18">
        <v>11795</v>
      </c>
      <c r="G202" s="18">
        <v>958</v>
      </c>
      <c r="H202" s="18">
        <v>814</v>
      </c>
      <c r="I202" s="18">
        <v>301</v>
      </c>
      <c r="J202" s="18">
        <v>12564</v>
      </c>
      <c r="K202" s="18">
        <v>179999</v>
      </c>
      <c r="L202" s="33">
        <v>7.5372640959116444E-2</v>
      </c>
      <c r="M202" t="s">
        <v>18</v>
      </c>
    </row>
    <row r="203" spans="1:13" x14ac:dyDescent="0.3">
      <c r="A203" t="s">
        <v>259</v>
      </c>
      <c r="B203" t="s">
        <v>17</v>
      </c>
      <c r="C203" s="73">
        <v>45724</v>
      </c>
      <c r="D203" t="s">
        <v>14</v>
      </c>
      <c r="E203" t="s">
        <v>343</v>
      </c>
      <c r="F203" s="18">
        <v>5812</v>
      </c>
      <c r="G203" s="18">
        <v>934</v>
      </c>
      <c r="H203" s="18">
        <v>302</v>
      </c>
      <c r="I203" s="18">
        <v>2356</v>
      </c>
      <c r="J203" s="18">
        <v>37437</v>
      </c>
      <c r="K203" s="18">
        <v>93551</v>
      </c>
      <c r="L203" s="33">
        <v>7.5338585370546551E-2</v>
      </c>
      <c r="M203" t="s">
        <v>15</v>
      </c>
    </row>
    <row r="204" spans="1:13" x14ac:dyDescent="0.3">
      <c r="A204" t="s">
        <v>265</v>
      </c>
      <c r="B204" t="s">
        <v>13</v>
      </c>
      <c r="C204" s="73">
        <v>45910</v>
      </c>
      <c r="D204" t="s">
        <v>14</v>
      </c>
      <c r="E204" t="s">
        <v>344</v>
      </c>
      <c r="F204" s="18">
        <v>13613</v>
      </c>
      <c r="G204" s="18">
        <v>350</v>
      </c>
      <c r="H204" s="18">
        <v>809</v>
      </c>
      <c r="I204" s="18">
        <v>2013</v>
      </c>
      <c r="J204" s="18">
        <v>20471</v>
      </c>
      <c r="K204" s="18">
        <v>198038</v>
      </c>
      <c r="L204" s="33">
        <v>7.4591745018632791E-2</v>
      </c>
      <c r="M204" t="s">
        <v>18</v>
      </c>
    </row>
    <row r="205" spans="1:13" x14ac:dyDescent="0.3">
      <c r="A205" t="s">
        <v>42</v>
      </c>
      <c r="B205" t="s">
        <v>17</v>
      </c>
      <c r="C205" s="73">
        <v>45782</v>
      </c>
      <c r="D205" t="s">
        <v>21</v>
      </c>
      <c r="E205" t="s">
        <v>350</v>
      </c>
      <c r="F205" s="18">
        <v>10415</v>
      </c>
      <c r="G205" s="18">
        <v>1388</v>
      </c>
      <c r="H205" s="18">
        <v>725</v>
      </c>
      <c r="I205" s="18">
        <v>2462</v>
      </c>
      <c r="J205" s="18">
        <v>53082</v>
      </c>
      <c r="K205" s="18">
        <v>168267</v>
      </c>
      <c r="L205" s="33">
        <v>7.4453101321114656E-2</v>
      </c>
      <c r="M205" t="s">
        <v>38</v>
      </c>
    </row>
    <row r="206" spans="1:13" x14ac:dyDescent="0.3">
      <c r="A206" t="s">
        <v>278</v>
      </c>
      <c r="B206" t="s">
        <v>20</v>
      </c>
      <c r="C206" s="73">
        <v>45775</v>
      </c>
      <c r="D206" t="s">
        <v>30</v>
      </c>
      <c r="E206" t="s">
        <v>350</v>
      </c>
      <c r="F206" s="18">
        <v>10659</v>
      </c>
      <c r="G206" s="18">
        <v>1342</v>
      </c>
      <c r="H206" s="18">
        <v>408</v>
      </c>
      <c r="I206" s="18">
        <v>709</v>
      </c>
      <c r="J206" s="18">
        <v>16309</v>
      </c>
      <c r="K206" s="18">
        <v>168803</v>
      </c>
      <c r="L206" s="33">
        <v>7.3511726687321907E-2</v>
      </c>
      <c r="M206" t="s">
        <v>22</v>
      </c>
    </row>
    <row r="207" spans="1:13" x14ac:dyDescent="0.3">
      <c r="A207" t="s">
        <v>235</v>
      </c>
      <c r="B207" t="s">
        <v>34</v>
      </c>
      <c r="C207" s="73">
        <v>45735</v>
      </c>
      <c r="D207" t="s">
        <v>30</v>
      </c>
      <c r="E207" t="s">
        <v>346</v>
      </c>
      <c r="F207" s="18">
        <v>13475</v>
      </c>
      <c r="G207" s="18">
        <v>1032</v>
      </c>
      <c r="H207" s="18">
        <v>295</v>
      </c>
      <c r="I207" s="18">
        <v>541</v>
      </c>
      <c r="J207" s="18">
        <v>43666</v>
      </c>
      <c r="K207" s="18">
        <v>202396</v>
      </c>
      <c r="L207" s="33">
        <v>7.3133856400324118E-2</v>
      </c>
      <c r="M207" t="s">
        <v>38</v>
      </c>
    </row>
    <row r="208" spans="1:13" x14ac:dyDescent="0.3">
      <c r="A208" t="s">
        <v>43</v>
      </c>
      <c r="B208" t="s">
        <v>17</v>
      </c>
      <c r="C208" s="73">
        <v>45523</v>
      </c>
      <c r="D208" t="s">
        <v>14</v>
      </c>
      <c r="E208" t="s">
        <v>348</v>
      </c>
      <c r="F208" s="18">
        <v>15550</v>
      </c>
      <c r="G208" s="18">
        <v>204</v>
      </c>
      <c r="H208" s="18">
        <v>279</v>
      </c>
      <c r="I208" s="18">
        <v>1646</v>
      </c>
      <c r="J208" s="18">
        <v>35819</v>
      </c>
      <c r="K208" s="18">
        <v>219436</v>
      </c>
      <c r="L208" s="33">
        <v>7.306458375107093E-2</v>
      </c>
      <c r="M208" t="s">
        <v>15</v>
      </c>
    </row>
    <row r="209" spans="1:13" x14ac:dyDescent="0.3">
      <c r="A209" t="s">
        <v>255</v>
      </c>
      <c r="B209" t="s">
        <v>20</v>
      </c>
      <c r="C209" s="73">
        <v>45476</v>
      </c>
      <c r="D209" t="s">
        <v>24</v>
      </c>
      <c r="E209" t="s">
        <v>344</v>
      </c>
      <c r="F209" s="18">
        <v>12167</v>
      </c>
      <c r="G209" s="18">
        <v>364</v>
      </c>
      <c r="H209" s="18">
        <v>160</v>
      </c>
      <c r="I209" s="18">
        <v>616</v>
      </c>
      <c r="J209" s="18">
        <v>42228</v>
      </c>
      <c r="K209" s="18">
        <v>175832</v>
      </c>
      <c r="L209" s="33">
        <v>7.2176850630146963E-2</v>
      </c>
      <c r="M209" t="s">
        <v>22</v>
      </c>
    </row>
    <row r="210" spans="1:13" x14ac:dyDescent="0.3">
      <c r="A210" t="s">
        <v>115</v>
      </c>
      <c r="B210" t="s">
        <v>17</v>
      </c>
      <c r="C210" s="73">
        <v>45923</v>
      </c>
      <c r="D210" t="s">
        <v>14</v>
      </c>
      <c r="E210" t="s">
        <v>352</v>
      </c>
      <c r="F210" s="18">
        <v>10017</v>
      </c>
      <c r="G210" s="18">
        <v>1357</v>
      </c>
      <c r="H210" s="18">
        <v>966</v>
      </c>
      <c r="I210" s="18">
        <v>2871</v>
      </c>
      <c r="J210" s="18">
        <v>14800</v>
      </c>
      <c r="K210" s="18">
        <v>171691</v>
      </c>
      <c r="L210" s="33">
        <v>7.1873307278774071E-2</v>
      </c>
      <c r="M210" t="s">
        <v>18</v>
      </c>
    </row>
    <row r="211" spans="1:13" x14ac:dyDescent="0.3">
      <c r="A211" t="s">
        <v>203</v>
      </c>
      <c r="B211" t="s">
        <v>13</v>
      </c>
      <c r="C211" s="73">
        <v>45483</v>
      </c>
      <c r="D211" t="s">
        <v>14</v>
      </c>
      <c r="E211" t="s">
        <v>351</v>
      </c>
      <c r="F211" s="18">
        <v>8809</v>
      </c>
      <c r="G211" s="18">
        <v>1151</v>
      </c>
      <c r="H211" s="18">
        <v>908</v>
      </c>
      <c r="I211" s="18">
        <v>883</v>
      </c>
      <c r="J211" s="18">
        <v>42921</v>
      </c>
      <c r="K211" s="18">
        <v>151279</v>
      </c>
      <c r="L211" s="33">
        <v>7.1840771025720687E-2</v>
      </c>
      <c r="M211" t="s">
        <v>38</v>
      </c>
    </row>
    <row r="212" spans="1:13" x14ac:dyDescent="0.3">
      <c r="A212" t="s">
        <v>218</v>
      </c>
      <c r="B212" t="s">
        <v>13</v>
      </c>
      <c r="C212" s="73">
        <v>45945</v>
      </c>
      <c r="D212" t="s">
        <v>14</v>
      </c>
      <c r="E212" t="s">
        <v>348</v>
      </c>
      <c r="F212" s="18">
        <v>8882</v>
      </c>
      <c r="G212" s="18">
        <v>701</v>
      </c>
      <c r="H212" s="18">
        <v>421</v>
      </c>
      <c r="I212" s="18">
        <v>2343</v>
      </c>
      <c r="J212" s="18">
        <v>13588</v>
      </c>
      <c r="K212" s="18">
        <v>139304</v>
      </c>
      <c r="L212" s="33">
        <v>7.1814161833113191E-2</v>
      </c>
      <c r="M212" t="s">
        <v>18</v>
      </c>
    </row>
    <row r="213" spans="1:13" x14ac:dyDescent="0.3">
      <c r="A213" t="s">
        <v>141</v>
      </c>
      <c r="B213" t="s">
        <v>13</v>
      </c>
      <c r="C213" s="73">
        <v>45930</v>
      </c>
      <c r="D213" t="s">
        <v>21</v>
      </c>
      <c r="E213" t="s">
        <v>343</v>
      </c>
      <c r="F213" s="18">
        <v>8269</v>
      </c>
      <c r="G213" s="18">
        <v>250</v>
      </c>
      <c r="H213" s="18">
        <v>638</v>
      </c>
      <c r="I213" s="18">
        <v>815</v>
      </c>
      <c r="J213" s="18">
        <v>41991</v>
      </c>
      <c r="K213" s="18">
        <v>129393</v>
      </c>
      <c r="L213" s="33">
        <v>7.0768897853825175E-2</v>
      </c>
      <c r="M213" t="s">
        <v>18</v>
      </c>
    </row>
    <row r="214" spans="1:13" x14ac:dyDescent="0.3">
      <c r="A214" t="s">
        <v>283</v>
      </c>
      <c r="B214" t="s">
        <v>13</v>
      </c>
      <c r="C214" s="73">
        <v>45753</v>
      </c>
      <c r="D214" t="s">
        <v>30</v>
      </c>
      <c r="E214" t="s">
        <v>350</v>
      </c>
      <c r="F214" s="18">
        <v>15917</v>
      </c>
      <c r="G214" s="18">
        <v>1479</v>
      </c>
      <c r="H214" s="18">
        <v>196</v>
      </c>
      <c r="I214" s="18">
        <v>313</v>
      </c>
      <c r="J214" s="18">
        <v>48524</v>
      </c>
      <c r="K214" s="18">
        <v>249684</v>
      </c>
      <c r="L214" s="33">
        <v>7.0457057720959296E-2</v>
      </c>
      <c r="M214" t="s">
        <v>25</v>
      </c>
    </row>
    <row r="215" spans="1:13" x14ac:dyDescent="0.3">
      <c r="A215" t="s">
        <v>317</v>
      </c>
      <c r="B215" t="s">
        <v>20</v>
      </c>
      <c r="C215" s="73">
        <v>45602</v>
      </c>
      <c r="D215" t="s">
        <v>14</v>
      </c>
      <c r="E215" t="s">
        <v>347</v>
      </c>
      <c r="F215" s="18">
        <v>11865</v>
      </c>
      <c r="G215" s="18">
        <v>241</v>
      </c>
      <c r="H215" s="18">
        <v>319</v>
      </c>
      <c r="I215" s="18">
        <v>703</v>
      </c>
      <c r="J215" s="18">
        <v>69596</v>
      </c>
      <c r="K215" s="18">
        <v>177513</v>
      </c>
      <c r="L215" s="33">
        <v>6.999487361489018E-2</v>
      </c>
      <c r="M215" t="s">
        <v>25</v>
      </c>
    </row>
    <row r="216" spans="1:13" x14ac:dyDescent="0.3">
      <c r="A216" t="s">
        <v>325</v>
      </c>
      <c r="B216" t="s">
        <v>20</v>
      </c>
      <c r="C216" s="73">
        <v>45925</v>
      </c>
      <c r="D216" t="s">
        <v>30</v>
      </c>
      <c r="E216" t="s">
        <v>351</v>
      </c>
      <c r="F216" s="18">
        <v>12568</v>
      </c>
      <c r="G216" s="18">
        <v>541</v>
      </c>
      <c r="H216" s="18">
        <v>273</v>
      </c>
      <c r="I216" s="18">
        <v>2767</v>
      </c>
      <c r="J216" s="18">
        <v>22331</v>
      </c>
      <c r="K216" s="18">
        <v>192747</v>
      </c>
      <c r="L216" s="33">
        <v>6.9427799135654514E-2</v>
      </c>
      <c r="M216" t="s">
        <v>18</v>
      </c>
    </row>
    <row r="217" spans="1:13" x14ac:dyDescent="0.3">
      <c r="A217" t="s">
        <v>71</v>
      </c>
      <c r="B217" t="s">
        <v>17</v>
      </c>
      <c r="C217" s="73">
        <v>45917</v>
      </c>
      <c r="D217" t="s">
        <v>21</v>
      </c>
      <c r="E217" t="s">
        <v>347</v>
      </c>
      <c r="F217" s="18">
        <v>15456</v>
      </c>
      <c r="G217" s="18">
        <v>590</v>
      </c>
      <c r="H217" s="18">
        <v>555</v>
      </c>
      <c r="I217" s="18">
        <v>2882</v>
      </c>
      <c r="J217" s="18">
        <v>49816</v>
      </c>
      <c r="K217" s="18">
        <v>240422</v>
      </c>
      <c r="L217" s="33">
        <v>6.9049421433978589E-2</v>
      </c>
      <c r="M217" t="s">
        <v>18</v>
      </c>
    </row>
    <row r="218" spans="1:13" x14ac:dyDescent="0.3">
      <c r="A218" t="s">
        <v>63</v>
      </c>
      <c r="B218" t="s">
        <v>17</v>
      </c>
      <c r="C218" s="73">
        <v>45663</v>
      </c>
      <c r="D218" t="s">
        <v>14</v>
      </c>
      <c r="E218" t="s">
        <v>345</v>
      </c>
      <c r="F218" s="18">
        <v>11860</v>
      </c>
      <c r="G218" s="18">
        <v>1448</v>
      </c>
      <c r="H218" s="18">
        <v>893</v>
      </c>
      <c r="I218" s="18">
        <v>490</v>
      </c>
      <c r="J218" s="18">
        <v>23518</v>
      </c>
      <c r="K218" s="18">
        <v>206205</v>
      </c>
      <c r="L218" s="33">
        <v>6.8868359157149436E-2</v>
      </c>
      <c r="M218" t="s">
        <v>15</v>
      </c>
    </row>
    <row r="219" spans="1:13" x14ac:dyDescent="0.3">
      <c r="A219" t="s">
        <v>188</v>
      </c>
      <c r="B219" t="s">
        <v>20</v>
      </c>
      <c r="C219" s="73">
        <v>45748</v>
      </c>
      <c r="D219" t="s">
        <v>14</v>
      </c>
      <c r="E219" t="s">
        <v>347</v>
      </c>
      <c r="F219" s="18">
        <v>6432</v>
      </c>
      <c r="G219" s="18">
        <v>1272</v>
      </c>
      <c r="H219" s="18">
        <v>498</v>
      </c>
      <c r="I219" s="18">
        <v>677</v>
      </c>
      <c r="J219" s="18">
        <v>47305</v>
      </c>
      <c r="K219" s="18">
        <v>119134</v>
      </c>
      <c r="L219" s="33">
        <v>6.8846844729464299E-2</v>
      </c>
      <c r="M219" t="s">
        <v>15</v>
      </c>
    </row>
    <row r="220" spans="1:13" x14ac:dyDescent="0.3">
      <c r="A220" t="s">
        <v>305</v>
      </c>
      <c r="B220" t="s">
        <v>20</v>
      </c>
      <c r="C220" s="73">
        <v>45537</v>
      </c>
      <c r="D220" t="s">
        <v>24</v>
      </c>
      <c r="E220" t="s">
        <v>346</v>
      </c>
      <c r="F220" s="18">
        <v>11765</v>
      </c>
      <c r="G220" s="18">
        <v>693</v>
      </c>
      <c r="H220" s="18">
        <v>729</v>
      </c>
      <c r="I220" s="18">
        <v>744</v>
      </c>
      <c r="J220" s="18">
        <v>97772</v>
      </c>
      <c r="K220" s="18">
        <v>194243</v>
      </c>
      <c r="L220" s="33">
        <v>6.7889190344053579E-2</v>
      </c>
      <c r="M220" t="s">
        <v>15</v>
      </c>
    </row>
    <row r="221" spans="1:13" x14ac:dyDescent="0.3">
      <c r="A221" t="s">
        <v>267</v>
      </c>
      <c r="B221" t="s">
        <v>34</v>
      </c>
      <c r="C221" s="73">
        <v>45675</v>
      </c>
      <c r="D221" t="s">
        <v>21</v>
      </c>
      <c r="E221" t="s">
        <v>351</v>
      </c>
      <c r="F221" s="18">
        <v>12589</v>
      </c>
      <c r="G221" s="18">
        <v>346</v>
      </c>
      <c r="H221" s="18">
        <v>459</v>
      </c>
      <c r="I221" s="18">
        <v>1407</v>
      </c>
      <c r="J221" s="18">
        <v>29254</v>
      </c>
      <c r="K221" s="18">
        <v>198059</v>
      </c>
      <c r="L221" s="33">
        <v>6.7626313371268162E-2</v>
      </c>
      <c r="M221" t="s">
        <v>22</v>
      </c>
    </row>
    <row r="222" spans="1:13" x14ac:dyDescent="0.3">
      <c r="A222" t="s">
        <v>137</v>
      </c>
      <c r="B222" t="s">
        <v>17</v>
      </c>
      <c r="C222" s="73">
        <v>45619</v>
      </c>
      <c r="D222" t="s">
        <v>21</v>
      </c>
      <c r="E222" t="s">
        <v>28</v>
      </c>
      <c r="F222" s="18">
        <v>9941</v>
      </c>
      <c r="G222" s="18">
        <v>1329</v>
      </c>
      <c r="H222" s="18">
        <v>238</v>
      </c>
      <c r="I222" s="18">
        <v>869</v>
      </c>
      <c r="J222" s="18">
        <v>40281</v>
      </c>
      <c r="K222" s="18">
        <v>172311</v>
      </c>
      <c r="L222" s="33">
        <v>6.6786217943137702E-2</v>
      </c>
      <c r="M222" t="s">
        <v>22</v>
      </c>
    </row>
    <row r="223" spans="1:13" x14ac:dyDescent="0.3">
      <c r="A223" t="s">
        <v>125</v>
      </c>
      <c r="B223" t="s">
        <v>34</v>
      </c>
      <c r="C223" s="73">
        <v>45475</v>
      </c>
      <c r="D223" t="s">
        <v>30</v>
      </c>
      <c r="E223" t="s">
        <v>347</v>
      </c>
      <c r="F223" s="18">
        <v>12320</v>
      </c>
      <c r="G223" s="18">
        <v>1157</v>
      </c>
      <c r="H223" s="18">
        <v>365</v>
      </c>
      <c r="I223" s="18">
        <v>584</v>
      </c>
      <c r="J223" s="18">
        <v>66634</v>
      </c>
      <c r="K223" s="18">
        <v>210102</v>
      </c>
      <c r="L223" s="33">
        <v>6.5882285746922925E-2</v>
      </c>
      <c r="M223" t="s">
        <v>25</v>
      </c>
    </row>
    <row r="224" spans="1:13" x14ac:dyDescent="0.3">
      <c r="A224" t="s">
        <v>248</v>
      </c>
      <c r="B224" t="s">
        <v>13</v>
      </c>
      <c r="C224" s="73">
        <v>45573</v>
      </c>
      <c r="D224" t="s">
        <v>21</v>
      </c>
      <c r="E224" t="s">
        <v>55</v>
      </c>
      <c r="F224" s="18">
        <v>8738</v>
      </c>
      <c r="G224" s="18">
        <v>295</v>
      </c>
      <c r="H224" s="18">
        <v>529</v>
      </c>
      <c r="I224" s="18">
        <v>442</v>
      </c>
      <c r="J224" s="18">
        <v>25286</v>
      </c>
      <c r="K224" s="18">
        <v>147522</v>
      </c>
      <c r="L224" s="33">
        <v>6.4817450956467515E-2</v>
      </c>
      <c r="M224" t="s">
        <v>25</v>
      </c>
    </row>
    <row r="225" spans="1:13" x14ac:dyDescent="0.3">
      <c r="A225" t="s">
        <v>80</v>
      </c>
      <c r="B225" t="s">
        <v>17</v>
      </c>
      <c r="C225" s="73">
        <v>45729</v>
      </c>
      <c r="D225" t="s">
        <v>30</v>
      </c>
      <c r="E225" t="s">
        <v>345</v>
      </c>
      <c r="F225" s="18">
        <v>6544</v>
      </c>
      <c r="G225" s="18">
        <v>749</v>
      </c>
      <c r="H225" s="18">
        <v>888</v>
      </c>
      <c r="I225" s="18">
        <v>594</v>
      </c>
      <c r="J225" s="18">
        <v>18171</v>
      </c>
      <c r="K225" s="18">
        <v>126475</v>
      </c>
      <c r="L225" s="33">
        <v>6.4684720300454635E-2</v>
      </c>
      <c r="M225" t="s">
        <v>22</v>
      </c>
    </row>
    <row r="226" spans="1:13" x14ac:dyDescent="0.3">
      <c r="A226" t="s">
        <v>244</v>
      </c>
      <c r="B226" t="s">
        <v>20</v>
      </c>
      <c r="C226" s="73">
        <v>45454</v>
      </c>
      <c r="D226" t="s">
        <v>24</v>
      </c>
      <c r="E226" t="s">
        <v>55</v>
      </c>
      <c r="F226" s="18">
        <v>14910</v>
      </c>
      <c r="G226" s="18">
        <v>778</v>
      </c>
      <c r="H226" s="18">
        <v>289</v>
      </c>
      <c r="I226" s="18">
        <v>2541</v>
      </c>
      <c r="J226" s="18">
        <v>14309</v>
      </c>
      <c r="K226" s="18">
        <v>247815</v>
      </c>
      <c r="L226" s="33">
        <v>6.4471480741682297E-2</v>
      </c>
      <c r="M226" t="s">
        <v>22</v>
      </c>
    </row>
    <row r="227" spans="1:13" x14ac:dyDescent="0.3">
      <c r="A227" t="s">
        <v>180</v>
      </c>
      <c r="B227" t="s">
        <v>13</v>
      </c>
      <c r="C227" s="73">
        <v>45574</v>
      </c>
      <c r="D227" t="s">
        <v>24</v>
      </c>
      <c r="E227" t="s">
        <v>349</v>
      </c>
      <c r="F227" s="18">
        <v>7240</v>
      </c>
      <c r="G227" s="18">
        <v>1384</v>
      </c>
      <c r="H227" s="18">
        <v>954</v>
      </c>
      <c r="I227" s="18">
        <v>2335</v>
      </c>
      <c r="J227" s="18">
        <v>6757</v>
      </c>
      <c r="K227" s="18">
        <v>150448</v>
      </c>
      <c r="L227" s="33">
        <v>6.3663192598106988E-2</v>
      </c>
      <c r="M227" t="s">
        <v>22</v>
      </c>
    </row>
    <row r="228" spans="1:13" x14ac:dyDescent="0.3">
      <c r="A228" t="s">
        <v>236</v>
      </c>
      <c r="B228" t="s">
        <v>20</v>
      </c>
      <c r="C228" s="73">
        <v>45707</v>
      </c>
      <c r="D228" t="s">
        <v>24</v>
      </c>
      <c r="E228" t="s">
        <v>349</v>
      </c>
      <c r="F228" s="18">
        <v>8168</v>
      </c>
      <c r="G228" s="18">
        <v>512</v>
      </c>
      <c r="H228" s="18">
        <v>442</v>
      </c>
      <c r="I228" s="18">
        <v>2343</v>
      </c>
      <c r="J228" s="18">
        <v>2753</v>
      </c>
      <c r="K228" s="18">
        <v>143896</v>
      </c>
      <c r="L228" s="33">
        <v>6.3393006059932172E-2</v>
      </c>
      <c r="M228" t="s">
        <v>38</v>
      </c>
    </row>
    <row r="229" spans="1:13" x14ac:dyDescent="0.3">
      <c r="A229" t="s">
        <v>175</v>
      </c>
      <c r="B229" t="s">
        <v>20</v>
      </c>
      <c r="C229" s="73">
        <v>45459</v>
      </c>
      <c r="D229" t="s">
        <v>21</v>
      </c>
      <c r="E229" t="s">
        <v>343</v>
      </c>
      <c r="F229" s="18">
        <v>12160</v>
      </c>
      <c r="G229" s="18">
        <v>1405</v>
      </c>
      <c r="H229" s="18">
        <v>769</v>
      </c>
      <c r="I229" s="18">
        <v>1980</v>
      </c>
      <c r="J229" s="18">
        <v>33174</v>
      </c>
      <c r="K229" s="18">
        <v>226481</v>
      </c>
      <c r="L229" s="33">
        <v>6.329007731332871E-2</v>
      </c>
      <c r="M229" t="s">
        <v>15</v>
      </c>
    </row>
    <row r="230" spans="1:13" x14ac:dyDescent="0.3">
      <c r="A230" t="s">
        <v>321</v>
      </c>
      <c r="B230" t="s">
        <v>34</v>
      </c>
      <c r="C230" s="73">
        <v>45783</v>
      </c>
      <c r="D230" t="s">
        <v>30</v>
      </c>
      <c r="E230" t="s">
        <v>343</v>
      </c>
      <c r="F230" s="18">
        <v>7287</v>
      </c>
      <c r="G230" s="18">
        <v>1240</v>
      </c>
      <c r="H230" s="18">
        <v>686</v>
      </c>
      <c r="I230" s="18">
        <v>1255</v>
      </c>
      <c r="J230" s="18">
        <v>15403</v>
      </c>
      <c r="K230" s="18">
        <v>147971</v>
      </c>
      <c r="L230" s="33">
        <v>6.2262200025680704E-2</v>
      </c>
      <c r="M230" t="s">
        <v>15</v>
      </c>
    </row>
    <row r="231" spans="1:13" x14ac:dyDescent="0.3">
      <c r="A231" t="s">
        <v>111</v>
      </c>
      <c r="B231" t="s">
        <v>13</v>
      </c>
      <c r="C231" s="73">
        <v>45766</v>
      </c>
      <c r="D231" t="s">
        <v>14</v>
      </c>
      <c r="E231" t="s">
        <v>347</v>
      </c>
      <c r="F231" s="18">
        <v>8881</v>
      </c>
      <c r="G231" s="18">
        <v>210</v>
      </c>
      <c r="H231" s="18">
        <v>673</v>
      </c>
      <c r="I231" s="18">
        <v>1565</v>
      </c>
      <c r="J231" s="18">
        <v>24847</v>
      </c>
      <c r="K231" s="18">
        <v>156891</v>
      </c>
      <c r="L231" s="33">
        <v>6.223429004850501E-2</v>
      </c>
      <c r="M231" t="s">
        <v>22</v>
      </c>
    </row>
    <row r="232" spans="1:13" x14ac:dyDescent="0.3">
      <c r="A232" t="s">
        <v>182</v>
      </c>
      <c r="B232" t="s">
        <v>34</v>
      </c>
      <c r="C232" s="73">
        <v>45587</v>
      </c>
      <c r="D232" t="s">
        <v>21</v>
      </c>
      <c r="E232" t="s">
        <v>347</v>
      </c>
      <c r="F232" s="18">
        <v>12478</v>
      </c>
      <c r="G232" s="18">
        <v>484</v>
      </c>
      <c r="H232" s="18">
        <v>332</v>
      </c>
      <c r="I232" s="18">
        <v>2734</v>
      </c>
      <c r="J232" s="18">
        <v>43338</v>
      </c>
      <c r="K232" s="18">
        <v>213895</v>
      </c>
      <c r="L232" s="33">
        <v>6.2151990462610156E-2</v>
      </c>
      <c r="M232" t="s">
        <v>25</v>
      </c>
    </row>
    <row r="233" spans="1:13" x14ac:dyDescent="0.3">
      <c r="A233" t="s">
        <v>296</v>
      </c>
      <c r="B233" t="s">
        <v>13</v>
      </c>
      <c r="C233" s="73">
        <v>45672</v>
      </c>
      <c r="D233" t="s">
        <v>21</v>
      </c>
      <c r="E233" t="s">
        <v>344</v>
      </c>
      <c r="F233" s="18">
        <v>11333</v>
      </c>
      <c r="G233" s="18">
        <v>920</v>
      </c>
      <c r="H233" s="18">
        <v>294</v>
      </c>
      <c r="I233" s="18">
        <v>606</v>
      </c>
      <c r="J233" s="18">
        <v>59490</v>
      </c>
      <c r="K233" s="18">
        <v>202082</v>
      </c>
      <c r="L233" s="33">
        <v>6.2088657079799291E-2</v>
      </c>
      <c r="M233" t="s">
        <v>22</v>
      </c>
    </row>
    <row r="234" spans="1:13" x14ac:dyDescent="0.3">
      <c r="A234" t="s">
        <v>195</v>
      </c>
      <c r="B234" t="s">
        <v>13</v>
      </c>
      <c r="C234" s="73">
        <v>45629</v>
      </c>
      <c r="D234" t="s">
        <v>14</v>
      </c>
      <c r="E234" t="s">
        <v>347</v>
      </c>
      <c r="F234" s="18">
        <v>2055</v>
      </c>
      <c r="G234" s="18">
        <v>675</v>
      </c>
      <c r="H234" s="18">
        <v>257</v>
      </c>
      <c r="I234" s="18">
        <v>820</v>
      </c>
      <c r="J234" s="18">
        <v>33534</v>
      </c>
      <c r="K234" s="18">
        <v>48125</v>
      </c>
      <c r="L234" s="33">
        <v>6.2067532467532466E-2</v>
      </c>
      <c r="M234" t="s">
        <v>15</v>
      </c>
    </row>
    <row r="235" spans="1:13" x14ac:dyDescent="0.3">
      <c r="A235" t="s">
        <v>107</v>
      </c>
      <c r="B235" t="s">
        <v>13</v>
      </c>
      <c r="C235" s="73">
        <v>45584</v>
      </c>
      <c r="D235" t="s">
        <v>30</v>
      </c>
      <c r="E235" t="s">
        <v>346</v>
      </c>
      <c r="F235" s="18">
        <v>6673</v>
      </c>
      <c r="G235" s="18">
        <v>826</v>
      </c>
      <c r="H235" s="18">
        <v>321</v>
      </c>
      <c r="I235" s="18">
        <v>577</v>
      </c>
      <c r="J235" s="18">
        <v>19262</v>
      </c>
      <c r="K235" s="18">
        <v>132324</v>
      </c>
      <c r="L235" s="33">
        <v>5.9097367068710133E-2</v>
      </c>
      <c r="M235" t="s">
        <v>38</v>
      </c>
    </row>
    <row r="236" spans="1:13" x14ac:dyDescent="0.3">
      <c r="A236" t="s">
        <v>74</v>
      </c>
      <c r="B236" t="s">
        <v>13</v>
      </c>
      <c r="C236" s="73">
        <v>45727</v>
      </c>
      <c r="D236" t="s">
        <v>30</v>
      </c>
      <c r="E236" t="s">
        <v>343</v>
      </c>
      <c r="F236" s="18">
        <v>7997</v>
      </c>
      <c r="G236" s="18">
        <v>1238</v>
      </c>
      <c r="H236" s="18">
        <v>438</v>
      </c>
      <c r="I236" s="18">
        <v>1874</v>
      </c>
      <c r="J236" s="18">
        <v>36272</v>
      </c>
      <c r="K236" s="18">
        <v>165818</v>
      </c>
      <c r="L236" s="33">
        <v>5.8335042034037318E-2</v>
      </c>
      <c r="M236" t="s">
        <v>38</v>
      </c>
    </row>
    <row r="237" spans="1:13" x14ac:dyDescent="0.3">
      <c r="A237" t="s">
        <v>40</v>
      </c>
      <c r="B237" t="s">
        <v>17</v>
      </c>
      <c r="C237" s="73">
        <v>45907</v>
      </c>
      <c r="D237" t="s">
        <v>21</v>
      </c>
      <c r="E237" t="s">
        <v>345</v>
      </c>
      <c r="F237" s="18">
        <v>3015</v>
      </c>
      <c r="G237" s="18">
        <v>997</v>
      </c>
      <c r="H237" s="18">
        <v>783</v>
      </c>
      <c r="I237" s="18">
        <v>617</v>
      </c>
      <c r="J237" s="18">
        <v>77167</v>
      </c>
      <c r="K237" s="18">
        <v>82229</v>
      </c>
      <c r="L237" s="33">
        <v>5.8312760704860814E-2</v>
      </c>
      <c r="M237" t="s">
        <v>18</v>
      </c>
    </row>
    <row r="238" spans="1:13" x14ac:dyDescent="0.3">
      <c r="A238" t="s">
        <v>314</v>
      </c>
      <c r="B238" t="s">
        <v>20</v>
      </c>
      <c r="C238" s="73">
        <v>45764</v>
      </c>
      <c r="D238" t="s">
        <v>21</v>
      </c>
      <c r="E238" t="s">
        <v>348</v>
      </c>
      <c r="F238" s="18">
        <v>2009</v>
      </c>
      <c r="G238" s="18">
        <v>1037</v>
      </c>
      <c r="H238" s="18">
        <v>344</v>
      </c>
      <c r="I238" s="18">
        <v>2277</v>
      </c>
      <c r="J238" s="18">
        <v>85743</v>
      </c>
      <c r="K238" s="18">
        <v>58743</v>
      </c>
      <c r="L238" s="33">
        <v>5.7709003625963942E-2</v>
      </c>
      <c r="M238" t="s">
        <v>25</v>
      </c>
    </row>
    <row r="239" spans="1:13" x14ac:dyDescent="0.3">
      <c r="A239" t="s">
        <v>58</v>
      </c>
      <c r="B239" t="s">
        <v>20</v>
      </c>
      <c r="C239" s="73">
        <v>45504</v>
      </c>
      <c r="D239" t="s">
        <v>14</v>
      </c>
      <c r="E239" t="s">
        <v>350</v>
      </c>
      <c r="F239" s="18">
        <v>2404</v>
      </c>
      <c r="G239" s="18">
        <v>774</v>
      </c>
      <c r="H239" s="18">
        <v>661</v>
      </c>
      <c r="I239" s="18">
        <v>662</v>
      </c>
      <c r="J239" s="18">
        <v>12676</v>
      </c>
      <c r="K239" s="18">
        <v>66916</v>
      </c>
      <c r="L239" s="33">
        <v>5.7370434574690654E-2</v>
      </c>
      <c r="M239" t="s">
        <v>15</v>
      </c>
    </row>
    <row r="240" spans="1:13" x14ac:dyDescent="0.3">
      <c r="A240" t="s">
        <v>159</v>
      </c>
      <c r="B240" t="s">
        <v>20</v>
      </c>
      <c r="C240" s="73">
        <v>45694</v>
      </c>
      <c r="D240" t="s">
        <v>14</v>
      </c>
      <c r="E240" t="s">
        <v>343</v>
      </c>
      <c r="F240" s="18">
        <v>2666</v>
      </c>
      <c r="G240" s="18">
        <v>1136</v>
      </c>
      <c r="H240" s="18">
        <v>989</v>
      </c>
      <c r="I240" s="18">
        <v>1710</v>
      </c>
      <c r="J240" s="18">
        <v>36467</v>
      </c>
      <c r="K240" s="18">
        <v>83753</v>
      </c>
      <c r="L240" s="33">
        <v>5.7203921053574198E-2</v>
      </c>
      <c r="M240" t="s">
        <v>22</v>
      </c>
    </row>
    <row r="241" spans="1:13" x14ac:dyDescent="0.3">
      <c r="A241" t="s">
        <v>53</v>
      </c>
      <c r="B241" t="s">
        <v>34</v>
      </c>
      <c r="C241" s="73">
        <v>45720</v>
      </c>
      <c r="D241" t="s">
        <v>21</v>
      </c>
      <c r="E241" t="s">
        <v>28</v>
      </c>
      <c r="F241" s="18">
        <v>12344</v>
      </c>
      <c r="G241" s="18">
        <v>815</v>
      </c>
      <c r="H241" s="18">
        <v>298</v>
      </c>
      <c r="I241" s="18">
        <v>2439</v>
      </c>
      <c r="J241" s="18">
        <v>6259</v>
      </c>
      <c r="K241" s="18">
        <v>237133</v>
      </c>
      <c r="L241" s="33">
        <v>5.6748744375519224E-2</v>
      </c>
      <c r="M241" t="s">
        <v>25</v>
      </c>
    </row>
    <row r="242" spans="1:13" x14ac:dyDescent="0.3">
      <c r="A242" t="s">
        <v>122</v>
      </c>
      <c r="B242" t="s">
        <v>34</v>
      </c>
      <c r="C242" s="73">
        <v>45545</v>
      </c>
      <c r="D242" t="s">
        <v>30</v>
      </c>
      <c r="E242" t="s">
        <v>348</v>
      </c>
      <c r="F242" s="18">
        <v>6637</v>
      </c>
      <c r="G242" s="18">
        <v>595</v>
      </c>
      <c r="H242" s="18">
        <v>161</v>
      </c>
      <c r="I242" s="18">
        <v>2653</v>
      </c>
      <c r="J242" s="18">
        <v>19334</v>
      </c>
      <c r="K242" s="18">
        <v>131155</v>
      </c>
      <c r="L242" s="33">
        <v>5.6368419046166747E-2</v>
      </c>
      <c r="M242" t="s">
        <v>22</v>
      </c>
    </row>
    <row r="243" spans="1:13" x14ac:dyDescent="0.3">
      <c r="A243" t="s">
        <v>113</v>
      </c>
      <c r="B243" t="s">
        <v>34</v>
      </c>
      <c r="C243" s="73">
        <v>45449</v>
      </c>
      <c r="D243" t="s">
        <v>21</v>
      </c>
      <c r="E243" t="s">
        <v>349</v>
      </c>
      <c r="F243" s="18">
        <v>11521</v>
      </c>
      <c r="G243" s="18">
        <v>1071</v>
      </c>
      <c r="H243" s="18">
        <v>762</v>
      </c>
      <c r="I243" s="18">
        <v>2539</v>
      </c>
      <c r="J243" s="18">
        <v>12701</v>
      </c>
      <c r="K243" s="18">
        <v>238350</v>
      </c>
      <c r="L243" s="33">
        <v>5.6026851269142017E-2</v>
      </c>
      <c r="M243" t="s">
        <v>22</v>
      </c>
    </row>
    <row r="244" spans="1:13" x14ac:dyDescent="0.3">
      <c r="A244" t="s">
        <v>75</v>
      </c>
      <c r="B244" t="s">
        <v>34</v>
      </c>
      <c r="C244" s="73">
        <v>45918</v>
      </c>
      <c r="D244" t="s">
        <v>30</v>
      </c>
      <c r="E244" t="s">
        <v>350</v>
      </c>
      <c r="F244" s="18">
        <v>4048</v>
      </c>
      <c r="G244" s="18">
        <v>677</v>
      </c>
      <c r="H244" s="18">
        <v>911</v>
      </c>
      <c r="I244" s="18">
        <v>2429</v>
      </c>
      <c r="J244" s="18">
        <v>27361</v>
      </c>
      <c r="K244" s="18">
        <v>101272</v>
      </c>
      <c r="L244" s="33">
        <v>5.5652105221581483E-2</v>
      </c>
      <c r="M244" t="s">
        <v>18</v>
      </c>
    </row>
    <row r="245" spans="1:13" x14ac:dyDescent="0.3">
      <c r="A245" t="s">
        <v>45</v>
      </c>
      <c r="B245" t="s">
        <v>13</v>
      </c>
      <c r="C245" s="73">
        <v>45544</v>
      </c>
      <c r="D245" t="s">
        <v>24</v>
      </c>
      <c r="E245" t="s">
        <v>345</v>
      </c>
      <c r="F245" s="18">
        <v>6158</v>
      </c>
      <c r="G245" s="18">
        <v>277</v>
      </c>
      <c r="H245" s="18">
        <v>512</v>
      </c>
      <c r="I245" s="18">
        <v>2189</v>
      </c>
      <c r="J245" s="18">
        <v>76881</v>
      </c>
      <c r="K245" s="18">
        <v>124878</v>
      </c>
      <c r="L245" s="33">
        <v>5.563029516808405E-2</v>
      </c>
      <c r="M245" t="s">
        <v>25</v>
      </c>
    </row>
    <row r="246" spans="1:13" x14ac:dyDescent="0.3">
      <c r="A246" t="s">
        <v>128</v>
      </c>
      <c r="B246" t="s">
        <v>34</v>
      </c>
      <c r="C246" s="73">
        <v>45926</v>
      </c>
      <c r="D246" t="s">
        <v>30</v>
      </c>
      <c r="E246" t="s">
        <v>28</v>
      </c>
      <c r="F246" s="18">
        <v>9043</v>
      </c>
      <c r="G246" s="18">
        <v>1192</v>
      </c>
      <c r="H246" s="18">
        <v>810</v>
      </c>
      <c r="I246" s="18">
        <v>1550</v>
      </c>
      <c r="J246" s="18">
        <v>5221</v>
      </c>
      <c r="K246" s="18">
        <v>199476</v>
      </c>
      <c r="L246" s="33">
        <v>5.5370069582305642E-2</v>
      </c>
      <c r="M246" t="s">
        <v>18</v>
      </c>
    </row>
    <row r="247" spans="1:13" x14ac:dyDescent="0.3">
      <c r="A247" t="s">
        <v>95</v>
      </c>
      <c r="B247" t="s">
        <v>17</v>
      </c>
      <c r="C247" s="73">
        <v>45724</v>
      </c>
      <c r="D247" t="s">
        <v>21</v>
      </c>
      <c r="E247" t="s">
        <v>348</v>
      </c>
      <c r="F247" s="18">
        <v>10580</v>
      </c>
      <c r="G247" s="18">
        <v>427</v>
      </c>
      <c r="H247" s="18">
        <v>790</v>
      </c>
      <c r="I247" s="18">
        <v>2814</v>
      </c>
      <c r="J247" s="18">
        <v>24916</v>
      </c>
      <c r="K247" s="18">
        <v>213312</v>
      </c>
      <c r="L247" s="33">
        <v>5.530396789678968E-2</v>
      </c>
      <c r="M247" t="s">
        <v>38</v>
      </c>
    </row>
    <row r="248" spans="1:13" x14ac:dyDescent="0.3">
      <c r="A248" t="s">
        <v>146</v>
      </c>
      <c r="B248" t="s">
        <v>20</v>
      </c>
      <c r="C248" s="73">
        <v>45586</v>
      </c>
      <c r="D248" t="s">
        <v>24</v>
      </c>
      <c r="E248" t="s">
        <v>346</v>
      </c>
      <c r="F248" s="18">
        <v>8254</v>
      </c>
      <c r="G248" s="18">
        <v>1405</v>
      </c>
      <c r="H248" s="18">
        <v>165</v>
      </c>
      <c r="I248" s="18">
        <v>2504</v>
      </c>
      <c r="J248" s="18">
        <v>8081</v>
      </c>
      <c r="K248" s="18">
        <v>177710</v>
      </c>
      <c r="L248" s="33">
        <v>5.5281075910190762E-2</v>
      </c>
      <c r="M248" t="s">
        <v>15</v>
      </c>
    </row>
    <row r="249" spans="1:13" x14ac:dyDescent="0.3">
      <c r="A249" t="s">
        <v>319</v>
      </c>
      <c r="B249" t="s">
        <v>20</v>
      </c>
      <c r="C249" s="73">
        <v>45791</v>
      </c>
      <c r="D249" t="s">
        <v>14</v>
      </c>
      <c r="E249" t="s">
        <v>350</v>
      </c>
      <c r="F249" s="18">
        <v>9041</v>
      </c>
      <c r="G249" s="18">
        <v>1133</v>
      </c>
      <c r="H249" s="18">
        <v>612</v>
      </c>
      <c r="I249" s="18">
        <v>1687</v>
      </c>
      <c r="J249" s="18">
        <v>28102</v>
      </c>
      <c r="K249" s="18">
        <v>195683</v>
      </c>
      <c r="L249" s="33">
        <v>5.5119760020032396E-2</v>
      </c>
      <c r="M249" t="s">
        <v>25</v>
      </c>
    </row>
    <row r="250" spans="1:13" x14ac:dyDescent="0.3">
      <c r="A250" t="s">
        <v>139</v>
      </c>
      <c r="B250" t="s">
        <v>17</v>
      </c>
      <c r="C250" s="73">
        <v>45929</v>
      </c>
      <c r="D250" t="s">
        <v>24</v>
      </c>
      <c r="E250" t="s">
        <v>351</v>
      </c>
      <c r="F250" s="18">
        <v>7569</v>
      </c>
      <c r="G250" s="18">
        <v>803</v>
      </c>
      <c r="H250" s="18">
        <v>804</v>
      </c>
      <c r="I250" s="18">
        <v>1753</v>
      </c>
      <c r="J250" s="18">
        <v>43582</v>
      </c>
      <c r="K250" s="18">
        <v>166945</v>
      </c>
      <c r="L250" s="33">
        <v>5.4964209769684629E-2</v>
      </c>
      <c r="M250" t="s">
        <v>18</v>
      </c>
    </row>
    <row r="251" spans="1:13" x14ac:dyDescent="0.3">
      <c r="A251" t="s">
        <v>223</v>
      </c>
      <c r="B251" t="s">
        <v>34</v>
      </c>
      <c r="C251" s="73">
        <v>45587</v>
      </c>
      <c r="D251" t="s">
        <v>21</v>
      </c>
      <c r="E251" t="s">
        <v>345</v>
      </c>
      <c r="F251" s="18">
        <v>7750</v>
      </c>
      <c r="G251" s="18">
        <v>1146</v>
      </c>
      <c r="H251" s="18">
        <v>415</v>
      </c>
      <c r="I251" s="18">
        <v>1411</v>
      </c>
      <c r="J251" s="18">
        <v>85339</v>
      </c>
      <c r="K251" s="18">
        <v>172439</v>
      </c>
      <c r="L251" s="33">
        <v>5.3995905798572247E-2</v>
      </c>
      <c r="M251" t="s">
        <v>22</v>
      </c>
    </row>
    <row r="252" spans="1:13" x14ac:dyDescent="0.3">
      <c r="A252" t="s">
        <v>120</v>
      </c>
      <c r="B252" t="s">
        <v>34</v>
      </c>
      <c r="C252" s="73">
        <v>45603</v>
      </c>
      <c r="D252" t="s">
        <v>30</v>
      </c>
      <c r="E252" t="s">
        <v>349</v>
      </c>
      <c r="F252" s="18">
        <v>11550</v>
      </c>
      <c r="G252" s="18">
        <v>501</v>
      </c>
      <c r="H252" s="18">
        <v>646</v>
      </c>
      <c r="I252" s="18">
        <v>773</v>
      </c>
      <c r="J252" s="18">
        <v>17841</v>
      </c>
      <c r="K252" s="18">
        <v>237576</v>
      </c>
      <c r="L252" s="33">
        <v>5.3443950567397383E-2</v>
      </c>
      <c r="M252" t="s">
        <v>25</v>
      </c>
    </row>
    <row r="253" spans="1:13" x14ac:dyDescent="0.3">
      <c r="A253" t="s">
        <v>56</v>
      </c>
      <c r="B253" t="s">
        <v>17</v>
      </c>
      <c r="C253" s="73">
        <v>45713</v>
      </c>
      <c r="D253" t="s">
        <v>30</v>
      </c>
      <c r="E253" t="s">
        <v>351</v>
      </c>
      <c r="F253" s="18">
        <v>10702</v>
      </c>
      <c r="G253" s="18">
        <v>621</v>
      </c>
      <c r="H253" s="18">
        <v>445</v>
      </c>
      <c r="I253" s="18">
        <v>2918</v>
      </c>
      <c r="J253" s="18">
        <v>54808</v>
      </c>
      <c r="K253" s="18">
        <v>220225</v>
      </c>
      <c r="L253" s="33">
        <v>5.3436258372119426E-2</v>
      </c>
      <c r="M253" t="s">
        <v>15</v>
      </c>
    </row>
    <row r="254" spans="1:13" x14ac:dyDescent="0.3">
      <c r="A254" t="s">
        <v>36</v>
      </c>
      <c r="B254" t="s">
        <v>13</v>
      </c>
      <c r="C254" s="73">
        <v>45494</v>
      </c>
      <c r="D254" t="s">
        <v>21</v>
      </c>
      <c r="E254" t="s">
        <v>344</v>
      </c>
      <c r="F254" s="18">
        <v>2009</v>
      </c>
      <c r="G254" s="18">
        <v>1072</v>
      </c>
      <c r="H254" s="18">
        <v>550</v>
      </c>
      <c r="I254" s="18">
        <v>1437</v>
      </c>
      <c r="J254" s="18">
        <v>22982</v>
      </c>
      <c r="K254" s="18">
        <v>69426</v>
      </c>
      <c r="L254" s="33">
        <v>5.2300290957278256E-2</v>
      </c>
      <c r="M254" t="s">
        <v>25</v>
      </c>
    </row>
    <row r="255" spans="1:13" x14ac:dyDescent="0.3">
      <c r="A255" t="s">
        <v>295</v>
      </c>
      <c r="B255" t="s">
        <v>13</v>
      </c>
      <c r="C255" s="73">
        <v>45601</v>
      </c>
      <c r="D255" t="s">
        <v>21</v>
      </c>
      <c r="E255" t="s">
        <v>55</v>
      </c>
      <c r="F255" s="18">
        <v>8469</v>
      </c>
      <c r="G255" s="18">
        <v>935</v>
      </c>
      <c r="H255" s="18">
        <v>211</v>
      </c>
      <c r="I255" s="18">
        <v>2635</v>
      </c>
      <c r="J255" s="18">
        <v>21890</v>
      </c>
      <c r="K255" s="18">
        <v>184539</v>
      </c>
      <c r="L255" s="33">
        <v>5.2102807536618279E-2</v>
      </c>
      <c r="M255" t="s">
        <v>38</v>
      </c>
    </row>
    <row r="256" spans="1:13" x14ac:dyDescent="0.3">
      <c r="A256" t="s">
        <v>32</v>
      </c>
      <c r="B256" t="s">
        <v>13</v>
      </c>
      <c r="C256" s="73">
        <v>45534</v>
      </c>
      <c r="D256" t="s">
        <v>30</v>
      </c>
      <c r="E256" t="s">
        <v>344</v>
      </c>
      <c r="F256" s="18">
        <v>6804</v>
      </c>
      <c r="G256" s="18">
        <v>787</v>
      </c>
      <c r="H256" s="18">
        <v>970</v>
      </c>
      <c r="I256" s="18">
        <v>1095</v>
      </c>
      <c r="J256" s="18">
        <v>56343</v>
      </c>
      <c r="K256" s="18">
        <v>164677</v>
      </c>
      <c r="L256" s="33">
        <v>5.1986616224487935E-2</v>
      </c>
      <c r="M256" t="s">
        <v>15</v>
      </c>
    </row>
    <row r="257" spans="1:13" x14ac:dyDescent="0.3">
      <c r="A257" t="s">
        <v>57</v>
      </c>
      <c r="B257" t="s">
        <v>20</v>
      </c>
      <c r="C257" s="73">
        <v>45642</v>
      </c>
      <c r="D257" t="s">
        <v>14</v>
      </c>
      <c r="E257" t="s">
        <v>346</v>
      </c>
      <c r="F257" s="18">
        <v>2384</v>
      </c>
      <c r="G257" s="18">
        <v>1246</v>
      </c>
      <c r="H257" s="18">
        <v>160</v>
      </c>
      <c r="I257" s="18">
        <v>2004</v>
      </c>
      <c r="J257" s="18">
        <v>2701</v>
      </c>
      <c r="K257" s="18">
        <v>73142</v>
      </c>
      <c r="L257" s="33">
        <v>5.1817013480626728E-2</v>
      </c>
      <c r="M257" t="s">
        <v>15</v>
      </c>
    </row>
    <row r="258" spans="1:13" x14ac:dyDescent="0.3">
      <c r="A258" t="s">
        <v>47</v>
      </c>
      <c r="B258" t="s">
        <v>20</v>
      </c>
      <c r="C258" s="73">
        <v>45715</v>
      </c>
      <c r="D258" t="s">
        <v>14</v>
      </c>
      <c r="E258" t="s">
        <v>347</v>
      </c>
      <c r="F258" s="18">
        <v>8970</v>
      </c>
      <c r="G258" s="18">
        <v>331</v>
      </c>
      <c r="H258" s="18">
        <v>968</v>
      </c>
      <c r="I258" s="18">
        <v>2296</v>
      </c>
      <c r="J258" s="18">
        <v>24613</v>
      </c>
      <c r="K258" s="18">
        <v>198562</v>
      </c>
      <c r="L258" s="33">
        <v>5.1716844109144754E-2</v>
      </c>
      <c r="M258" t="s">
        <v>25</v>
      </c>
    </row>
    <row r="259" spans="1:13" x14ac:dyDescent="0.3">
      <c r="A259" t="s">
        <v>226</v>
      </c>
      <c r="B259" t="s">
        <v>13</v>
      </c>
      <c r="C259" s="73">
        <v>45754</v>
      </c>
      <c r="D259" t="s">
        <v>30</v>
      </c>
      <c r="E259" t="s">
        <v>351</v>
      </c>
      <c r="F259" s="18">
        <v>3062</v>
      </c>
      <c r="G259" s="18">
        <v>1124</v>
      </c>
      <c r="H259" s="18">
        <v>538</v>
      </c>
      <c r="I259" s="18">
        <v>2935</v>
      </c>
      <c r="J259" s="18">
        <v>69749</v>
      </c>
      <c r="K259" s="18">
        <v>91924</v>
      </c>
      <c r="L259" s="33">
        <v>5.1390278926069365E-2</v>
      </c>
      <c r="M259" t="s">
        <v>25</v>
      </c>
    </row>
    <row r="260" spans="1:13" x14ac:dyDescent="0.3">
      <c r="A260" t="s">
        <v>287</v>
      </c>
      <c r="B260" t="s">
        <v>20</v>
      </c>
      <c r="C260" s="73">
        <v>45592</v>
      </c>
      <c r="D260" t="s">
        <v>30</v>
      </c>
      <c r="E260" t="s">
        <v>343</v>
      </c>
      <c r="F260" s="18">
        <v>7560</v>
      </c>
      <c r="G260" s="18">
        <v>1139</v>
      </c>
      <c r="H260" s="18">
        <v>248</v>
      </c>
      <c r="I260" s="18">
        <v>1624</v>
      </c>
      <c r="J260" s="18">
        <v>72237</v>
      </c>
      <c r="K260" s="18">
        <v>177084</v>
      </c>
      <c r="L260" s="33">
        <v>5.0524045085947912E-2</v>
      </c>
      <c r="M260" t="s">
        <v>22</v>
      </c>
    </row>
    <row r="261" spans="1:13" x14ac:dyDescent="0.3">
      <c r="A261" t="s">
        <v>245</v>
      </c>
      <c r="B261" t="s">
        <v>17</v>
      </c>
      <c r="C261" s="73">
        <v>45685</v>
      </c>
      <c r="D261" t="s">
        <v>30</v>
      </c>
      <c r="E261" t="s">
        <v>347</v>
      </c>
      <c r="F261" s="18">
        <v>9943</v>
      </c>
      <c r="G261" s="18">
        <v>1274</v>
      </c>
      <c r="H261" s="18">
        <v>336</v>
      </c>
      <c r="I261" s="18">
        <v>389</v>
      </c>
      <c r="J261" s="18">
        <v>6145</v>
      </c>
      <c r="K261" s="18">
        <v>231305</v>
      </c>
      <c r="L261" s="33">
        <v>4.9947039623008581E-2</v>
      </c>
      <c r="M261" t="s">
        <v>15</v>
      </c>
    </row>
    <row r="262" spans="1:13" x14ac:dyDescent="0.3">
      <c r="A262" t="s">
        <v>197</v>
      </c>
      <c r="B262" t="s">
        <v>17</v>
      </c>
      <c r="C262" s="73">
        <v>45657</v>
      </c>
      <c r="D262" t="s">
        <v>14</v>
      </c>
      <c r="E262" t="s">
        <v>343</v>
      </c>
      <c r="F262" s="18">
        <v>10717</v>
      </c>
      <c r="G262" s="18">
        <v>760</v>
      </c>
      <c r="H262" s="18">
        <v>460</v>
      </c>
      <c r="I262" s="18">
        <v>1316</v>
      </c>
      <c r="J262" s="18">
        <v>18164</v>
      </c>
      <c r="K262" s="18">
        <v>240641</v>
      </c>
      <c r="L262" s="33">
        <v>4.9605013277039242E-2</v>
      </c>
      <c r="M262" t="s">
        <v>38</v>
      </c>
    </row>
    <row r="263" spans="1:13" x14ac:dyDescent="0.3">
      <c r="A263" t="s">
        <v>91</v>
      </c>
      <c r="B263" t="s">
        <v>13</v>
      </c>
      <c r="C263" s="73">
        <v>45744</v>
      </c>
      <c r="D263" t="s">
        <v>21</v>
      </c>
      <c r="E263" t="s">
        <v>343</v>
      </c>
      <c r="F263" s="18">
        <v>6363</v>
      </c>
      <c r="G263" s="18">
        <v>1341</v>
      </c>
      <c r="H263" s="18">
        <v>222</v>
      </c>
      <c r="I263" s="18">
        <v>2712</v>
      </c>
      <c r="J263" s="18">
        <v>19987</v>
      </c>
      <c r="K263" s="18">
        <v>160585</v>
      </c>
      <c r="L263" s="33">
        <v>4.9357038328611019E-2</v>
      </c>
      <c r="M263" t="s">
        <v>22</v>
      </c>
    </row>
    <row r="264" spans="1:13" x14ac:dyDescent="0.3">
      <c r="A264" t="s">
        <v>156</v>
      </c>
      <c r="B264" t="s">
        <v>17</v>
      </c>
      <c r="C264" s="73">
        <v>45564</v>
      </c>
      <c r="D264" t="s">
        <v>30</v>
      </c>
      <c r="E264" t="s">
        <v>344</v>
      </c>
      <c r="F264" s="18">
        <v>10472</v>
      </c>
      <c r="G264" s="18">
        <v>401</v>
      </c>
      <c r="H264" s="18">
        <v>668</v>
      </c>
      <c r="I264" s="18">
        <v>383</v>
      </c>
      <c r="J264" s="18">
        <v>37571</v>
      </c>
      <c r="K264" s="18">
        <v>249203</v>
      </c>
      <c r="L264" s="33">
        <v>4.6311641513143903E-2</v>
      </c>
      <c r="M264" t="s">
        <v>22</v>
      </c>
    </row>
    <row r="265" spans="1:13" x14ac:dyDescent="0.3">
      <c r="A265" t="s">
        <v>41</v>
      </c>
      <c r="B265" t="s">
        <v>20</v>
      </c>
      <c r="C265" s="73">
        <v>45530</v>
      </c>
      <c r="D265" t="s">
        <v>30</v>
      </c>
      <c r="E265" t="s">
        <v>348</v>
      </c>
      <c r="F265" s="18">
        <v>4193</v>
      </c>
      <c r="G265" s="18">
        <v>924</v>
      </c>
      <c r="H265" s="18">
        <v>707</v>
      </c>
      <c r="I265" s="18">
        <v>2696</v>
      </c>
      <c r="J265" s="18">
        <v>55075</v>
      </c>
      <c r="K265" s="18">
        <v>126652</v>
      </c>
      <c r="L265" s="33">
        <v>4.5984271863057827E-2</v>
      </c>
      <c r="M265" t="s">
        <v>25</v>
      </c>
    </row>
    <row r="266" spans="1:13" x14ac:dyDescent="0.3">
      <c r="A266" t="s">
        <v>84</v>
      </c>
      <c r="B266" t="s">
        <v>20</v>
      </c>
      <c r="C266" s="73">
        <v>45762</v>
      </c>
      <c r="D266" t="s">
        <v>30</v>
      </c>
      <c r="E266" t="s">
        <v>345</v>
      </c>
      <c r="F266" s="18">
        <v>5419</v>
      </c>
      <c r="G266" s="18">
        <v>1150</v>
      </c>
      <c r="H266" s="18">
        <v>656</v>
      </c>
      <c r="I266" s="18">
        <v>1990</v>
      </c>
      <c r="J266" s="18">
        <v>410</v>
      </c>
      <c r="K266" s="18">
        <v>158154</v>
      </c>
      <c r="L266" s="33">
        <v>4.5683321319726342E-2</v>
      </c>
      <c r="M266" t="s">
        <v>22</v>
      </c>
    </row>
    <row r="267" spans="1:13" x14ac:dyDescent="0.3">
      <c r="A267" t="s">
        <v>171</v>
      </c>
      <c r="B267" t="s">
        <v>17</v>
      </c>
      <c r="C267" s="73">
        <v>45516</v>
      </c>
      <c r="D267" t="s">
        <v>30</v>
      </c>
      <c r="E267" t="s">
        <v>344</v>
      </c>
      <c r="F267" s="18">
        <v>8376</v>
      </c>
      <c r="G267" s="18">
        <v>1154</v>
      </c>
      <c r="H267" s="18">
        <v>422</v>
      </c>
      <c r="I267" s="18">
        <v>1907</v>
      </c>
      <c r="J267" s="18">
        <v>36874</v>
      </c>
      <c r="K267" s="18">
        <v>218486</v>
      </c>
      <c r="L267" s="33">
        <v>4.5549829279679245E-2</v>
      </c>
      <c r="M267" t="s">
        <v>22</v>
      </c>
    </row>
    <row r="268" spans="1:13" x14ac:dyDescent="0.3">
      <c r="A268" t="s">
        <v>309</v>
      </c>
      <c r="B268" t="s">
        <v>34</v>
      </c>
      <c r="C268" s="73">
        <v>45786</v>
      </c>
      <c r="D268" t="s">
        <v>30</v>
      </c>
      <c r="E268" t="s">
        <v>348</v>
      </c>
      <c r="F268" s="18">
        <v>8988</v>
      </c>
      <c r="G268" s="18">
        <v>228</v>
      </c>
      <c r="H268" s="18">
        <v>766</v>
      </c>
      <c r="I268" s="18">
        <v>652</v>
      </c>
      <c r="J268" s="18">
        <v>63789</v>
      </c>
      <c r="K268" s="18">
        <v>219785</v>
      </c>
      <c r="L268" s="33">
        <v>4.541711217781013E-2</v>
      </c>
      <c r="M268" t="s">
        <v>22</v>
      </c>
    </row>
    <row r="269" spans="1:13" x14ac:dyDescent="0.3">
      <c r="A269" t="s">
        <v>324</v>
      </c>
      <c r="B269" t="s">
        <v>13</v>
      </c>
      <c r="C269" s="73">
        <v>45924</v>
      </c>
      <c r="D269" t="s">
        <v>21</v>
      </c>
      <c r="E269" t="s">
        <v>349</v>
      </c>
      <c r="F269" s="18">
        <v>3342</v>
      </c>
      <c r="G269" s="18">
        <v>787</v>
      </c>
      <c r="H269" s="18">
        <v>375</v>
      </c>
      <c r="I269" s="18">
        <v>907</v>
      </c>
      <c r="J269" s="18">
        <v>85823</v>
      </c>
      <c r="K269" s="18">
        <v>99189</v>
      </c>
      <c r="L269" s="33">
        <v>4.5408260996683103E-2</v>
      </c>
      <c r="M269" t="s">
        <v>18</v>
      </c>
    </row>
    <row r="270" spans="1:13" x14ac:dyDescent="0.3">
      <c r="A270" t="s">
        <v>116</v>
      </c>
      <c r="B270" t="s">
        <v>34</v>
      </c>
      <c r="C270" s="73">
        <v>45446</v>
      </c>
      <c r="D270" t="s">
        <v>14</v>
      </c>
      <c r="E270" t="s">
        <v>350</v>
      </c>
      <c r="F270" s="18">
        <v>8941</v>
      </c>
      <c r="G270" s="18">
        <v>911</v>
      </c>
      <c r="H270" s="18">
        <v>166</v>
      </c>
      <c r="I270" s="18">
        <v>1217</v>
      </c>
      <c r="J270" s="18">
        <v>68817</v>
      </c>
      <c r="K270" s="18">
        <v>221180</v>
      </c>
      <c r="L270" s="33">
        <v>4.5293426168731353E-2</v>
      </c>
      <c r="M270" t="s">
        <v>38</v>
      </c>
    </row>
    <row r="271" spans="1:13" x14ac:dyDescent="0.3">
      <c r="A271" t="s">
        <v>160</v>
      </c>
      <c r="B271" t="s">
        <v>20</v>
      </c>
      <c r="C271" s="73">
        <v>45931</v>
      </c>
      <c r="D271" t="s">
        <v>30</v>
      </c>
      <c r="E271" t="s">
        <v>28</v>
      </c>
      <c r="F271" s="18">
        <v>6188</v>
      </c>
      <c r="G271" s="18">
        <v>774</v>
      </c>
      <c r="H271" s="18">
        <v>647</v>
      </c>
      <c r="I271" s="18">
        <v>1830</v>
      </c>
      <c r="J271" s="18">
        <v>55436</v>
      </c>
      <c r="K271" s="18">
        <v>175542</v>
      </c>
      <c r="L271" s="33">
        <v>4.3345752013763089E-2</v>
      </c>
      <c r="M271" t="s">
        <v>18</v>
      </c>
    </row>
    <row r="272" spans="1:13" x14ac:dyDescent="0.3">
      <c r="A272" t="s">
        <v>64</v>
      </c>
      <c r="B272" t="s">
        <v>20</v>
      </c>
      <c r="C272" s="73">
        <v>45705</v>
      </c>
      <c r="D272" t="s">
        <v>21</v>
      </c>
      <c r="E272" t="s">
        <v>344</v>
      </c>
      <c r="F272" s="18">
        <v>7989</v>
      </c>
      <c r="G272" s="18">
        <v>1206</v>
      </c>
      <c r="H272" s="18">
        <v>376</v>
      </c>
      <c r="I272" s="18">
        <v>2769</v>
      </c>
      <c r="J272" s="18">
        <v>27550</v>
      </c>
      <c r="K272" s="18">
        <v>221749</v>
      </c>
      <c r="L272" s="33">
        <v>4.3161412227338117E-2</v>
      </c>
      <c r="M272" t="s">
        <v>22</v>
      </c>
    </row>
    <row r="273" spans="1:13" x14ac:dyDescent="0.3">
      <c r="A273" t="s">
        <v>96</v>
      </c>
      <c r="B273" t="s">
        <v>34</v>
      </c>
      <c r="C273" s="73">
        <v>45749</v>
      </c>
      <c r="D273" t="s">
        <v>21</v>
      </c>
      <c r="E273" t="s">
        <v>349</v>
      </c>
      <c r="F273" s="18">
        <v>6858</v>
      </c>
      <c r="G273" s="18">
        <v>415</v>
      </c>
      <c r="H273" s="18">
        <v>366</v>
      </c>
      <c r="I273" s="18">
        <v>2761</v>
      </c>
      <c r="J273" s="18">
        <v>2988</v>
      </c>
      <c r="K273" s="18">
        <v>177348</v>
      </c>
      <c r="L273" s="33">
        <v>4.3073505198818141E-2</v>
      </c>
      <c r="M273" t="s">
        <v>15</v>
      </c>
    </row>
    <row r="274" spans="1:13" x14ac:dyDescent="0.3">
      <c r="A274" t="s">
        <v>168</v>
      </c>
      <c r="B274" t="s">
        <v>20</v>
      </c>
      <c r="C274" s="73">
        <v>45741</v>
      </c>
      <c r="D274" t="s">
        <v>30</v>
      </c>
      <c r="E274" t="s">
        <v>345</v>
      </c>
      <c r="F274" s="18">
        <v>5900</v>
      </c>
      <c r="G274" s="18">
        <v>546</v>
      </c>
      <c r="H274" s="18">
        <v>592</v>
      </c>
      <c r="I274" s="18">
        <v>1594</v>
      </c>
      <c r="J274" s="18">
        <v>38627</v>
      </c>
      <c r="K274" s="18">
        <v>164398</v>
      </c>
      <c r="L274" s="33">
        <v>4.2810739790021778E-2</v>
      </c>
      <c r="M274" t="s">
        <v>38</v>
      </c>
    </row>
    <row r="275" spans="1:13" x14ac:dyDescent="0.3">
      <c r="A275" t="s">
        <v>233</v>
      </c>
      <c r="B275" t="s">
        <v>17</v>
      </c>
      <c r="C275" s="73">
        <v>45655</v>
      </c>
      <c r="D275" t="s">
        <v>30</v>
      </c>
      <c r="E275" t="s">
        <v>55</v>
      </c>
      <c r="F275" s="18">
        <v>8288</v>
      </c>
      <c r="G275" s="18">
        <v>1401</v>
      </c>
      <c r="H275" s="18">
        <v>819</v>
      </c>
      <c r="I275" s="18">
        <v>1235</v>
      </c>
      <c r="J275" s="18">
        <v>33446</v>
      </c>
      <c r="K275" s="18">
        <v>248786</v>
      </c>
      <c r="L275" s="33">
        <v>4.2237103373984064E-2</v>
      </c>
      <c r="M275" t="s">
        <v>15</v>
      </c>
    </row>
    <row r="276" spans="1:13" x14ac:dyDescent="0.3">
      <c r="A276" t="s">
        <v>300</v>
      </c>
      <c r="B276" t="s">
        <v>17</v>
      </c>
      <c r="C276" s="73">
        <v>45658</v>
      </c>
      <c r="D276" t="s">
        <v>24</v>
      </c>
      <c r="E276" t="s">
        <v>347</v>
      </c>
      <c r="F276" s="18">
        <v>8283</v>
      </c>
      <c r="G276" s="18">
        <v>720</v>
      </c>
      <c r="H276" s="18">
        <v>888</v>
      </c>
      <c r="I276" s="18">
        <v>611</v>
      </c>
      <c r="J276" s="18">
        <v>52791</v>
      </c>
      <c r="K276" s="18">
        <v>235229</v>
      </c>
      <c r="L276" s="33">
        <v>4.2048386891072105E-2</v>
      </c>
      <c r="M276" t="s">
        <v>15</v>
      </c>
    </row>
    <row r="277" spans="1:13" x14ac:dyDescent="0.3">
      <c r="A277" t="s">
        <v>232</v>
      </c>
      <c r="B277" t="s">
        <v>20</v>
      </c>
      <c r="C277" s="73">
        <v>45467</v>
      </c>
      <c r="D277" t="s">
        <v>14</v>
      </c>
      <c r="E277" t="s">
        <v>350</v>
      </c>
      <c r="F277" s="18">
        <v>6632</v>
      </c>
      <c r="G277" s="18">
        <v>254</v>
      </c>
      <c r="H277" s="18">
        <v>525</v>
      </c>
      <c r="I277" s="18">
        <v>1013</v>
      </c>
      <c r="J277" s="18">
        <v>13838</v>
      </c>
      <c r="K277" s="18">
        <v>180180</v>
      </c>
      <c r="L277" s="33">
        <v>4.1131091131091133E-2</v>
      </c>
      <c r="M277" t="s">
        <v>15</v>
      </c>
    </row>
    <row r="278" spans="1:13" x14ac:dyDescent="0.3">
      <c r="A278" t="s">
        <v>282</v>
      </c>
      <c r="B278" t="s">
        <v>13</v>
      </c>
      <c r="C278" s="73">
        <v>45917</v>
      </c>
      <c r="D278" t="s">
        <v>30</v>
      </c>
      <c r="E278" t="s">
        <v>347</v>
      </c>
      <c r="F278" s="18">
        <v>2117</v>
      </c>
      <c r="G278" s="18">
        <v>1133</v>
      </c>
      <c r="H278" s="18">
        <v>203</v>
      </c>
      <c r="I278" s="18">
        <v>1173</v>
      </c>
      <c r="J278" s="18">
        <v>40125</v>
      </c>
      <c r="K278" s="18">
        <v>85379</v>
      </c>
      <c r="L278" s="33">
        <v>4.0443200318579509E-2</v>
      </c>
      <c r="M278" t="s">
        <v>18</v>
      </c>
    </row>
    <row r="279" spans="1:13" x14ac:dyDescent="0.3">
      <c r="A279" t="s">
        <v>208</v>
      </c>
      <c r="B279" t="s">
        <v>13</v>
      </c>
      <c r="C279" s="73">
        <v>45504</v>
      </c>
      <c r="D279" t="s">
        <v>24</v>
      </c>
      <c r="E279" t="s">
        <v>345</v>
      </c>
      <c r="F279" s="18">
        <v>7122</v>
      </c>
      <c r="G279" s="18">
        <v>628</v>
      </c>
      <c r="H279" s="18">
        <v>757</v>
      </c>
      <c r="I279" s="18">
        <v>2313</v>
      </c>
      <c r="J279" s="18">
        <v>50924</v>
      </c>
      <c r="K279" s="18">
        <v>210954</v>
      </c>
      <c r="L279" s="33">
        <v>4.0326327066564277E-2</v>
      </c>
      <c r="M279" t="s">
        <v>38</v>
      </c>
    </row>
    <row r="280" spans="1:13" x14ac:dyDescent="0.3">
      <c r="A280" t="s">
        <v>105</v>
      </c>
      <c r="B280" t="s">
        <v>13</v>
      </c>
      <c r="C280" s="73">
        <v>45922</v>
      </c>
      <c r="D280" t="s">
        <v>24</v>
      </c>
      <c r="E280" t="s">
        <v>352</v>
      </c>
      <c r="F280" s="18">
        <v>8996</v>
      </c>
      <c r="G280" s="18">
        <v>329</v>
      </c>
      <c r="H280" s="18">
        <v>378</v>
      </c>
      <c r="I280" s="18">
        <v>2384</v>
      </c>
      <c r="J280" s="18">
        <v>39404</v>
      </c>
      <c r="K280" s="18">
        <v>242724</v>
      </c>
      <c r="L280" s="33">
        <v>3.9975445361810122E-2</v>
      </c>
      <c r="M280" t="s">
        <v>18</v>
      </c>
    </row>
    <row r="281" spans="1:13" x14ac:dyDescent="0.3">
      <c r="A281" t="s">
        <v>39</v>
      </c>
      <c r="B281" t="s">
        <v>13</v>
      </c>
      <c r="C281" s="73">
        <v>45906</v>
      </c>
      <c r="D281" t="s">
        <v>21</v>
      </c>
      <c r="E281" t="s">
        <v>348</v>
      </c>
      <c r="F281" s="18">
        <v>7124</v>
      </c>
      <c r="G281" s="18">
        <v>469</v>
      </c>
      <c r="H281" s="18">
        <v>851</v>
      </c>
      <c r="I281" s="18">
        <v>2571</v>
      </c>
      <c r="J281" s="18">
        <v>33802</v>
      </c>
      <c r="K281" s="18">
        <v>216313</v>
      </c>
      <c r="L281" s="33">
        <v>3.9036026498638549E-2</v>
      </c>
      <c r="M281" t="s">
        <v>18</v>
      </c>
    </row>
    <row r="282" spans="1:13" x14ac:dyDescent="0.3">
      <c r="A282" t="s">
        <v>301</v>
      </c>
      <c r="B282" t="s">
        <v>20</v>
      </c>
      <c r="C282" s="73">
        <v>45509</v>
      </c>
      <c r="D282" t="s">
        <v>21</v>
      </c>
      <c r="E282" t="s">
        <v>348</v>
      </c>
      <c r="F282" s="18">
        <v>4048</v>
      </c>
      <c r="G282" s="18">
        <v>751</v>
      </c>
      <c r="H282" s="18">
        <v>930</v>
      </c>
      <c r="I282" s="18">
        <v>1382</v>
      </c>
      <c r="J282" s="18">
        <v>16844</v>
      </c>
      <c r="K282" s="18">
        <v>148177</v>
      </c>
      <c r="L282" s="33">
        <v>3.8663220337839206E-2</v>
      </c>
      <c r="M282" t="s">
        <v>25</v>
      </c>
    </row>
    <row r="283" spans="1:13" x14ac:dyDescent="0.3">
      <c r="A283" t="s">
        <v>167</v>
      </c>
      <c r="B283" t="s">
        <v>17</v>
      </c>
      <c r="C283" s="73">
        <v>45933</v>
      </c>
      <c r="D283" t="s">
        <v>14</v>
      </c>
      <c r="E283" t="s">
        <v>349</v>
      </c>
      <c r="F283" s="18">
        <v>6777</v>
      </c>
      <c r="G283" s="18">
        <v>617</v>
      </c>
      <c r="H283" s="18">
        <v>551</v>
      </c>
      <c r="I283" s="18">
        <v>2109</v>
      </c>
      <c r="J283" s="18">
        <v>18559</v>
      </c>
      <c r="K283" s="18">
        <v>208452</v>
      </c>
      <c r="L283" s="33">
        <v>3.8114290100358834E-2</v>
      </c>
      <c r="M283" t="s">
        <v>18</v>
      </c>
    </row>
    <row r="284" spans="1:13" x14ac:dyDescent="0.3">
      <c r="A284" t="s">
        <v>69</v>
      </c>
      <c r="B284" t="s">
        <v>34</v>
      </c>
      <c r="C284" s="73">
        <v>45916</v>
      </c>
      <c r="D284" t="s">
        <v>21</v>
      </c>
      <c r="E284" t="s">
        <v>55</v>
      </c>
      <c r="F284" s="18">
        <v>6809</v>
      </c>
      <c r="G284" s="18">
        <v>397</v>
      </c>
      <c r="H284" s="18">
        <v>813</v>
      </c>
      <c r="I284" s="18">
        <v>1125</v>
      </c>
      <c r="J284" s="18">
        <v>12206</v>
      </c>
      <c r="K284" s="18">
        <v>218136</v>
      </c>
      <c r="L284" s="33">
        <v>3.6761469908680823E-2</v>
      </c>
      <c r="M284" t="s">
        <v>18</v>
      </c>
    </row>
    <row r="285" spans="1:13" x14ac:dyDescent="0.3">
      <c r="A285" t="s">
        <v>307</v>
      </c>
      <c r="B285" t="s">
        <v>17</v>
      </c>
      <c r="C285" s="73">
        <v>45738</v>
      </c>
      <c r="D285" t="s">
        <v>24</v>
      </c>
      <c r="E285" t="s">
        <v>350</v>
      </c>
      <c r="F285" s="18">
        <v>3917</v>
      </c>
      <c r="G285" s="18">
        <v>865</v>
      </c>
      <c r="H285" s="18">
        <v>759</v>
      </c>
      <c r="I285" s="18">
        <v>2282</v>
      </c>
      <c r="J285" s="18">
        <v>56125</v>
      </c>
      <c r="K285" s="18">
        <v>154014</v>
      </c>
      <c r="L285" s="33">
        <v>3.5977248821535704E-2</v>
      </c>
      <c r="M285" t="s">
        <v>15</v>
      </c>
    </row>
    <row r="286" spans="1:13" x14ac:dyDescent="0.3">
      <c r="A286" t="s">
        <v>306</v>
      </c>
      <c r="B286" t="s">
        <v>34</v>
      </c>
      <c r="C286" s="73">
        <v>45918</v>
      </c>
      <c r="D286" t="s">
        <v>24</v>
      </c>
      <c r="E286" t="s">
        <v>347</v>
      </c>
      <c r="F286" s="18">
        <v>3828</v>
      </c>
      <c r="G286" s="18">
        <v>203</v>
      </c>
      <c r="H286" s="18">
        <v>506</v>
      </c>
      <c r="I286" s="18">
        <v>2440</v>
      </c>
      <c r="J286" s="18">
        <v>63650</v>
      </c>
      <c r="K286" s="18">
        <v>126365</v>
      </c>
      <c r="L286" s="33">
        <v>3.5903929094290347E-2</v>
      </c>
      <c r="M286" t="s">
        <v>18</v>
      </c>
    </row>
    <row r="287" spans="1:13" x14ac:dyDescent="0.3">
      <c r="A287" t="s">
        <v>204</v>
      </c>
      <c r="B287" t="s">
        <v>13</v>
      </c>
      <c r="C287" s="73">
        <v>45940</v>
      </c>
      <c r="D287" t="s">
        <v>30</v>
      </c>
      <c r="E287" t="s">
        <v>345</v>
      </c>
      <c r="F287" s="18">
        <v>6621</v>
      </c>
      <c r="G287" s="18">
        <v>922</v>
      </c>
      <c r="H287" s="18">
        <v>930</v>
      </c>
      <c r="I287" s="18">
        <v>694</v>
      </c>
      <c r="J287" s="18">
        <v>839</v>
      </c>
      <c r="K287" s="18">
        <v>243532</v>
      </c>
      <c r="L287" s="33">
        <v>3.479214230573395E-2</v>
      </c>
      <c r="M287" t="s">
        <v>18</v>
      </c>
    </row>
    <row r="288" spans="1:13" x14ac:dyDescent="0.3">
      <c r="A288" t="s">
        <v>207</v>
      </c>
      <c r="B288" t="s">
        <v>20</v>
      </c>
      <c r="C288" s="73">
        <v>45942</v>
      </c>
      <c r="D288" t="s">
        <v>30</v>
      </c>
      <c r="E288" t="s">
        <v>348</v>
      </c>
      <c r="F288" s="18">
        <v>7126</v>
      </c>
      <c r="G288" s="18">
        <v>484</v>
      </c>
      <c r="H288" s="18">
        <v>565</v>
      </c>
      <c r="I288" s="18">
        <v>573</v>
      </c>
      <c r="J288" s="18">
        <v>7389</v>
      </c>
      <c r="K288" s="18">
        <v>237096</v>
      </c>
      <c r="L288" s="33">
        <v>3.4479704423524646E-2</v>
      </c>
      <c r="M288" t="s">
        <v>18</v>
      </c>
    </row>
    <row r="289" spans="1:13" x14ac:dyDescent="0.3">
      <c r="A289" t="s">
        <v>136</v>
      </c>
      <c r="B289" t="s">
        <v>13</v>
      </c>
      <c r="C289" s="73">
        <v>45502</v>
      </c>
      <c r="D289" t="s">
        <v>24</v>
      </c>
      <c r="E289" t="s">
        <v>348</v>
      </c>
      <c r="F289" s="18">
        <v>6164</v>
      </c>
      <c r="G289" s="18">
        <v>326</v>
      </c>
      <c r="H289" s="18">
        <v>615</v>
      </c>
      <c r="I289" s="18">
        <v>2806</v>
      </c>
      <c r="J289" s="18">
        <v>38579</v>
      </c>
      <c r="K289" s="18">
        <v>206129</v>
      </c>
      <c r="L289" s="33">
        <v>3.4468706489625425E-2</v>
      </c>
      <c r="M289" t="s">
        <v>38</v>
      </c>
    </row>
    <row r="290" spans="1:13" x14ac:dyDescent="0.3">
      <c r="A290" t="s">
        <v>318</v>
      </c>
      <c r="B290" t="s">
        <v>13</v>
      </c>
      <c r="C290" s="73">
        <v>45613</v>
      </c>
      <c r="D290" t="s">
        <v>30</v>
      </c>
      <c r="E290" t="s">
        <v>347</v>
      </c>
      <c r="F290" s="18">
        <v>4219</v>
      </c>
      <c r="G290" s="18">
        <v>240</v>
      </c>
      <c r="H290" s="18">
        <v>670</v>
      </c>
      <c r="I290" s="18">
        <v>815</v>
      </c>
      <c r="J290" s="18">
        <v>11978</v>
      </c>
      <c r="K290" s="18">
        <v>159735</v>
      </c>
      <c r="L290" s="33">
        <v>3.2109431245500357E-2</v>
      </c>
      <c r="M290" t="s">
        <v>25</v>
      </c>
    </row>
    <row r="291" spans="1:13" x14ac:dyDescent="0.3">
      <c r="A291" t="s">
        <v>299</v>
      </c>
      <c r="B291" t="s">
        <v>17</v>
      </c>
      <c r="C291" s="73">
        <v>45577</v>
      </c>
      <c r="D291" t="s">
        <v>14</v>
      </c>
      <c r="E291" t="s">
        <v>352</v>
      </c>
      <c r="F291" s="18">
        <v>6208</v>
      </c>
      <c r="G291" s="18">
        <v>725</v>
      </c>
      <c r="H291" s="18">
        <v>309</v>
      </c>
      <c r="I291" s="18">
        <v>848</v>
      </c>
      <c r="J291" s="18">
        <v>39319</v>
      </c>
      <c r="K291" s="18">
        <v>225763</v>
      </c>
      <c r="L291" s="33">
        <v>3.207788698768177E-2</v>
      </c>
      <c r="M291" t="s">
        <v>15</v>
      </c>
    </row>
    <row r="292" spans="1:13" x14ac:dyDescent="0.3">
      <c r="A292" t="s">
        <v>273</v>
      </c>
      <c r="B292" t="s">
        <v>20</v>
      </c>
      <c r="C292" s="73">
        <v>45531</v>
      </c>
      <c r="D292" t="s">
        <v>14</v>
      </c>
      <c r="E292" t="s">
        <v>55</v>
      </c>
      <c r="F292" s="18">
        <v>6324</v>
      </c>
      <c r="G292" s="18">
        <v>908</v>
      </c>
      <c r="H292" s="18">
        <v>375</v>
      </c>
      <c r="I292" s="18">
        <v>758</v>
      </c>
      <c r="J292" s="18">
        <v>34850</v>
      </c>
      <c r="K292" s="18">
        <v>241039</v>
      </c>
      <c r="L292" s="33">
        <v>3.1559208260903839E-2</v>
      </c>
      <c r="M292" t="s">
        <v>15</v>
      </c>
    </row>
    <row r="293" spans="1:13" x14ac:dyDescent="0.3">
      <c r="A293" t="s">
        <v>199</v>
      </c>
      <c r="B293" t="s">
        <v>13</v>
      </c>
      <c r="C293" s="73">
        <v>45631</v>
      </c>
      <c r="D293" t="s">
        <v>21</v>
      </c>
      <c r="E293" t="s">
        <v>350</v>
      </c>
      <c r="F293" s="18">
        <v>4125</v>
      </c>
      <c r="G293" s="18">
        <v>1364</v>
      </c>
      <c r="H293" s="18">
        <v>319</v>
      </c>
      <c r="I293" s="18">
        <v>2848</v>
      </c>
      <c r="J293" s="18">
        <v>15379</v>
      </c>
      <c r="K293" s="18">
        <v>188159</v>
      </c>
      <c r="L293" s="33">
        <v>3.0867510988047343E-2</v>
      </c>
      <c r="M293" t="s">
        <v>38</v>
      </c>
    </row>
    <row r="294" spans="1:13" x14ac:dyDescent="0.3">
      <c r="A294" t="s">
        <v>219</v>
      </c>
      <c r="B294" t="s">
        <v>20</v>
      </c>
      <c r="C294" s="73">
        <v>45546</v>
      </c>
      <c r="D294" t="s">
        <v>14</v>
      </c>
      <c r="E294" t="s">
        <v>348</v>
      </c>
      <c r="F294" s="18">
        <v>3906</v>
      </c>
      <c r="G294" s="18">
        <v>1187</v>
      </c>
      <c r="H294" s="18">
        <v>589</v>
      </c>
      <c r="I294" s="18">
        <v>401</v>
      </c>
      <c r="J294" s="18">
        <v>52687</v>
      </c>
      <c r="K294" s="18">
        <v>196498</v>
      </c>
      <c r="L294" s="33">
        <v>2.8916324848090057E-2</v>
      </c>
      <c r="M294" t="s">
        <v>15</v>
      </c>
    </row>
    <row r="295" spans="1:13" x14ac:dyDescent="0.3">
      <c r="A295" t="s">
        <v>271</v>
      </c>
      <c r="B295" t="s">
        <v>13</v>
      </c>
      <c r="C295" s="73">
        <v>45669</v>
      </c>
      <c r="D295" t="s">
        <v>14</v>
      </c>
      <c r="E295" t="s">
        <v>346</v>
      </c>
      <c r="F295" s="18">
        <v>4590</v>
      </c>
      <c r="G295" s="18">
        <v>713</v>
      </c>
      <c r="H295" s="18">
        <v>479</v>
      </c>
      <c r="I295" s="18">
        <v>2730</v>
      </c>
      <c r="J295" s="18">
        <v>41050</v>
      </c>
      <c r="K295" s="18">
        <v>204246</v>
      </c>
      <c r="L295" s="33">
        <v>2.8308999931455206E-2</v>
      </c>
      <c r="M295" t="s">
        <v>22</v>
      </c>
    </row>
    <row r="296" spans="1:13" x14ac:dyDescent="0.3">
      <c r="A296" t="s">
        <v>262</v>
      </c>
      <c r="B296" t="s">
        <v>17</v>
      </c>
      <c r="C296" s="73">
        <v>45523</v>
      </c>
      <c r="D296" t="s">
        <v>24</v>
      </c>
      <c r="E296" t="s">
        <v>351</v>
      </c>
      <c r="F296" s="18">
        <v>3605</v>
      </c>
      <c r="G296" s="18">
        <v>206</v>
      </c>
      <c r="H296" s="18">
        <v>921</v>
      </c>
      <c r="I296" s="18">
        <v>852</v>
      </c>
      <c r="J296" s="18">
        <v>11660</v>
      </c>
      <c r="K296" s="18">
        <v>182635</v>
      </c>
      <c r="L296" s="33">
        <v>2.590960111698196E-2</v>
      </c>
      <c r="M296" t="s">
        <v>25</v>
      </c>
    </row>
    <row r="297" spans="1:13" x14ac:dyDescent="0.3">
      <c r="A297" t="s">
        <v>67</v>
      </c>
      <c r="B297" t="s">
        <v>13</v>
      </c>
      <c r="C297" s="73">
        <v>45915</v>
      </c>
      <c r="D297" t="s">
        <v>21</v>
      </c>
      <c r="E297" t="s">
        <v>344</v>
      </c>
      <c r="F297" s="18">
        <v>5636</v>
      </c>
      <c r="G297" s="18">
        <v>303</v>
      </c>
      <c r="H297" s="18">
        <v>204</v>
      </c>
      <c r="I297" s="18">
        <v>2480</v>
      </c>
      <c r="J297" s="18">
        <v>7377</v>
      </c>
      <c r="K297" s="18">
        <v>241207</v>
      </c>
      <c r="L297" s="33">
        <v>2.5467751765081443E-2</v>
      </c>
      <c r="M297" t="s">
        <v>18</v>
      </c>
    </row>
    <row r="298" spans="1:13" x14ac:dyDescent="0.3">
      <c r="A298" t="s">
        <v>104</v>
      </c>
      <c r="B298" t="s">
        <v>17</v>
      </c>
      <c r="C298" s="73">
        <v>45460</v>
      </c>
      <c r="D298" t="s">
        <v>14</v>
      </c>
      <c r="E298" t="s">
        <v>347</v>
      </c>
      <c r="F298" s="18">
        <v>3252</v>
      </c>
      <c r="G298" s="18">
        <v>1043</v>
      </c>
      <c r="H298" s="18">
        <v>647</v>
      </c>
      <c r="I298" s="18">
        <v>1545</v>
      </c>
      <c r="J298" s="18">
        <v>18859</v>
      </c>
      <c r="K298" s="18">
        <v>222958</v>
      </c>
      <c r="L298" s="33">
        <v>2.2165609666394567E-2</v>
      </c>
      <c r="M298" t="s">
        <v>15</v>
      </c>
    </row>
    <row r="299" spans="1:13" x14ac:dyDescent="0.3">
      <c r="A299" t="s">
        <v>214</v>
      </c>
      <c r="B299" t="s">
        <v>13</v>
      </c>
      <c r="C299" s="73">
        <v>45449</v>
      </c>
      <c r="D299" t="s">
        <v>30</v>
      </c>
      <c r="E299" t="s">
        <v>352</v>
      </c>
      <c r="F299" s="18">
        <v>3531</v>
      </c>
      <c r="G299" s="18">
        <v>789</v>
      </c>
      <c r="H299" s="18">
        <v>467</v>
      </c>
      <c r="I299" s="18">
        <v>1867</v>
      </c>
      <c r="J299" s="18">
        <v>40816</v>
      </c>
      <c r="K299" s="18">
        <v>236037</v>
      </c>
      <c r="L299" s="33">
        <v>2.0280718700881641E-2</v>
      </c>
      <c r="M299" t="s">
        <v>22</v>
      </c>
    </row>
    <row r="300" spans="1:13" x14ac:dyDescent="0.3">
      <c r="A300" t="s">
        <v>23</v>
      </c>
      <c r="B300" t="s">
        <v>13</v>
      </c>
      <c r="C300" s="73">
        <v>45516</v>
      </c>
      <c r="D300" t="s">
        <v>24</v>
      </c>
      <c r="E300" t="s">
        <v>346</v>
      </c>
      <c r="F300" s="18">
        <v>3581</v>
      </c>
      <c r="G300" s="18">
        <v>517</v>
      </c>
      <c r="H300" s="18">
        <v>880</v>
      </c>
      <c r="I300" s="18">
        <v>1925</v>
      </c>
      <c r="J300" s="18">
        <v>18636</v>
      </c>
      <c r="K300" s="18">
        <v>248611</v>
      </c>
      <c r="L300" s="33">
        <v>2.0023249172401864E-2</v>
      </c>
      <c r="M300" t="s">
        <v>25</v>
      </c>
    </row>
    <row r="301" spans="1:13" x14ac:dyDescent="0.3">
      <c r="A301" t="s">
        <v>193</v>
      </c>
      <c r="B301" t="s">
        <v>17</v>
      </c>
      <c r="C301" s="73">
        <v>45624</v>
      </c>
      <c r="D301" t="s">
        <v>30</v>
      </c>
      <c r="E301" t="s">
        <v>350</v>
      </c>
      <c r="F301" s="18">
        <v>2302</v>
      </c>
      <c r="G301" s="18">
        <v>347</v>
      </c>
      <c r="H301" s="18">
        <v>642</v>
      </c>
      <c r="I301" s="18">
        <v>2175</v>
      </c>
      <c r="J301" s="18">
        <v>56378</v>
      </c>
      <c r="K301" s="18">
        <v>198056</v>
      </c>
      <c r="L301" s="33">
        <v>1.6616512501514722E-2</v>
      </c>
      <c r="M301" t="s">
        <v>38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F011-FDE9-41AF-811F-51E973517641}">
  <dimension ref="A1:H10"/>
  <sheetViews>
    <sheetView workbookViewId="0">
      <selection activeCell="A10" sqref="A10:H10"/>
    </sheetView>
  </sheetViews>
  <sheetFormatPr defaultRowHeight="14.4" x14ac:dyDescent="0.3"/>
  <cols>
    <col min="1" max="1" width="12.5546875" bestFit="1" customWidth="1"/>
    <col min="2" max="2" width="26.33203125" bestFit="1" customWidth="1"/>
    <col min="3" max="3" width="19.44140625" bestFit="1" customWidth="1"/>
  </cols>
  <sheetData>
    <row r="1" spans="1:8" ht="18" x14ac:dyDescent="0.35">
      <c r="A1" s="151" t="s">
        <v>381</v>
      </c>
      <c r="B1" s="132"/>
      <c r="C1" s="132"/>
    </row>
    <row r="3" spans="1:8" x14ac:dyDescent="0.3">
      <c r="A3" s="37" t="s">
        <v>362</v>
      </c>
      <c r="B3" t="s">
        <v>446</v>
      </c>
      <c r="C3" t="s">
        <v>447</v>
      </c>
    </row>
    <row r="4" spans="1:8" x14ac:dyDescent="0.3">
      <c r="A4" s="38" t="s">
        <v>20</v>
      </c>
      <c r="B4" s="39">
        <v>0.15559291798886185</v>
      </c>
      <c r="C4" s="51">
        <v>34821.23529411765</v>
      </c>
    </row>
    <row r="5" spans="1:8" x14ac:dyDescent="0.3">
      <c r="A5" s="38" t="s">
        <v>17</v>
      </c>
      <c r="B5" s="39">
        <v>0.14067998324800024</v>
      </c>
      <c r="C5" s="51">
        <v>36191.327272727271</v>
      </c>
    </row>
    <row r="6" spans="1:8" x14ac:dyDescent="0.3">
      <c r="A6" s="38" t="s">
        <v>34</v>
      </c>
      <c r="B6" s="39">
        <v>0.17480513118999921</v>
      </c>
      <c r="C6" s="51">
        <v>35360.056603773584</v>
      </c>
    </row>
    <row r="7" spans="1:8" x14ac:dyDescent="0.3">
      <c r="A7" s="38" t="s">
        <v>13</v>
      </c>
      <c r="B7" s="39">
        <v>0.17599262914182148</v>
      </c>
      <c r="C7" s="51">
        <v>31374.90243902439</v>
      </c>
    </row>
    <row r="8" spans="1:8" x14ac:dyDescent="0.3">
      <c r="A8" s="38" t="s">
        <v>364</v>
      </c>
      <c r="B8" s="39">
        <v>0.16076503821978311</v>
      </c>
      <c r="C8">
        <v>34634.300000000003</v>
      </c>
    </row>
    <row r="10" spans="1:8" ht="15.6" x14ac:dyDescent="0.3">
      <c r="A10" s="136" t="s">
        <v>448</v>
      </c>
      <c r="B10" s="136"/>
      <c r="C10" s="136"/>
      <c r="D10" s="136"/>
      <c r="E10" s="136"/>
      <c r="F10" s="136"/>
      <c r="G10" s="136"/>
      <c r="H10" s="13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06EE-16FC-46F7-B5D6-3AE03FC2DB57}">
  <dimension ref="A3:D15"/>
  <sheetViews>
    <sheetView workbookViewId="0">
      <selection activeCell="A2" sqref="A2"/>
    </sheetView>
  </sheetViews>
  <sheetFormatPr defaultRowHeight="14.4" x14ac:dyDescent="0.3"/>
  <cols>
    <col min="1" max="1" width="26" bestFit="1" customWidth="1"/>
    <col min="2" max="2" width="30.21875" bestFit="1" customWidth="1"/>
  </cols>
  <sheetData>
    <row r="3" spans="1:4" x14ac:dyDescent="0.3">
      <c r="A3" s="37" t="s">
        <v>362</v>
      </c>
      <c r="B3" t="s">
        <v>382</v>
      </c>
    </row>
    <row r="4" spans="1:4" x14ac:dyDescent="0.3">
      <c r="A4" s="38" t="s">
        <v>15</v>
      </c>
      <c r="B4" s="39">
        <v>8.1853409229682376E-3</v>
      </c>
    </row>
    <row r="5" spans="1:4" x14ac:dyDescent="0.3">
      <c r="A5" s="38" t="s">
        <v>25</v>
      </c>
      <c r="B5" s="139">
        <v>2.6400202996414567E-2</v>
      </c>
    </row>
    <row r="6" spans="1:4" x14ac:dyDescent="0.3">
      <c r="A6" s="38" t="s">
        <v>38</v>
      </c>
      <c r="B6" s="39">
        <v>1.1432169028971668E-2</v>
      </c>
    </row>
    <row r="7" spans="1:4" x14ac:dyDescent="0.3">
      <c r="A7" s="38" t="s">
        <v>22</v>
      </c>
      <c r="B7" s="39">
        <v>5.2818011128642761E-3</v>
      </c>
    </row>
    <row r="8" spans="1:4" x14ac:dyDescent="0.3">
      <c r="A8" s="38" t="s">
        <v>364</v>
      </c>
      <c r="B8" s="39">
        <v>1.3781836156763587E-2</v>
      </c>
    </row>
    <row r="14" spans="1:4" ht="15.6" x14ac:dyDescent="0.3">
      <c r="A14" s="136" t="s">
        <v>478</v>
      </c>
      <c r="B14" s="136"/>
      <c r="C14" s="136"/>
      <c r="D14" s="137"/>
    </row>
    <row r="15" spans="1:4" ht="15.6" x14ac:dyDescent="0.3">
      <c r="A15" s="136" t="s">
        <v>477</v>
      </c>
      <c r="B15" s="136"/>
      <c r="C15" s="136"/>
      <c r="D15" s="137"/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C6B4-8307-4F7F-9617-51069FF0D0AB}">
  <dimension ref="A1:K999"/>
  <sheetViews>
    <sheetView topLeftCell="B1" workbookViewId="0">
      <selection activeCell="J12" sqref="J12"/>
    </sheetView>
  </sheetViews>
  <sheetFormatPr defaultRowHeight="14.4" x14ac:dyDescent="0.3"/>
  <cols>
    <col min="1" max="1" width="18" style="73" bestFit="1" customWidth="1"/>
    <col min="2" max="2" width="10.5546875" bestFit="1" customWidth="1"/>
    <col min="3" max="3" width="16" style="18" bestFit="1" customWidth="1"/>
    <col min="4" max="4" width="11.6640625" style="18" bestFit="1" customWidth="1"/>
    <col min="5" max="5" width="16.44140625" style="18" bestFit="1" customWidth="1"/>
    <col min="6" max="6" width="18.6640625" style="123" hidden="1" customWidth="1"/>
    <col min="7" max="7" width="18.6640625" style="124" customWidth="1"/>
    <col min="8" max="8" width="24.44140625" style="167" bestFit="1" customWidth="1"/>
    <col min="9" max="9" width="22.5546875" style="124" bestFit="1" customWidth="1"/>
    <col min="10" max="10" width="26" style="124" bestFit="1" customWidth="1"/>
    <col min="11" max="11" width="11.88671875" style="18" bestFit="1" customWidth="1"/>
  </cols>
  <sheetData>
    <row r="1" spans="1:11" x14ac:dyDescent="0.3">
      <c r="A1" s="125" t="s">
        <v>327</v>
      </c>
      <c r="B1" s="103" t="s">
        <v>1</v>
      </c>
      <c r="C1" s="159" t="s">
        <v>328</v>
      </c>
      <c r="D1" s="159" t="s">
        <v>329</v>
      </c>
      <c r="E1" s="159" t="s">
        <v>330</v>
      </c>
      <c r="F1" s="104" t="s">
        <v>405</v>
      </c>
      <c r="G1" s="105" t="s">
        <v>331</v>
      </c>
      <c r="H1" s="163" t="s">
        <v>403</v>
      </c>
      <c r="I1" s="105" t="s">
        <v>377</v>
      </c>
      <c r="J1" s="105" t="s">
        <v>11</v>
      </c>
      <c r="K1" s="155" t="s">
        <v>332</v>
      </c>
    </row>
    <row r="2" spans="1:11" x14ac:dyDescent="0.3">
      <c r="A2" s="126">
        <v>45446</v>
      </c>
      <c r="B2" s="106" t="s">
        <v>20</v>
      </c>
      <c r="C2" s="160">
        <v>4138</v>
      </c>
      <c r="D2" s="160">
        <v>361</v>
      </c>
      <c r="E2" s="160">
        <v>103777</v>
      </c>
      <c r="F2" s="107">
        <v>56.637790647253247</v>
      </c>
      <c r="G2" s="108">
        <f t="shared" ref="G2:G33" si="0">F2/100</f>
        <v>0.5663779064725325</v>
      </c>
      <c r="H2" s="164">
        <v>3777</v>
      </c>
      <c r="I2" s="108">
        <v>3.6395347716738774E-2</v>
      </c>
      <c r="J2" s="108" t="str" cm="1">
        <f t="array" ref="J2">IFERROR(INDEX(Cleaned_Campaign_Metadata!A$2:A$6,MATCH(1,(A2 &gt;= Cleaned_Campaign_Metadata!B$2:B$6) *(A2 &lt;= Cleaned_Campaign_Metadata!C$2:C$6),0)),"")</f>
        <v/>
      </c>
      <c r="K2" s="156">
        <v>23944</v>
      </c>
    </row>
    <row r="3" spans="1:11" x14ac:dyDescent="0.3">
      <c r="A3" s="126">
        <v>45446</v>
      </c>
      <c r="B3" s="106" t="s">
        <v>34</v>
      </c>
      <c r="C3" s="160">
        <v>8693</v>
      </c>
      <c r="D3" s="160">
        <v>1261</v>
      </c>
      <c r="E3" s="160">
        <v>111209</v>
      </c>
      <c r="F3" s="107">
        <v>69.475492091467416</v>
      </c>
      <c r="G3" s="108">
        <f t="shared" si="0"/>
        <v>0.69475492091467417</v>
      </c>
      <c r="H3" s="164">
        <v>7432</v>
      </c>
      <c r="I3" s="108">
        <v>6.6829123542159363E-2</v>
      </c>
      <c r="J3" s="108" t="str" cm="1">
        <f t="array" ref="J3">IFERROR(INDEX(Cleaned_Campaign_Metadata!A$2:A$6,MATCH(1,(A3 &gt;= Cleaned_Campaign_Metadata!B$2:B$6) *(A3 &lt;= Cleaned_Campaign_Metadata!C$2:C$6),0)),"")</f>
        <v/>
      </c>
      <c r="K3" s="156">
        <v>29873</v>
      </c>
    </row>
    <row r="4" spans="1:11" x14ac:dyDescent="0.3">
      <c r="A4" s="127">
        <v>45446</v>
      </c>
      <c r="B4" s="109" t="s">
        <v>13</v>
      </c>
      <c r="C4" s="161">
        <v>9264</v>
      </c>
      <c r="D4" s="161">
        <v>1141</v>
      </c>
      <c r="E4" s="161">
        <v>119332</v>
      </c>
      <c r="F4" s="110">
        <v>92.312204605638044</v>
      </c>
      <c r="G4" s="111">
        <f t="shared" si="0"/>
        <v>0.92312204605638049</v>
      </c>
      <c r="H4" s="165">
        <v>8123</v>
      </c>
      <c r="I4" s="111">
        <v>6.8070592967519189E-2</v>
      </c>
      <c r="J4" s="108" t="str" cm="1">
        <f t="array" ref="J4">IFERROR(INDEX(Cleaned_Campaign_Metadata!A$2:A$6,MATCH(1,(A4 &gt;= Cleaned_Campaign_Metadata!B$2:B$6) *(A4 &lt;= Cleaned_Campaign_Metadata!C$2:C$6),0)),"")</f>
        <v/>
      </c>
      <c r="K4" s="157">
        <v>50372</v>
      </c>
    </row>
    <row r="5" spans="1:11" x14ac:dyDescent="0.3">
      <c r="A5" s="126">
        <v>45446</v>
      </c>
      <c r="B5" s="106" t="s">
        <v>13</v>
      </c>
      <c r="C5" s="160">
        <v>8842</v>
      </c>
      <c r="D5" s="160">
        <v>971</v>
      </c>
      <c r="E5" s="160">
        <v>127203</v>
      </c>
      <c r="F5" s="107">
        <v>16.351815601833291</v>
      </c>
      <c r="G5" s="108">
        <f t="shared" si="0"/>
        <v>0.16351815601833292</v>
      </c>
      <c r="H5" s="164">
        <v>7871</v>
      </c>
      <c r="I5" s="108">
        <v>6.1877471443283573E-2</v>
      </c>
      <c r="J5" s="108" t="str" cm="1">
        <f t="array" ref="J5">IFERROR(INDEX(Cleaned_Campaign_Metadata!A$2:A$6,MATCH(1,(A5 &gt;= Cleaned_Campaign_Metadata!B$2:B$6) *(A5 &lt;= Cleaned_Campaign_Metadata!C$2:C$6),0)),"")</f>
        <v/>
      </c>
      <c r="K5" s="156">
        <v>33928</v>
      </c>
    </row>
    <row r="6" spans="1:11" x14ac:dyDescent="0.3">
      <c r="A6" s="127">
        <v>45453</v>
      </c>
      <c r="B6" s="109" t="s">
        <v>20</v>
      </c>
      <c r="C6" s="161">
        <v>7721</v>
      </c>
      <c r="D6" s="161">
        <v>506</v>
      </c>
      <c r="E6" s="161">
        <v>134418</v>
      </c>
      <c r="F6" s="110">
        <v>35.577824398518047</v>
      </c>
      <c r="G6" s="111">
        <f t="shared" si="0"/>
        <v>0.35577824398518049</v>
      </c>
      <c r="H6" s="165">
        <v>7215</v>
      </c>
      <c r="I6" s="111">
        <v>5.3675846984778827E-2</v>
      </c>
      <c r="J6" s="108" t="str" cm="1">
        <f t="array" ref="J6">IFERROR(INDEX(Cleaned_Campaign_Metadata!A$2:A$6,MATCH(1,(A6 &gt;= Cleaned_Campaign_Metadata!B$2:B$6) *(A6 &lt;= Cleaned_Campaign_Metadata!C$2:C$6),0)),"")</f>
        <v/>
      </c>
      <c r="K6" s="157">
        <v>25379</v>
      </c>
    </row>
    <row r="7" spans="1:11" x14ac:dyDescent="0.3">
      <c r="A7" s="127">
        <v>45453</v>
      </c>
      <c r="B7" s="109" t="s">
        <v>34</v>
      </c>
      <c r="C7" s="161">
        <v>5225</v>
      </c>
      <c r="D7" s="161">
        <v>291</v>
      </c>
      <c r="E7" s="161">
        <v>146830</v>
      </c>
      <c r="F7" s="110">
        <v>19.551862698358651</v>
      </c>
      <c r="G7" s="111">
        <f t="shared" si="0"/>
        <v>0.19551862698358652</v>
      </c>
      <c r="H7" s="165">
        <v>4934</v>
      </c>
      <c r="I7" s="111">
        <v>3.3603487025812166E-2</v>
      </c>
      <c r="J7" s="108" t="str" cm="1">
        <f t="array" ref="J7">IFERROR(INDEX(Cleaned_Campaign_Metadata!A$2:A$6,MATCH(1,(A7 &gt;= Cleaned_Campaign_Metadata!B$2:B$6) *(A7 &lt;= Cleaned_Campaign_Metadata!C$2:C$6),0)),"")</f>
        <v/>
      </c>
      <c r="K7" s="157">
        <v>44546</v>
      </c>
    </row>
    <row r="8" spans="1:11" x14ac:dyDescent="0.3">
      <c r="A8" s="126">
        <v>45453</v>
      </c>
      <c r="B8" s="106" t="s">
        <v>34</v>
      </c>
      <c r="C8" s="160">
        <v>3978</v>
      </c>
      <c r="D8" s="160">
        <v>543</v>
      </c>
      <c r="E8" s="160">
        <v>150265</v>
      </c>
      <c r="F8" s="107">
        <v>49.159817655475329</v>
      </c>
      <c r="G8" s="108">
        <f t="shared" si="0"/>
        <v>0.4915981765547533</v>
      </c>
      <c r="H8" s="164">
        <v>3435</v>
      </c>
      <c r="I8" s="108">
        <v>2.2859614680730708E-2</v>
      </c>
      <c r="J8" s="108" t="str" cm="1">
        <f t="array" ref="J8">IFERROR(INDEX(Cleaned_Campaign_Metadata!A$2:A$6,MATCH(1,(A8 &gt;= Cleaned_Campaign_Metadata!B$2:B$6) *(A8 &lt;= Cleaned_Campaign_Metadata!C$2:C$6),0)),"")</f>
        <v/>
      </c>
      <c r="K8" s="156">
        <v>34286</v>
      </c>
    </row>
    <row r="9" spans="1:11" x14ac:dyDescent="0.3">
      <c r="A9" s="127">
        <v>45453</v>
      </c>
      <c r="B9" s="109" t="s">
        <v>13</v>
      </c>
      <c r="C9" s="161">
        <v>8002</v>
      </c>
      <c r="D9" s="161">
        <v>524</v>
      </c>
      <c r="E9" s="161">
        <v>141896</v>
      </c>
      <c r="F9" s="110">
        <v>52.064892597395271</v>
      </c>
      <c r="G9" s="111">
        <f t="shared" si="0"/>
        <v>0.52064892597395274</v>
      </c>
      <c r="H9" s="165">
        <v>7478</v>
      </c>
      <c r="I9" s="111">
        <v>5.270056943113266E-2</v>
      </c>
      <c r="J9" s="108" t="str" cm="1">
        <f t="array" ref="J9">IFERROR(INDEX(Cleaned_Campaign_Metadata!A$2:A$6,MATCH(1,(A9 &gt;= Cleaned_Campaign_Metadata!B$2:B$6) *(A9 &lt;= Cleaned_Campaign_Metadata!C$2:C$6),0)),"")</f>
        <v/>
      </c>
      <c r="K9" s="157">
        <v>46751</v>
      </c>
    </row>
    <row r="10" spans="1:11" x14ac:dyDescent="0.3">
      <c r="A10" s="126">
        <v>45460</v>
      </c>
      <c r="B10" s="106" t="s">
        <v>20</v>
      </c>
      <c r="C10" s="160">
        <v>8373</v>
      </c>
      <c r="D10" s="160">
        <v>921</v>
      </c>
      <c r="E10" s="160">
        <v>157717</v>
      </c>
      <c r="F10" s="107">
        <v>12.2263294381709</v>
      </c>
      <c r="G10" s="108">
        <f t="shared" si="0"/>
        <v>0.12226329438170901</v>
      </c>
      <c r="H10" s="164">
        <v>7452</v>
      </c>
      <c r="I10" s="108">
        <v>4.7249186834646864E-2</v>
      </c>
      <c r="J10" s="108" t="str" cm="1">
        <f t="array" ref="J10">IFERROR(INDEX(Cleaned_Campaign_Metadata!A$2:A$6,MATCH(1,(A10 &gt;= Cleaned_Campaign_Metadata!B$2:B$6) *(A10 &lt;= Cleaned_Campaign_Metadata!C$2:C$6),0)),"")</f>
        <v>iPhone 16 Launch</v>
      </c>
      <c r="K10" s="156">
        <v>15110</v>
      </c>
    </row>
    <row r="11" spans="1:11" x14ac:dyDescent="0.3">
      <c r="A11" s="127">
        <v>45460</v>
      </c>
      <c r="B11" s="109" t="s">
        <v>20</v>
      </c>
      <c r="C11" s="161">
        <v>6656</v>
      </c>
      <c r="D11" s="161">
        <v>978</v>
      </c>
      <c r="E11" s="161">
        <v>176196</v>
      </c>
      <c r="F11" s="110">
        <v>60.425889350496043</v>
      </c>
      <c r="G11" s="111">
        <f t="shared" si="0"/>
        <v>0.60425889350496043</v>
      </c>
      <c r="H11" s="165">
        <v>5678</v>
      </c>
      <c r="I11" s="111">
        <v>3.2225476174260484E-2</v>
      </c>
      <c r="J11" s="108" t="str" cm="1">
        <f t="array" ref="J11">IFERROR(INDEX(Cleaned_Campaign_Metadata!A$2:A$6,MATCH(1,(A11 &gt;= Cleaned_Campaign_Metadata!B$2:B$6) *(A11 &lt;= Cleaned_Campaign_Metadata!C$2:C$6),0)),"")</f>
        <v>iPhone 16 Launch</v>
      </c>
      <c r="K11" s="157">
        <v>27081</v>
      </c>
    </row>
    <row r="12" spans="1:11" x14ac:dyDescent="0.3">
      <c r="A12" s="127">
        <v>45460</v>
      </c>
      <c r="B12" s="109" t="s">
        <v>17</v>
      </c>
      <c r="C12" s="161">
        <v>7097</v>
      </c>
      <c r="D12" s="161">
        <v>369</v>
      </c>
      <c r="E12" s="161">
        <v>170518</v>
      </c>
      <c r="F12" s="110">
        <v>9.2506362964613711</v>
      </c>
      <c r="G12" s="111">
        <f t="shared" si="0"/>
        <v>9.2506362964613717E-2</v>
      </c>
      <c r="H12" s="165">
        <v>6728</v>
      </c>
      <c r="I12" s="111">
        <v>3.9456245088495059E-2</v>
      </c>
      <c r="J12" s="108" t="str" cm="1">
        <f t="array" ref="J12">IFERROR(INDEX(Cleaned_Campaign_Metadata!A$2:A$6,MATCH(1,(A12 &gt;= Cleaned_Campaign_Metadata!B$2:B$6) *(A12 &lt;= Cleaned_Campaign_Metadata!C$2:C$6),0)),"")</f>
        <v>iPhone 16 Launch</v>
      </c>
      <c r="K12" s="157">
        <v>33762</v>
      </c>
    </row>
    <row r="13" spans="1:11" x14ac:dyDescent="0.3">
      <c r="A13" s="127">
        <v>45460</v>
      </c>
      <c r="B13" s="109" t="s">
        <v>34</v>
      </c>
      <c r="C13" s="161">
        <v>6907</v>
      </c>
      <c r="D13" s="161">
        <v>834</v>
      </c>
      <c r="E13" s="161">
        <v>163790</v>
      </c>
      <c r="F13" s="110">
        <v>54.158984064961238</v>
      </c>
      <c r="G13" s="111">
        <f t="shared" si="0"/>
        <v>0.54158984064961235</v>
      </c>
      <c r="H13" s="165">
        <v>6073</v>
      </c>
      <c r="I13" s="111">
        <v>3.7077965687770928E-2</v>
      </c>
      <c r="J13" s="108" t="str" cm="1">
        <f t="array" ref="J13">IFERROR(INDEX(Cleaned_Campaign_Metadata!A$2:A$6,MATCH(1,(A13 &gt;= Cleaned_Campaign_Metadata!B$2:B$6) *(A13 &lt;= Cleaned_Campaign_Metadata!C$2:C$6),0)),"")</f>
        <v>iPhone 16 Launch</v>
      </c>
      <c r="K13" s="157">
        <v>22087</v>
      </c>
    </row>
    <row r="14" spans="1:11" x14ac:dyDescent="0.3">
      <c r="A14" s="126">
        <v>45467</v>
      </c>
      <c r="B14" s="106" t="s">
        <v>20</v>
      </c>
      <c r="C14" s="160">
        <v>5259</v>
      </c>
      <c r="D14" s="160">
        <v>374</v>
      </c>
      <c r="E14" s="160">
        <v>189735</v>
      </c>
      <c r="F14" s="107">
        <v>14.827522597306769</v>
      </c>
      <c r="G14" s="108">
        <f t="shared" si="0"/>
        <v>0.14827522597306769</v>
      </c>
      <c r="H14" s="164">
        <v>4885</v>
      </c>
      <c r="I14" s="108">
        <v>2.5746435818378266E-2</v>
      </c>
      <c r="J14" s="108" t="str" cm="1">
        <f t="array" ref="J14">IFERROR(INDEX(Cleaned_Campaign_Metadata!A$2:A$6,MATCH(1,(A14 &gt;= Cleaned_Campaign_Metadata!B$2:B$6) *(A14 &lt;= Cleaned_Campaign_Metadata!C$2:C$6),0)),"")</f>
        <v>iPhone 16 Launch</v>
      </c>
      <c r="K14" s="156">
        <v>19596</v>
      </c>
    </row>
    <row r="15" spans="1:11" x14ac:dyDescent="0.3">
      <c r="A15" s="126">
        <v>45467</v>
      </c>
      <c r="B15" s="106" t="s">
        <v>34</v>
      </c>
      <c r="C15" s="160">
        <v>9984</v>
      </c>
      <c r="D15" s="160">
        <v>1330</v>
      </c>
      <c r="E15" s="160">
        <v>184850</v>
      </c>
      <c r="F15" s="107">
        <v>57.524479307546663</v>
      </c>
      <c r="G15" s="108">
        <f t="shared" si="0"/>
        <v>0.57524479307546661</v>
      </c>
      <c r="H15" s="164">
        <v>8654</v>
      </c>
      <c r="I15" s="108">
        <v>4.6816337571003515E-2</v>
      </c>
      <c r="J15" s="108" t="str" cm="1">
        <f t="array" ref="J15">IFERROR(INDEX(Cleaned_Campaign_Metadata!A$2:A$6,MATCH(1,(A15 &gt;= Cleaned_Campaign_Metadata!B$2:B$6) *(A15 &lt;= Cleaned_Campaign_Metadata!C$2:C$6),0)),"")</f>
        <v>iPhone 16 Launch</v>
      </c>
      <c r="K15" s="156">
        <v>44947</v>
      </c>
    </row>
    <row r="16" spans="1:11" x14ac:dyDescent="0.3">
      <c r="A16" s="127">
        <v>45467</v>
      </c>
      <c r="B16" s="109" t="s">
        <v>34</v>
      </c>
      <c r="C16" s="161">
        <v>6901</v>
      </c>
      <c r="D16" s="161">
        <v>471</v>
      </c>
      <c r="E16" s="161">
        <v>204818</v>
      </c>
      <c r="F16" s="110">
        <v>60.827661631301943</v>
      </c>
      <c r="G16" s="111">
        <f t="shared" si="0"/>
        <v>0.60827661631301944</v>
      </c>
      <c r="H16" s="165">
        <v>6430</v>
      </c>
      <c r="I16" s="111">
        <v>3.1393725160874533E-2</v>
      </c>
      <c r="J16" s="108" t="str" cm="1">
        <f t="array" ref="J16">IFERROR(INDEX(Cleaned_Campaign_Metadata!A$2:A$6,MATCH(1,(A16 &gt;= Cleaned_Campaign_Metadata!B$2:B$6) *(A16 &lt;= Cleaned_Campaign_Metadata!C$2:C$6),0)),"")</f>
        <v>iPhone 16 Launch</v>
      </c>
      <c r="K16" s="157">
        <v>52003</v>
      </c>
    </row>
    <row r="17" spans="1:11" x14ac:dyDescent="0.3">
      <c r="A17" s="126">
        <v>45467</v>
      </c>
      <c r="B17" s="106" t="s">
        <v>13</v>
      </c>
      <c r="C17" s="160">
        <v>9286</v>
      </c>
      <c r="D17" s="160">
        <v>633</v>
      </c>
      <c r="E17" s="160">
        <v>198388</v>
      </c>
      <c r="F17" s="107">
        <v>5.4343004617214756</v>
      </c>
      <c r="G17" s="108">
        <f t="shared" si="0"/>
        <v>5.4343004617214759E-2</v>
      </c>
      <c r="H17" s="164">
        <v>8653</v>
      </c>
      <c r="I17" s="108">
        <v>4.3616549388067825E-2</v>
      </c>
      <c r="J17" s="108" t="str" cm="1">
        <f t="array" ref="J17">IFERROR(INDEX(Cleaned_Campaign_Metadata!A$2:A$6,MATCH(1,(A17 &gt;= Cleaned_Campaign_Metadata!B$2:B$6) *(A17 &lt;= Cleaned_Campaign_Metadata!C$2:C$6),0)),"")</f>
        <v>iPhone 16 Launch</v>
      </c>
      <c r="K17" s="156">
        <v>48019</v>
      </c>
    </row>
    <row r="18" spans="1:11" x14ac:dyDescent="0.3">
      <c r="A18" s="127">
        <v>45474</v>
      </c>
      <c r="B18" s="109" t="s">
        <v>20</v>
      </c>
      <c r="C18" s="161">
        <v>3530</v>
      </c>
      <c r="D18" s="161">
        <v>328</v>
      </c>
      <c r="E18" s="161">
        <v>221925</v>
      </c>
      <c r="F18" s="110">
        <v>12.8372197814577</v>
      </c>
      <c r="G18" s="111">
        <f t="shared" si="0"/>
        <v>0.12837219781457698</v>
      </c>
      <c r="H18" s="165">
        <v>3202</v>
      </c>
      <c r="I18" s="111">
        <v>1.4428297848372199E-2</v>
      </c>
      <c r="J18" s="108" t="str" cm="1">
        <f t="array" ref="J18">IFERROR(INDEX(Cleaned_Campaign_Metadata!A$2:A$6,MATCH(1,(A18 &gt;= Cleaned_Campaign_Metadata!B$2:B$6) *(A18 &lt;= Cleaned_Campaign_Metadata!C$2:C$6),0)),"")</f>
        <v>iPhone 16 Launch</v>
      </c>
      <c r="K18" s="157">
        <v>11013</v>
      </c>
    </row>
    <row r="19" spans="1:11" x14ac:dyDescent="0.3">
      <c r="A19" s="126">
        <v>45474</v>
      </c>
      <c r="B19" s="106" t="s">
        <v>20</v>
      </c>
      <c r="C19" s="160">
        <v>2960</v>
      </c>
      <c r="D19" s="160">
        <v>234</v>
      </c>
      <c r="E19" s="160">
        <v>224651</v>
      </c>
      <c r="F19" s="107">
        <v>17.41278694508371</v>
      </c>
      <c r="G19" s="108">
        <f t="shared" si="0"/>
        <v>0.17412786945083711</v>
      </c>
      <c r="H19" s="164">
        <v>2726</v>
      </c>
      <c r="I19" s="108">
        <v>1.213437732304775E-2</v>
      </c>
      <c r="J19" s="108" t="str" cm="1">
        <f t="array" ref="J19">IFERROR(INDEX(Cleaned_Campaign_Metadata!A$2:A$6,MATCH(1,(A19 &gt;= Cleaned_Campaign_Metadata!B$2:B$6) *(A19 &lt;= Cleaned_Campaign_Metadata!C$2:C$6),0)),"")</f>
        <v>iPhone 16 Launch</v>
      </c>
      <c r="K19" s="156">
        <v>59378</v>
      </c>
    </row>
    <row r="20" spans="1:11" x14ac:dyDescent="0.3">
      <c r="A20" s="126">
        <v>45474</v>
      </c>
      <c r="B20" s="106" t="s">
        <v>17</v>
      </c>
      <c r="C20" s="160">
        <v>5917</v>
      </c>
      <c r="D20" s="160">
        <v>475</v>
      </c>
      <c r="E20" s="160">
        <v>210260</v>
      </c>
      <c r="F20" s="107">
        <v>17.894035955483691</v>
      </c>
      <c r="G20" s="108">
        <f t="shared" si="0"/>
        <v>0.17894035955483692</v>
      </c>
      <c r="H20" s="164">
        <v>5442</v>
      </c>
      <c r="I20" s="108">
        <v>2.5882241034909159E-2</v>
      </c>
      <c r="J20" s="108" t="str" cm="1">
        <f t="array" ref="J20">IFERROR(INDEX(Cleaned_Campaign_Metadata!A$2:A$6,MATCH(1,(A20 &gt;= Cleaned_Campaign_Metadata!B$2:B$6) *(A20 &lt;= Cleaned_Campaign_Metadata!C$2:C$6),0)),"")</f>
        <v>iPhone 16 Launch</v>
      </c>
      <c r="K20" s="156">
        <v>28313</v>
      </c>
    </row>
    <row r="21" spans="1:11" x14ac:dyDescent="0.3">
      <c r="A21" s="126">
        <v>45474</v>
      </c>
      <c r="B21" s="106" t="s">
        <v>34</v>
      </c>
      <c r="C21" s="160">
        <v>9429</v>
      </c>
      <c r="D21" s="160">
        <v>966</v>
      </c>
      <c r="E21" s="160">
        <v>218723</v>
      </c>
      <c r="F21" s="107">
        <v>7.6914636320825887</v>
      </c>
      <c r="G21" s="108">
        <f t="shared" si="0"/>
        <v>7.6914636320825888E-2</v>
      </c>
      <c r="H21" s="164">
        <v>8463</v>
      </c>
      <c r="I21" s="108">
        <v>3.8692775794040866E-2</v>
      </c>
      <c r="J21" s="108" t="str" cm="1">
        <f t="array" ref="J21">IFERROR(INDEX(Cleaned_Campaign_Metadata!A$2:A$6,MATCH(1,(A21 &gt;= Cleaned_Campaign_Metadata!B$2:B$6) *(A21 &lt;= Cleaned_Campaign_Metadata!C$2:C$6),0)),"")</f>
        <v>iPhone 16 Launch</v>
      </c>
      <c r="K21" s="156">
        <v>57639</v>
      </c>
    </row>
    <row r="22" spans="1:11" x14ac:dyDescent="0.3">
      <c r="A22" s="127">
        <v>45481</v>
      </c>
      <c r="B22" s="109" t="s">
        <v>17</v>
      </c>
      <c r="C22" s="161">
        <v>2048</v>
      </c>
      <c r="D22" s="161">
        <v>130</v>
      </c>
      <c r="E22" s="161">
        <v>233720</v>
      </c>
      <c r="F22" s="110">
        <v>39.284614068115687</v>
      </c>
      <c r="G22" s="111">
        <f t="shared" si="0"/>
        <v>0.39284614068115686</v>
      </c>
      <c r="H22" s="165">
        <v>1918</v>
      </c>
      <c r="I22" s="111">
        <v>8.2064008214958063E-3</v>
      </c>
      <c r="J22" s="108" t="str" cm="1">
        <f t="array" ref="J22">IFERROR(INDEX(Cleaned_Campaign_Metadata!A$2:A$6,MATCH(1,(A22 &gt;= Cleaned_Campaign_Metadata!B$2:B$6) *(A22 &lt;= Cleaned_Campaign_Metadata!C$2:C$6),0)),"")</f>
        <v>iPhone 16 Launch</v>
      </c>
      <c r="K22" s="157">
        <v>11828</v>
      </c>
    </row>
    <row r="23" spans="1:11" x14ac:dyDescent="0.3">
      <c r="A23" s="126">
        <v>45481</v>
      </c>
      <c r="B23" s="106" t="s">
        <v>17</v>
      </c>
      <c r="C23" s="160">
        <v>6772</v>
      </c>
      <c r="D23" s="160">
        <v>536</v>
      </c>
      <c r="E23" s="160">
        <v>239956</v>
      </c>
      <c r="F23" s="107">
        <v>9.8205504342462788</v>
      </c>
      <c r="G23" s="108">
        <f t="shared" si="0"/>
        <v>9.8205504342462793E-2</v>
      </c>
      <c r="H23" s="164">
        <v>6236</v>
      </c>
      <c r="I23" s="108">
        <v>2.5988097817933289E-2</v>
      </c>
      <c r="J23" s="108" t="str" cm="1">
        <f t="array" ref="J23">IFERROR(INDEX(Cleaned_Campaign_Metadata!A$2:A$6,MATCH(1,(A23 &gt;= Cleaned_Campaign_Metadata!B$2:B$6) *(A23 &lt;= Cleaned_Campaign_Metadata!C$2:C$6),0)),"")</f>
        <v>iPhone 16 Launch</v>
      </c>
      <c r="K23" s="156">
        <v>17909</v>
      </c>
    </row>
    <row r="24" spans="1:11" x14ac:dyDescent="0.3">
      <c r="A24" s="127">
        <v>45481</v>
      </c>
      <c r="B24" s="109" t="s">
        <v>17</v>
      </c>
      <c r="C24" s="161">
        <v>3529</v>
      </c>
      <c r="D24" s="161">
        <v>305</v>
      </c>
      <c r="E24" s="161">
        <v>243180</v>
      </c>
      <c r="F24" s="110">
        <v>41.606628834608109</v>
      </c>
      <c r="G24" s="111">
        <f t="shared" si="0"/>
        <v>0.41606628834608111</v>
      </c>
      <c r="H24" s="165">
        <v>3224</v>
      </c>
      <c r="I24" s="111">
        <v>1.3257669216218439E-2</v>
      </c>
      <c r="J24" s="108" t="str" cm="1">
        <f t="array" ref="J24">IFERROR(INDEX(Cleaned_Campaign_Metadata!A$2:A$6,MATCH(1,(A24 &gt;= Cleaned_Campaign_Metadata!B$2:B$6) *(A24 &lt;= Cleaned_Campaign_Metadata!C$2:C$6),0)),"")</f>
        <v>iPhone 16 Launch</v>
      </c>
      <c r="K24" s="157">
        <v>48356</v>
      </c>
    </row>
    <row r="25" spans="1:11" x14ac:dyDescent="0.3">
      <c r="A25" s="127">
        <v>45481</v>
      </c>
      <c r="B25" s="109" t="s">
        <v>34</v>
      </c>
      <c r="C25" s="161">
        <v>8045</v>
      </c>
      <c r="D25" s="161">
        <v>894</v>
      </c>
      <c r="E25" s="161">
        <v>231802</v>
      </c>
      <c r="F25" s="110">
        <v>47.634187798207087</v>
      </c>
      <c r="G25" s="111">
        <f t="shared" si="0"/>
        <v>0.47634187798207089</v>
      </c>
      <c r="H25" s="165">
        <v>7151</v>
      </c>
      <c r="I25" s="111">
        <v>3.084960440375838E-2</v>
      </c>
      <c r="J25" s="108" t="str" cm="1">
        <f t="array" ref="J25">IFERROR(INDEX(Cleaned_Campaign_Metadata!A$2:A$6,MATCH(1,(A25 &gt;= Cleaned_Campaign_Metadata!B$2:B$6) *(A25 &lt;= Cleaned_Campaign_Metadata!C$2:C$6),0)),"")</f>
        <v>iPhone 16 Launch</v>
      </c>
      <c r="K25" s="157">
        <v>33705</v>
      </c>
    </row>
    <row r="26" spans="1:11" x14ac:dyDescent="0.3">
      <c r="A26" s="127">
        <v>45488</v>
      </c>
      <c r="B26" s="109" t="s">
        <v>20</v>
      </c>
      <c r="C26" s="161">
        <v>3964</v>
      </c>
      <c r="D26" s="161">
        <v>378</v>
      </c>
      <c r="E26" s="161">
        <v>246766</v>
      </c>
      <c r="F26" s="110">
        <v>13.6355899921383</v>
      </c>
      <c r="G26" s="111">
        <f t="shared" si="0"/>
        <v>0.136355899921383</v>
      </c>
      <c r="H26" s="165">
        <v>3586</v>
      </c>
      <c r="I26" s="111">
        <v>1.453198576789347E-2</v>
      </c>
      <c r="J26" s="108" t="str" cm="1">
        <f t="array" ref="J26">IFERROR(INDEX(Cleaned_Campaign_Metadata!A$2:A$6,MATCH(1,(A26 &gt;= Cleaned_Campaign_Metadata!B$2:B$6) *(A26 &lt;= Cleaned_Campaign_Metadata!C$2:C$6),0)),"")</f>
        <v>iPhone 16 Launch</v>
      </c>
      <c r="K26" s="157">
        <v>23109</v>
      </c>
    </row>
    <row r="27" spans="1:11" x14ac:dyDescent="0.3">
      <c r="A27" s="126">
        <v>45488</v>
      </c>
      <c r="B27" s="106" t="s">
        <v>20</v>
      </c>
      <c r="C27" s="160">
        <v>1536</v>
      </c>
      <c r="D27" s="160">
        <v>155</v>
      </c>
      <c r="E27" s="160">
        <v>257065</v>
      </c>
      <c r="F27" s="107">
        <v>12.15762550327738</v>
      </c>
      <c r="G27" s="108">
        <f t="shared" si="0"/>
        <v>0.12157625503277381</v>
      </c>
      <c r="H27" s="164">
        <v>1381</v>
      </c>
      <c r="I27" s="108">
        <v>5.3721821329235798E-3</v>
      </c>
      <c r="J27" s="108" t="str" cm="1">
        <f t="array" ref="J27">IFERROR(INDEX(Cleaned_Campaign_Metadata!A$2:A$6,MATCH(1,(A27 &gt;= Cleaned_Campaign_Metadata!B$2:B$6) *(A27 &lt;= Cleaned_Campaign_Metadata!C$2:C$6),0)),"")</f>
        <v>iPhone 16 Launch</v>
      </c>
      <c r="K27" s="156">
        <v>36661</v>
      </c>
    </row>
    <row r="28" spans="1:11" x14ac:dyDescent="0.3">
      <c r="A28" s="126">
        <v>45488</v>
      </c>
      <c r="B28" s="106" t="s">
        <v>34</v>
      </c>
      <c r="C28" s="160">
        <v>8137</v>
      </c>
      <c r="D28" s="160">
        <v>1045</v>
      </c>
      <c r="E28" s="160">
        <v>253858</v>
      </c>
      <c r="F28" s="107">
        <v>20.47246886054408</v>
      </c>
      <c r="G28" s="108">
        <f t="shared" si="0"/>
        <v>0.2047246886054408</v>
      </c>
      <c r="H28" s="164">
        <v>7092</v>
      </c>
      <c r="I28" s="108">
        <v>2.7936878097203948E-2</v>
      </c>
      <c r="J28" s="108" t="str" cm="1">
        <f t="array" ref="J28">IFERROR(INDEX(Cleaned_Campaign_Metadata!A$2:A$6,MATCH(1,(A28 &gt;= Cleaned_Campaign_Metadata!B$2:B$6) *(A28 &lt;= Cleaned_Campaign_Metadata!C$2:C$6),0)),"")</f>
        <v>iPhone 16 Launch</v>
      </c>
      <c r="K28" s="156">
        <v>12023</v>
      </c>
    </row>
    <row r="29" spans="1:11" x14ac:dyDescent="0.3">
      <c r="A29" s="127">
        <v>45488</v>
      </c>
      <c r="B29" s="109" t="s">
        <v>13</v>
      </c>
      <c r="C29" s="161">
        <v>1963</v>
      </c>
      <c r="D29" s="161">
        <v>137</v>
      </c>
      <c r="E29" s="161">
        <v>255684</v>
      </c>
      <c r="F29" s="110">
        <v>11.2083665774941</v>
      </c>
      <c r="G29" s="111">
        <f t="shared" si="0"/>
        <v>0.112083665774941</v>
      </c>
      <c r="H29" s="165">
        <v>1826</v>
      </c>
      <c r="I29" s="111">
        <v>7.1416279469970747E-3</v>
      </c>
      <c r="J29" s="108" t="str" cm="1">
        <f t="array" ref="J29">IFERROR(INDEX(Cleaned_Campaign_Metadata!A$2:A$6,MATCH(1,(A29 &gt;= Cleaned_Campaign_Metadata!B$2:B$6) *(A29 &lt;= Cleaned_Campaign_Metadata!C$2:C$6),0)),"")</f>
        <v>iPhone 16 Launch</v>
      </c>
      <c r="K29" s="157">
        <v>24537</v>
      </c>
    </row>
    <row r="30" spans="1:11" x14ac:dyDescent="0.3">
      <c r="A30" s="126">
        <v>45495</v>
      </c>
      <c r="B30" s="106" t="s">
        <v>17</v>
      </c>
      <c r="C30" s="160">
        <v>8340</v>
      </c>
      <c r="D30" s="160">
        <v>911</v>
      </c>
      <c r="E30" s="160">
        <v>264494</v>
      </c>
      <c r="F30" s="107">
        <v>37.302925586213682</v>
      </c>
      <c r="G30" s="108">
        <f t="shared" si="0"/>
        <v>0.37302925586213681</v>
      </c>
      <c r="H30" s="164">
        <v>7429</v>
      </c>
      <c r="I30" s="108">
        <v>2.8087593669421613E-2</v>
      </c>
      <c r="J30" s="108" t="str" cm="1">
        <f t="array" ref="J30">IFERROR(INDEX(Cleaned_Campaign_Metadata!A$2:A$6,MATCH(1,(A30 &gt;= Cleaned_Campaign_Metadata!B$2:B$6) *(A30 &lt;= Cleaned_Campaign_Metadata!C$2:C$6),0)),"")</f>
        <v/>
      </c>
      <c r="K30" s="156">
        <v>48659</v>
      </c>
    </row>
    <row r="31" spans="1:11" x14ac:dyDescent="0.3">
      <c r="A31" s="127">
        <v>45495</v>
      </c>
      <c r="B31" s="109" t="s">
        <v>17</v>
      </c>
      <c r="C31" s="161">
        <v>8967</v>
      </c>
      <c r="D31" s="161">
        <v>993</v>
      </c>
      <c r="E31" s="161">
        <v>280201</v>
      </c>
      <c r="F31" s="110">
        <v>52.792102811910027</v>
      </c>
      <c r="G31" s="111">
        <f t="shared" si="0"/>
        <v>0.52792102811910024</v>
      </c>
      <c r="H31" s="165">
        <v>7974</v>
      </c>
      <c r="I31" s="111">
        <v>2.8458142547671136E-2</v>
      </c>
      <c r="J31" s="108" t="str" cm="1">
        <f t="array" ref="J31">IFERROR(INDEX(Cleaned_Campaign_Metadata!A$2:A$6,MATCH(1,(A31 &gt;= Cleaned_Campaign_Metadata!B$2:B$6) *(A31 &lt;= Cleaned_Campaign_Metadata!C$2:C$6),0)),"")</f>
        <v/>
      </c>
      <c r="K31" s="157">
        <v>47804</v>
      </c>
    </row>
    <row r="32" spans="1:11" x14ac:dyDescent="0.3">
      <c r="A32" s="127">
        <v>45495</v>
      </c>
      <c r="B32" s="109" t="s">
        <v>34</v>
      </c>
      <c r="C32" s="161">
        <v>8179</v>
      </c>
      <c r="D32" s="161">
        <v>446</v>
      </c>
      <c r="E32" s="161">
        <v>272227</v>
      </c>
      <c r="F32" s="110">
        <v>41.82171496581897</v>
      </c>
      <c r="G32" s="111">
        <f t="shared" si="0"/>
        <v>0.41821714965818968</v>
      </c>
      <c r="H32" s="165">
        <v>7733</v>
      </c>
      <c r="I32" s="111">
        <v>2.8406440213498294E-2</v>
      </c>
      <c r="J32" s="108" t="str" cm="1">
        <f t="array" ref="J32">IFERROR(INDEX(Cleaned_Campaign_Metadata!A$2:A$6,MATCH(1,(A32 &gt;= Cleaned_Campaign_Metadata!B$2:B$6) *(A32 &lt;= Cleaned_Campaign_Metadata!C$2:C$6),0)),"")</f>
        <v/>
      </c>
      <c r="K32" s="157">
        <v>43848</v>
      </c>
    </row>
    <row r="33" spans="1:11" x14ac:dyDescent="0.3">
      <c r="A33" s="126">
        <v>45495</v>
      </c>
      <c r="B33" s="106" t="s">
        <v>13</v>
      </c>
      <c r="C33" s="160">
        <v>9734</v>
      </c>
      <c r="D33" s="160">
        <v>652</v>
      </c>
      <c r="E33" s="160">
        <v>289283</v>
      </c>
      <c r="F33" s="107">
        <v>49.647922622483861</v>
      </c>
      <c r="G33" s="108">
        <f t="shared" si="0"/>
        <v>0.49647922622483859</v>
      </c>
      <c r="H33" s="164">
        <v>9082</v>
      </c>
      <c r="I33" s="108">
        <v>3.1394862470314533E-2</v>
      </c>
      <c r="J33" s="108" t="str" cm="1">
        <f t="array" ref="J33">IFERROR(INDEX(Cleaned_Campaign_Metadata!A$2:A$6,MATCH(1,(A33 &gt;= Cleaned_Campaign_Metadata!B$2:B$6) *(A33 &lt;= Cleaned_Campaign_Metadata!C$2:C$6),0)),"")</f>
        <v/>
      </c>
      <c r="K33" s="156">
        <v>25379</v>
      </c>
    </row>
    <row r="34" spans="1:11" x14ac:dyDescent="0.3">
      <c r="A34" s="126">
        <v>45502</v>
      </c>
      <c r="B34" s="106" t="s">
        <v>17</v>
      </c>
      <c r="C34" s="160">
        <v>1845</v>
      </c>
      <c r="D34" s="160">
        <v>104</v>
      </c>
      <c r="E34" s="160">
        <v>291024</v>
      </c>
      <c r="F34" s="107">
        <v>28.158158777282971</v>
      </c>
      <c r="G34" s="108">
        <f t="shared" ref="G34:G65" si="1">F34/100</f>
        <v>0.28158158777282971</v>
      </c>
      <c r="H34" s="164">
        <v>1741</v>
      </c>
      <c r="I34" s="108">
        <v>5.9823244818296775E-3</v>
      </c>
      <c r="J34" s="108" t="str" cm="1">
        <f t="array" ref="J34">IFERROR(INDEX(Cleaned_Campaign_Metadata!A$2:A$6,MATCH(1,(A34 &gt;= Cleaned_Campaign_Metadata!B$2:B$6) *(A34 &lt;= Cleaned_Campaign_Metadata!C$2:C$6),0)),"")</f>
        <v/>
      </c>
      <c r="K34" s="156">
        <v>37766</v>
      </c>
    </row>
    <row r="35" spans="1:11" x14ac:dyDescent="0.3">
      <c r="A35" s="127">
        <v>45502</v>
      </c>
      <c r="B35" s="109" t="s">
        <v>17</v>
      </c>
      <c r="C35" s="161">
        <v>6777</v>
      </c>
      <c r="D35" s="161">
        <v>981</v>
      </c>
      <c r="E35" s="161">
        <v>296820</v>
      </c>
      <c r="F35" s="110">
        <v>23.920557913887201</v>
      </c>
      <c r="G35" s="111">
        <f t="shared" si="1"/>
        <v>0.239205579138872</v>
      </c>
      <c r="H35" s="165">
        <v>5796</v>
      </c>
      <c r="I35" s="111">
        <v>1.952698605215282E-2</v>
      </c>
      <c r="J35" s="108" t="str" cm="1">
        <f t="array" ref="J35">IFERROR(INDEX(Cleaned_Campaign_Metadata!A$2:A$6,MATCH(1,(A35 &gt;= Cleaned_Campaign_Metadata!B$2:B$6) *(A35 &lt;= Cleaned_Campaign_Metadata!C$2:C$6),0)),"")</f>
        <v/>
      </c>
      <c r="K35" s="157">
        <v>53590</v>
      </c>
    </row>
    <row r="36" spans="1:11" x14ac:dyDescent="0.3">
      <c r="A36" s="126">
        <v>45502</v>
      </c>
      <c r="B36" s="106" t="s">
        <v>34</v>
      </c>
      <c r="C36" s="160">
        <v>6947</v>
      </c>
      <c r="D36" s="160">
        <v>908</v>
      </c>
      <c r="E36" s="160">
        <v>306304</v>
      </c>
      <c r="F36" s="107">
        <v>14.117673944839121</v>
      </c>
      <c r="G36" s="108">
        <f t="shared" si="1"/>
        <v>0.14117673944839121</v>
      </c>
      <c r="H36" s="164">
        <v>6039</v>
      </c>
      <c r="I36" s="108">
        <v>1.9715707271207691E-2</v>
      </c>
      <c r="J36" s="108" t="str" cm="1">
        <f t="array" ref="J36">IFERROR(INDEX(Cleaned_Campaign_Metadata!A$2:A$6,MATCH(1,(A36 &gt;= Cleaned_Campaign_Metadata!B$2:B$6) *(A36 &lt;= Cleaned_Campaign_Metadata!C$2:C$6),0)),"")</f>
        <v/>
      </c>
      <c r="K36" s="156">
        <v>46060</v>
      </c>
    </row>
    <row r="37" spans="1:11" x14ac:dyDescent="0.3">
      <c r="A37" s="127">
        <v>45502</v>
      </c>
      <c r="B37" s="109" t="s">
        <v>13</v>
      </c>
      <c r="C37" s="161">
        <v>4036</v>
      </c>
      <c r="D37" s="161">
        <v>591</v>
      </c>
      <c r="E37" s="161">
        <v>300265</v>
      </c>
      <c r="F37" s="110">
        <v>44.219272975538267</v>
      </c>
      <c r="G37" s="111">
        <f t="shared" si="1"/>
        <v>0.44219272975538265</v>
      </c>
      <c r="H37" s="165">
        <v>3445</v>
      </c>
      <c r="I37" s="111">
        <v>1.1473198674504187E-2</v>
      </c>
      <c r="J37" s="108" t="str" cm="1">
        <f t="array" ref="J37">IFERROR(INDEX(Cleaned_Campaign_Metadata!A$2:A$6,MATCH(1,(A37 &gt;= Cleaned_Campaign_Metadata!B$2:B$6) *(A37 &lt;= Cleaned_Campaign_Metadata!C$2:C$6),0)),"")</f>
        <v/>
      </c>
      <c r="K37" s="157">
        <v>12563</v>
      </c>
    </row>
    <row r="38" spans="1:11" x14ac:dyDescent="0.3">
      <c r="A38" s="127">
        <v>45509</v>
      </c>
      <c r="B38" s="109" t="s">
        <v>20</v>
      </c>
      <c r="C38" s="161">
        <v>3494</v>
      </c>
      <c r="D38" s="161">
        <v>281</v>
      </c>
      <c r="E38" s="161">
        <v>309517</v>
      </c>
      <c r="F38" s="110">
        <v>27.765518533715429</v>
      </c>
      <c r="G38" s="111">
        <f t="shared" si="1"/>
        <v>0.27765518533715428</v>
      </c>
      <c r="H38" s="165">
        <v>3213</v>
      </c>
      <c r="I38" s="111">
        <v>1.0380689913639638E-2</v>
      </c>
      <c r="J38" s="108" t="str" cm="1">
        <f t="array" ref="J38">IFERROR(INDEX(Cleaned_Campaign_Metadata!A$2:A$6,MATCH(1,(A38 &gt;= Cleaned_Campaign_Metadata!B$2:B$6) *(A38 &lt;= Cleaned_Campaign_Metadata!C$2:C$6),0)),"")</f>
        <v/>
      </c>
      <c r="K38" s="157">
        <v>39197</v>
      </c>
    </row>
    <row r="39" spans="1:11" x14ac:dyDescent="0.3">
      <c r="A39" s="126">
        <v>45509</v>
      </c>
      <c r="B39" s="106" t="s">
        <v>17</v>
      </c>
      <c r="C39" s="160">
        <v>5349</v>
      </c>
      <c r="D39" s="160">
        <v>502</v>
      </c>
      <c r="E39" s="160">
        <v>320404</v>
      </c>
      <c r="F39" s="107">
        <v>5.2152906954969351</v>
      </c>
      <c r="G39" s="108">
        <f t="shared" si="1"/>
        <v>5.2152906954969352E-2</v>
      </c>
      <c r="H39" s="164">
        <v>4847</v>
      </c>
      <c r="I39" s="108">
        <v>1.5127776182569505E-2</v>
      </c>
      <c r="J39" s="108" t="str" cm="1">
        <f t="array" ref="J39">IFERROR(INDEX(Cleaned_Campaign_Metadata!A$2:A$6,MATCH(1,(A39 &gt;= Cleaned_Campaign_Metadata!B$2:B$6) *(A39 &lt;= Cleaned_Campaign_Metadata!C$2:C$6),0)),"")</f>
        <v/>
      </c>
      <c r="K39" s="156">
        <v>58868</v>
      </c>
    </row>
    <row r="40" spans="1:11" x14ac:dyDescent="0.3">
      <c r="A40" s="127">
        <v>45509</v>
      </c>
      <c r="B40" s="109" t="s">
        <v>34</v>
      </c>
      <c r="C40" s="161">
        <v>3719</v>
      </c>
      <c r="D40" s="161">
        <v>222</v>
      </c>
      <c r="E40" s="161">
        <v>313014</v>
      </c>
      <c r="F40" s="110">
        <v>21.669318305251519</v>
      </c>
      <c r="G40" s="111">
        <f t="shared" si="1"/>
        <v>0.2166931830525152</v>
      </c>
      <c r="H40" s="165">
        <v>3497</v>
      </c>
      <c r="I40" s="111">
        <v>1.1172024254506188E-2</v>
      </c>
      <c r="J40" s="108" t="str" cm="1">
        <f t="array" ref="J40">IFERROR(INDEX(Cleaned_Campaign_Metadata!A$2:A$6,MATCH(1,(A40 &gt;= Cleaned_Campaign_Metadata!B$2:B$6) *(A40 &lt;= Cleaned_Campaign_Metadata!C$2:C$6),0)),"")</f>
        <v/>
      </c>
      <c r="K40" s="157">
        <v>13586</v>
      </c>
    </row>
    <row r="41" spans="1:11" x14ac:dyDescent="0.3">
      <c r="A41" s="126">
        <v>45509</v>
      </c>
      <c r="B41" s="106" t="s">
        <v>13</v>
      </c>
      <c r="C41" s="160">
        <v>2884</v>
      </c>
      <c r="D41" s="160">
        <v>341</v>
      </c>
      <c r="E41" s="160">
        <v>315557</v>
      </c>
      <c r="F41" s="107">
        <v>46.999749649033298</v>
      </c>
      <c r="G41" s="108">
        <f t="shared" si="1"/>
        <v>0.46999749649033296</v>
      </c>
      <c r="H41" s="164">
        <v>2543</v>
      </c>
      <c r="I41" s="108">
        <v>8.058765928184131E-3</v>
      </c>
      <c r="J41" s="108" t="str" cm="1">
        <f t="array" ref="J41">IFERROR(INDEX(Cleaned_Campaign_Metadata!A$2:A$6,MATCH(1,(A41 &gt;= Cleaned_Campaign_Metadata!B$2:B$6) *(A41 &lt;= Cleaned_Campaign_Metadata!C$2:C$6),0)),"")</f>
        <v/>
      </c>
      <c r="K41" s="156">
        <v>26087</v>
      </c>
    </row>
    <row r="42" spans="1:11" x14ac:dyDescent="0.3">
      <c r="A42" s="126">
        <v>45516</v>
      </c>
      <c r="B42" s="106" t="s">
        <v>20</v>
      </c>
      <c r="C42" s="160">
        <v>7610</v>
      </c>
      <c r="D42" s="160">
        <v>757</v>
      </c>
      <c r="E42" s="160">
        <v>333052</v>
      </c>
      <c r="F42" s="107">
        <v>44.450416151231643</v>
      </c>
      <c r="G42" s="108">
        <f t="shared" si="1"/>
        <v>0.44450416151231642</v>
      </c>
      <c r="H42" s="164">
        <v>6853</v>
      </c>
      <c r="I42" s="108">
        <v>2.0576366453286574E-2</v>
      </c>
      <c r="J42" s="108" t="str" cm="1">
        <f t="array" ref="J42">IFERROR(INDEX(Cleaned_Campaign_Metadata!A$2:A$6,MATCH(1,(A42 &gt;= Cleaned_Campaign_Metadata!B$2:B$6) *(A42 &lt;= Cleaned_Campaign_Metadata!C$2:C$6),0)),"")</f>
        <v/>
      </c>
      <c r="K42" s="156">
        <v>39750</v>
      </c>
    </row>
    <row r="43" spans="1:11" x14ac:dyDescent="0.3">
      <c r="A43" s="126">
        <v>45516</v>
      </c>
      <c r="B43" s="106" t="s">
        <v>34</v>
      </c>
      <c r="C43" s="160">
        <v>6179</v>
      </c>
      <c r="D43" s="160">
        <v>384</v>
      </c>
      <c r="E43" s="160">
        <v>326199</v>
      </c>
      <c r="F43" s="107">
        <v>14.71218489327067</v>
      </c>
      <c r="G43" s="108">
        <f t="shared" si="1"/>
        <v>0.14712184893270672</v>
      </c>
      <c r="H43" s="164">
        <v>5795</v>
      </c>
      <c r="I43" s="108">
        <v>1.7765229200580015E-2</v>
      </c>
      <c r="J43" s="108" t="str" cm="1">
        <f t="array" ref="J43">IFERROR(INDEX(Cleaned_Campaign_Metadata!A$2:A$6,MATCH(1,(A43 &gt;= Cleaned_Campaign_Metadata!B$2:B$6) *(A43 &lt;= Cleaned_Campaign_Metadata!C$2:C$6),0)),"")</f>
        <v/>
      </c>
      <c r="K43" s="156">
        <v>33225</v>
      </c>
    </row>
    <row r="44" spans="1:11" x14ac:dyDescent="0.3">
      <c r="A44" s="127">
        <v>45516</v>
      </c>
      <c r="B44" s="109" t="s">
        <v>34</v>
      </c>
      <c r="C44" s="161">
        <v>8154</v>
      </c>
      <c r="D44" s="161">
        <v>1149</v>
      </c>
      <c r="E44" s="161">
        <v>347090</v>
      </c>
      <c r="F44" s="110">
        <v>26.003918292085629</v>
      </c>
      <c r="G44" s="111">
        <f t="shared" si="1"/>
        <v>0.26003918292085632</v>
      </c>
      <c r="H44" s="165">
        <v>7005</v>
      </c>
      <c r="I44" s="111">
        <v>2.0182085338096747E-2</v>
      </c>
      <c r="J44" s="108" t="str" cm="1">
        <f t="array" ref="J44">IFERROR(INDEX(Cleaned_Campaign_Metadata!A$2:A$6,MATCH(1,(A44 &gt;= Cleaned_Campaign_Metadata!B$2:B$6) *(A44 &lt;= Cleaned_Campaign_Metadata!C$2:C$6),0)),"")</f>
        <v/>
      </c>
      <c r="K44" s="157">
        <v>37523</v>
      </c>
    </row>
    <row r="45" spans="1:11" x14ac:dyDescent="0.3">
      <c r="A45" s="127">
        <v>45516</v>
      </c>
      <c r="B45" s="109" t="s">
        <v>13</v>
      </c>
      <c r="C45" s="161">
        <v>7430</v>
      </c>
      <c r="D45" s="161">
        <v>397</v>
      </c>
      <c r="E45" s="161">
        <v>340085</v>
      </c>
      <c r="F45" s="110">
        <v>28.065042562888689</v>
      </c>
      <c r="G45" s="111">
        <f t="shared" si="1"/>
        <v>0.28065042562888687</v>
      </c>
      <c r="H45" s="165">
        <v>7033</v>
      </c>
      <c r="I45" s="111">
        <v>2.0680124086625402E-2</v>
      </c>
      <c r="J45" s="108" t="str" cm="1">
        <f t="array" ref="J45">IFERROR(INDEX(Cleaned_Campaign_Metadata!A$2:A$6,MATCH(1,(A45 &gt;= Cleaned_Campaign_Metadata!B$2:B$6) *(A45 &lt;= Cleaned_Campaign_Metadata!C$2:C$6),0)),"")</f>
        <v/>
      </c>
      <c r="K45" s="157">
        <v>16643</v>
      </c>
    </row>
    <row r="46" spans="1:11" x14ac:dyDescent="0.3">
      <c r="A46" s="127">
        <v>45523</v>
      </c>
      <c r="B46" s="109" t="s">
        <v>20</v>
      </c>
      <c r="C46" s="161">
        <v>7488</v>
      </c>
      <c r="D46" s="161">
        <v>568</v>
      </c>
      <c r="E46" s="161">
        <v>354010</v>
      </c>
      <c r="F46" s="110">
        <v>13.47730290104799</v>
      </c>
      <c r="G46" s="111">
        <f t="shared" si="1"/>
        <v>0.13477302901047991</v>
      </c>
      <c r="H46" s="165">
        <v>6920</v>
      </c>
      <c r="I46" s="111">
        <v>1.9547470410440384E-2</v>
      </c>
      <c r="J46" s="108" t="str" cm="1">
        <f t="array" ref="J46">IFERROR(INDEX(Cleaned_Campaign_Metadata!A$2:A$6,MATCH(1,(A46 &gt;= Cleaned_Campaign_Metadata!B$2:B$6) *(A46 &lt;= Cleaned_Campaign_Metadata!C$2:C$6),0)),"")</f>
        <v/>
      </c>
      <c r="K46" s="157">
        <v>46727</v>
      </c>
    </row>
    <row r="47" spans="1:11" x14ac:dyDescent="0.3">
      <c r="A47" s="126">
        <v>45523</v>
      </c>
      <c r="B47" s="106" t="s">
        <v>20</v>
      </c>
      <c r="C47" s="160">
        <v>7525</v>
      </c>
      <c r="D47" s="160">
        <v>610</v>
      </c>
      <c r="E47" s="160">
        <v>365996</v>
      </c>
      <c r="F47" s="107">
        <v>5.7694619613329108</v>
      </c>
      <c r="G47" s="108">
        <f t="shared" si="1"/>
        <v>5.7694619613329105E-2</v>
      </c>
      <c r="H47" s="164">
        <v>6915</v>
      </c>
      <c r="I47" s="108">
        <v>1.8893649110919244E-2</v>
      </c>
      <c r="J47" s="108" t="str" cm="1">
        <f t="array" ref="J47">IFERROR(INDEX(Cleaned_Campaign_Metadata!A$2:A$6,MATCH(1,(A47 &gt;= Cleaned_Campaign_Metadata!B$2:B$6) *(A47 &lt;= Cleaned_Campaign_Metadata!C$2:C$6),0)),"")</f>
        <v/>
      </c>
      <c r="K47" s="156">
        <v>53543</v>
      </c>
    </row>
    <row r="48" spans="1:11" x14ac:dyDescent="0.3">
      <c r="A48" s="126">
        <v>45523</v>
      </c>
      <c r="B48" s="106" t="s">
        <v>13</v>
      </c>
      <c r="C48" s="160">
        <v>5737</v>
      </c>
      <c r="D48" s="160">
        <v>666</v>
      </c>
      <c r="E48" s="160">
        <v>359081</v>
      </c>
      <c r="F48" s="107">
        <v>4.6034181702735593</v>
      </c>
      <c r="G48" s="108">
        <f t="shared" si="1"/>
        <v>4.6034181702735592E-2</v>
      </c>
      <c r="H48" s="164">
        <v>5071</v>
      </c>
      <c r="I48" s="108">
        <v>1.4122161852061233E-2</v>
      </c>
      <c r="J48" s="108" t="str" cm="1">
        <f t="array" ref="J48">IFERROR(INDEX(Cleaned_Campaign_Metadata!A$2:A$6,MATCH(1,(A48 &gt;= Cleaned_Campaign_Metadata!B$2:B$6) *(A48 &lt;= Cleaned_Campaign_Metadata!C$2:C$6),0)),"")</f>
        <v/>
      </c>
      <c r="K48" s="156">
        <v>21005</v>
      </c>
    </row>
    <row r="49" spans="1:11" x14ac:dyDescent="0.3">
      <c r="A49" s="127">
        <v>45523</v>
      </c>
      <c r="B49" s="109" t="s">
        <v>13</v>
      </c>
      <c r="C49" s="161">
        <v>4850</v>
      </c>
      <c r="D49" s="161">
        <v>494</v>
      </c>
      <c r="E49" s="161">
        <v>370352</v>
      </c>
      <c r="F49" s="110">
        <v>20.46539508359615</v>
      </c>
      <c r="G49" s="111">
        <f t="shared" si="1"/>
        <v>0.2046539508359615</v>
      </c>
      <c r="H49" s="165">
        <v>4356</v>
      </c>
      <c r="I49" s="111">
        <v>1.176178338445587E-2</v>
      </c>
      <c r="J49" s="108" t="str" cm="1">
        <f t="array" ref="J49">IFERROR(INDEX(Cleaned_Campaign_Metadata!A$2:A$6,MATCH(1,(A49 &gt;= Cleaned_Campaign_Metadata!B$2:B$6) *(A49 &lt;= Cleaned_Campaign_Metadata!C$2:C$6),0)),"")</f>
        <v/>
      </c>
      <c r="K49" s="157">
        <v>10161</v>
      </c>
    </row>
    <row r="50" spans="1:11" x14ac:dyDescent="0.3">
      <c r="A50" s="127">
        <v>45530</v>
      </c>
      <c r="B50" s="109" t="s">
        <v>20</v>
      </c>
      <c r="C50" s="161">
        <v>9648</v>
      </c>
      <c r="D50" s="161">
        <v>1417</v>
      </c>
      <c r="E50" s="161">
        <v>385849</v>
      </c>
      <c r="F50" s="110">
        <v>3.6633501706626168</v>
      </c>
      <c r="G50" s="111">
        <f t="shared" si="1"/>
        <v>3.6633501706626166E-2</v>
      </c>
      <c r="H50" s="165">
        <v>8231</v>
      </c>
      <c r="I50" s="111">
        <v>2.1332179168534842E-2</v>
      </c>
      <c r="J50" s="108" t="str" cm="1">
        <f t="array" ref="J50">IFERROR(INDEX(Cleaned_Campaign_Metadata!A$2:A$6,MATCH(1,(A50 &gt;= Cleaned_Campaign_Metadata!B$2:B$6) *(A50 &lt;= Cleaned_Campaign_Metadata!C$2:C$6),0)),"")</f>
        <v/>
      </c>
      <c r="K50" s="157">
        <v>24226</v>
      </c>
    </row>
    <row r="51" spans="1:11" x14ac:dyDescent="0.3">
      <c r="A51" s="127">
        <v>45530</v>
      </c>
      <c r="B51" s="109" t="s">
        <v>17</v>
      </c>
      <c r="C51" s="161">
        <v>1689</v>
      </c>
      <c r="D51" s="161">
        <v>176</v>
      </c>
      <c r="E51" s="161">
        <v>371865</v>
      </c>
      <c r="F51" s="110">
        <v>38.012181840183942</v>
      </c>
      <c r="G51" s="111">
        <f t="shared" si="1"/>
        <v>0.3801218184018394</v>
      </c>
      <c r="H51" s="165">
        <v>1513</v>
      </c>
      <c r="I51" s="111">
        <v>4.068680838476329E-3</v>
      </c>
      <c r="J51" s="108" t="str" cm="1">
        <f t="array" ref="J51">IFERROR(INDEX(Cleaned_Campaign_Metadata!A$2:A$6,MATCH(1,(A51 &gt;= Cleaned_Campaign_Metadata!B$2:B$6) *(A51 &lt;= Cleaned_Campaign_Metadata!C$2:C$6),0)),"")</f>
        <v/>
      </c>
      <c r="K51" s="157">
        <v>26029</v>
      </c>
    </row>
    <row r="52" spans="1:11" x14ac:dyDescent="0.3">
      <c r="A52" s="126">
        <v>45530</v>
      </c>
      <c r="B52" s="106" t="s">
        <v>34</v>
      </c>
      <c r="C52" s="160">
        <v>6175</v>
      </c>
      <c r="D52" s="160">
        <v>422</v>
      </c>
      <c r="E52" s="160">
        <v>377618</v>
      </c>
      <c r="F52" s="107">
        <v>37.86101298137271</v>
      </c>
      <c r="G52" s="108">
        <f t="shared" si="1"/>
        <v>0.3786101298137271</v>
      </c>
      <c r="H52" s="164">
        <v>5753</v>
      </c>
      <c r="I52" s="108">
        <v>1.523497290913039E-2</v>
      </c>
      <c r="J52" s="108" t="str" cm="1">
        <f t="array" ref="J52">IFERROR(INDEX(Cleaned_Campaign_Metadata!A$2:A$6,MATCH(1,(A52 &gt;= Cleaned_Campaign_Metadata!B$2:B$6) *(A52 &lt;= Cleaned_Campaign_Metadata!C$2:C$6),0)),"")</f>
        <v/>
      </c>
      <c r="K52" s="156">
        <v>59745</v>
      </c>
    </row>
    <row r="53" spans="1:11" x14ac:dyDescent="0.3">
      <c r="A53" s="126">
        <v>45530</v>
      </c>
      <c r="B53" s="106" t="s">
        <v>13</v>
      </c>
      <c r="C53" s="160">
        <v>6078</v>
      </c>
      <c r="D53" s="160">
        <v>775</v>
      </c>
      <c r="E53" s="160">
        <v>391152</v>
      </c>
      <c r="F53" s="107">
        <v>37.760512537325639</v>
      </c>
      <c r="G53" s="108">
        <f t="shared" si="1"/>
        <v>0.37760512537325641</v>
      </c>
      <c r="H53" s="164">
        <v>5303</v>
      </c>
      <c r="I53" s="108">
        <v>1.3557389454738823E-2</v>
      </c>
      <c r="J53" s="108" t="str" cm="1">
        <f t="array" ref="J53">IFERROR(INDEX(Cleaned_Campaign_Metadata!A$2:A$6,MATCH(1,(A53 &gt;= Cleaned_Campaign_Metadata!B$2:B$6) *(A53 &lt;= Cleaned_Campaign_Metadata!C$2:C$6),0)),"")</f>
        <v/>
      </c>
      <c r="K53" s="156">
        <v>38731</v>
      </c>
    </row>
    <row r="54" spans="1:11" x14ac:dyDescent="0.3">
      <c r="A54" s="126">
        <v>45537</v>
      </c>
      <c r="B54" s="106" t="s">
        <v>20</v>
      </c>
      <c r="C54" s="160">
        <v>6448</v>
      </c>
      <c r="D54" s="160">
        <v>928</v>
      </c>
      <c r="E54" s="160">
        <v>396672</v>
      </c>
      <c r="F54" s="107">
        <v>30.118586640851881</v>
      </c>
      <c r="G54" s="108">
        <f t="shared" si="1"/>
        <v>0.3011858664085188</v>
      </c>
      <c r="H54" s="164">
        <v>5520</v>
      </c>
      <c r="I54" s="108">
        <v>1.3915779283639884E-2</v>
      </c>
      <c r="J54" s="108" t="str" cm="1">
        <f t="array" ref="J54">IFERROR(INDEX(Cleaned_Campaign_Metadata!A$2:A$6,MATCH(1,(A54 &gt;= Cleaned_Campaign_Metadata!B$2:B$6) *(A54 &lt;= Cleaned_Campaign_Metadata!C$2:C$6),0)),"")</f>
        <v/>
      </c>
      <c r="K54" s="156">
        <v>53922</v>
      </c>
    </row>
    <row r="55" spans="1:11" x14ac:dyDescent="0.3">
      <c r="A55" s="127">
        <v>45537</v>
      </c>
      <c r="B55" s="109" t="s">
        <v>20</v>
      </c>
      <c r="C55" s="161">
        <v>2179</v>
      </c>
      <c r="D55" s="161">
        <v>303</v>
      </c>
      <c r="E55" s="161">
        <v>398548</v>
      </c>
      <c r="F55" s="110">
        <v>33.909842729106657</v>
      </c>
      <c r="G55" s="111">
        <f t="shared" si="1"/>
        <v>0.3390984272910666</v>
      </c>
      <c r="H55" s="165">
        <v>1876</v>
      </c>
      <c r="I55" s="111">
        <v>4.7070867248110645E-3</v>
      </c>
      <c r="J55" s="108" t="str" cm="1">
        <f t="array" ref="J55">IFERROR(INDEX(Cleaned_Campaign_Metadata!A$2:A$6,MATCH(1,(A55 &gt;= Cleaned_Campaign_Metadata!B$2:B$6) *(A55 &lt;= Cleaned_Campaign_Metadata!C$2:C$6),0)),"")</f>
        <v/>
      </c>
      <c r="K55" s="157">
        <v>54848</v>
      </c>
    </row>
    <row r="56" spans="1:11" x14ac:dyDescent="0.3">
      <c r="A56" s="126">
        <v>45537</v>
      </c>
      <c r="B56" s="106" t="s">
        <v>17</v>
      </c>
      <c r="C56" s="160">
        <v>9591</v>
      </c>
      <c r="D56" s="160">
        <v>1363</v>
      </c>
      <c r="E56" s="160">
        <v>413369</v>
      </c>
      <c r="F56" s="107">
        <v>10.494255737609739</v>
      </c>
      <c r="G56" s="108">
        <f t="shared" si="1"/>
        <v>0.1049425573760974</v>
      </c>
      <c r="H56" s="164">
        <v>8228</v>
      </c>
      <c r="I56" s="108">
        <v>1.9904734026983156E-2</v>
      </c>
      <c r="J56" s="108" t="str" cm="1">
        <f t="array" ref="J56">IFERROR(INDEX(Cleaned_Campaign_Metadata!A$2:A$6,MATCH(1,(A56 &gt;= Cleaned_Campaign_Metadata!B$2:B$6) *(A56 &lt;= Cleaned_Campaign_Metadata!C$2:C$6),0)),"")</f>
        <v/>
      </c>
      <c r="K56" s="156">
        <v>15997</v>
      </c>
    </row>
    <row r="57" spans="1:11" x14ac:dyDescent="0.3">
      <c r="A57" s="127">
        <v>45537</v>
      </c>
      <c r="B57" s="109" t="s">
        <v>34</v>
      </c>
      <c r="C57" s="161">
        <v>7406</v>
      </c>
      <c r="D57" s="161">
        <v>813</v>
      </c>
      <c r="E57" s="161">
        <v>405141</v>
      </c>
      <c r="F57" s="110">
        <v>24.457411123534769</v>
      </c>
      <c r="G57" s="111">
        <f t="shared" si="1"/>
        <v>0.2445741112353477</v>
      </c>
      <c r="H57" s="165">
        <v>6593</v>
      </c>
      <c r="I57" s="111">
        <v>1.6273346810122897E-2</v>
      </c>
      <c r="J57" s="108" t="str" cm="1">
        <f t="array" ref="J57">IFERROR(INDEX(Cleaned_Campaign_Metadata!A$2:A$6,MATCH(1,(A57 &gt;= Cleaned_Campaign_Metadata!B$2:B$6) *(A57 &lt;= Cleaned_Campaign_Metadata!C$2:C$6),0)),"")</f>
        <v/>
      </c>
      <c r="K57" s="157">
        <v>13390</v>
      </c>
    </row>
    <row r="58" spans="1:11" x14ac:dyDescent="0.3">
      <c r="A58" s="126">
        <v>45544</v>
      </c>
      <c r="B58" s="106" t="s">
        <v>20</v>
      </c>
      <c r="C58" s="160">
        <v>7907</v>
      </c>
      <c r="D58" s="160">
        <v>465</v>
      </c>
      <c r="E58" s="160">
        <v>420811</v>
      </c>
      <c r="F58" s="107">
        <v>33.257448118038738</v>
      </c>
      <c r="G58" s="108">
        <f t="shared" si="1"/>
        <v>0.3325744811803874</v>
      </c>
      <c r="H58" s="164">
        <v>7442</v>
      </c>
      <c r="I58" s="108">
        <v>1.76848989213685E-2</v>
      </c>
      <c r="J58" s="108" t="str" cm="1">
        <f t="array" ref="J58">IFERROR(INDEX(Cleaned_Campaign_Metadata!A$2:A$6,MATCH(1,(A58 &gt;= Cleaned_Campaign_Metadata!B$2:B$6) *(A58 &lt;= Cleaned_Campaign_Metadata!C$2:C$6),0)),"")</f>
        <v/>
      </c>
      <c r="K58" s="156">
        <v>22693</v>
      </c>
    </row>
    <row r="59" spans="1:11" x14ac:dyDescent="0.3">
      <c r="A59" s="127">
        <v>45544</v>
      </c>
      <c r="B59" s="109" t="s">
        <v>17</v>
      </c>
      <c r="C59" s="161">
        <v>6671</v>
      </c>
      <c r="D59" s="161">
        <v>550</v>
      </c>
      <c r="E59" s="161">
        <v>438545</v>
      </c>
      <c r="F59" s="110">
        <v>17.750287883797562</v>
      </c>
      <c r="G59" s="111">
        <f t="shared" si="1"/>
        <v>0.17750287883797561</v>
      </c>
      <c r="H59" s="165">
        <v>6121</v>
      </c>
      <c r="I59" s="111">
        <v>1.3957518612685129E-2</v>
      </c>
      <c r="J59" s="108" t="str" cm="1">
        <f t="array" ref="J59">IFERROR(INDEX(Cleaned_Campaign_Metadata!A$2:A$6,MATCH(1,(A59 &gt;= Cleaned_Campaign_Metadata!B$2:B$6) *(A59 &lt;= Cleaned_Campaign_Metadata!C$2:C$6),0)),"")</f>
        <v/>
      </c>
      <c r="K59" s="157">
        <v>10541</v>
      </c>
    </row>
    <row r="60" spans="1:11" x14ac:dyDescent="0.3">
      <c r="A60" s="127">
        <v>45544</v>
      </c>
      <c r="B60" s="109" t="s">
        <v>13</v>
      </c>
      <c r="C60" s="161">
        <v>9800</v>
      </c>
      <c r="D60" s="161">
        <v>682</v>
      </c>
      <c r="E60" s="161">
        <v>429929</v>
      </c>
      <c r="F60" s="110">
        <v>6.2966210699906267</v>
      </c>
      <c r="G60" s="111">
        <f t="shared" si="1"/>
        <v>6.2966210699906267E-2</v>
      </c>
      <c r="H60" s="165">
        <v>9118</v>
      </c>
      <c r="I60" s="111">
        <v>2.1208152974095722E-2</v>
      </c>
      <c r="J60" s="108" t="str" cm="1">
        <f t="array" ref="J60">IFERROR(INDEX(Cleaned_Campaign_Metadata!A$2:A$6,MATCH(1,(A60 &gt;= Cleaned_Campaign_Metadata!B$2:B$6) *(A60 &lt;= Cleaned_Campaign_Metadata!C$2:C$6),0)),"")</f>
        <v/>
      </c>
      <c r="K60" s="157">
        <v>59815</v>
      </c>
    </row>
    <row r="61" spans="1:11" x14ac:dyDescent="0.3">
      <c r="A61" s="126">
        <v>45544</v>
      </c>
      <c r="B61" s="106" t="s">
        <v>13</v>
      </c>
      <c r="C61" s="160">
        <v>2638</v>
      </c>
      <c r="D61" s="160">
        <v>143</v>
      </c>
      <c r="E61" s="160">
        <v>432424</v>
      </c>
      <c r="F61" s="107">
        <v>6.9547481175882924</v>
      </c>
      <c r="G61" s="108">
        <f t="shared" si="1"/>
        <v>6.9547481175882928E-2</v>
      </c>
      <c r="H61" s="164">
        <v>2495</v>
      </c>
      <c r="I61" s="108">
        <v>5.7698000111002165E-3</v>
      </c>
      <c r="J61" s="108" t="str" cm="1">
        <f t="array" ref="J61">IFERROR(INDEX(Cleaned_Campaign_Metadata!A$2:A$6,MATCH(1,(A61 &gt;= Cleaned_Campaign_Metadata!B$2:B$6) *(A61 &lt;= Cleaned_Campaign_Metadata!C$2:C$6),0)),"")</f>
        <v/>
      </c>
      <c r="K61" s="156">
        <v>52092</v>
      </c>
    </row>
    <row r="62" spans="1:11" x14ac:dyDescent="0.3">
      <c r="A62" s="126">
        <v>45551</v>
      </c>
      <c r="B62" s="106" t="s">
        <v>17</v>
      </c>
      <c r="C62" s="160">
        <v>2382</v>
      </c>
      <c r="D62" s="160">
        <v>183</v>
      </c>
      <c r="E62" s="160">
        <v>447968</v>
      </c>
      <c r="F62" s="107">
        <v>4.7335970426459033</v>
      </c>
      <c r="G62" s="108">
        <f t="shared" si="1"/>
        <v>4.7335970426459033E-2</v>
      </c>
      <c r="H62" s="164">
        <v>2199</v>
      </c>
      <c r="I62" s="108">
        <v>4.9088327737695546E-3</v>
      </c>
      <c r="J62" s="108" t="str" cm="1">
        <f t="array" ref="J62">IFERROR(INDEX(Cleaned_Campaign_Metadata!A$2:A$6,MATCH(1,(A62 &gt;= Cleaned_Campaign_Metadata!B$2:B$6) *(A62 &lt;= Cleaned_Campaign_Metadata!C$2:C$6),0)),"")</f>
        <v/>
      </c>
      <c r="K62" s="156">
        <v>47861</v>
      </c>
    </row>
    <row r="63" spans="1:11" x14ac:dyDescent="0.3">
      <c r="A63" s="126">
        <v>45551</v>
      </c>
      <c r="B63" s="106" t="s">
        <v>34</v>
      </c>
      <c r="C63" s="160">
        <v>4292</v>
      </c>
      <c r="D63" s="160">
        <v>367</v>
      </c>
      <c r="E63" s="160">
        <v>453977</v>
      </c>
      <c r="F63" s="107">
        <v>3.5037017293827661</v>
      </c>
      <c r="G63" s="108">
        <f t="shared" si="1"/>
        <v>3.503701729382766E-2</v>
      </c>
      <c r="H63" s="164">
        <v>3925</v>
      </c>
      <c r="I63" s="108">
        <v>8.6458124530537899E-3</v>
      </c>
      <c r="J63" s="108" t="str" cm="1">
        <f t="array" ref="J63">IFERROR(INDEX(Cleaned_Campaign_Metadata!A$2:A$6,MATCH(1,(A63 &gt;= Cleaned_Campaign_Metadata!B$2:B$6) *(A63 &lt;= Cleaned_Campaign_Metadata!C$2:C$6),0)),"")</f>
        <v/>
      </c>
      <c r="K63" s="156">
        <v>53934</v>
      </c>
    </row>
    <row r="64" spans="1:11" x14ac:dyDescent="0.3">
      <c r="A64" s="127">
        <v>45551</v>
      </c>
      <c r="B64" s="109" t="s">
        <v>13</v>
      </c>
      <c r="C64" s="161">
        <v>7928</v>
      </c>
      <c r="D64" s="161">
        <v>704</v>
      </c>
      <c r="E64" s="161">
        <v>445769</v>
      </c>
      <c r="F64" s="110">
        <v>11.194362999670229</v>
      </c>
      <c r="G64" s="111">
        <f t="shared" si="1"/>
        <v>0.11194362999670229</v>
      </c>
      <c r="H64" s="165">
        <v>7224</v>
      </c>
      <c r="I64" s="111">
        <v>1.6205702953772022E-2</v>
      </c>
      <c r="J64" s="108" t="str" cm="1">
        <f t="array" ref="J64">IFERROR(INDEX(Cleaned_Campaign_Metadata!A$2:A$6,MATCH(1,(A64 &gt;= Cleaned_Campaign_Metadata!B$2:B$6) *(A64 &lt;= Cleaned_Campaign_Metadata!C$2:C$6),0)),"")</f>
        <v/>
      </c>
      <c r="K64" s="157">
        <v>31817</v>
      </c>
    </row>
    <row r="65" spans="1:11" x14ac:dyDescent="0.3">
      <c r="A65" s="126">
        <v>45551</v>
      </c>
      <c r="B65" s="106" t="s">
        <v>13</v>
      </c>
      <c r="C65" s="160">
        <v>2403</v>
      </c>
      <c r="D65" s="160">
        <v>319</v>
      </c>
      <c r="E65" s="160">
        <v>450052</v>
      </c>
      <c r="F65" s="107">
        <v>29.92120910472568</v>
      </c>
      <c r="G65" s="108">
        <f t="shared" si="1"/>
        <v>0.29921209104725682</v>
      </c>
      <c r="H65" s="164">
        <v>2084</v>
      </c>
      <c r="I65" s="108">
        <v>4.6305760223263092E-3</v>
      </c>
      <c r="J65" s="108" t="str" cm="1">
        <f t="array" ref="J65">IFERROR(INDEX(Cleaned_Campaign_Metadata!A$2:A$6,MATCH(1,(A65 &gt;= Cleaned_Campaign_Metadata!B$2:B$6) *(A65 &lt;= Cleaned_Campaign_Metadata!C$2:C$6),0)),"")</f>
        <v/>
      </c>
      <c r="K65" s="156">
        <v>23428</v>
      </c>
    </row>
    <row r="66" spans="1:11" x14ac:dyDescent="0.3">
      <c r="A66" s="127">
        <v>45558</v>
      </c>
      <c r="B66" s="109" t="s">
        <v>20</v>
      </c>
      <c r="C66" s="161">
        <v>1419</v>
      </c>
      <c r="D66" s="161">
        <v>110</v>
      </c>
      <c r="E66" s="161">
        <v>455286</v>
      </c>
      <c r="F66" s="110">
        <v>31.554451487636339</v>
      </c>
      <c r="G66" s="111">
        <f t="shared" ref="G66:G97" si="2">F66/100</f>
        <v>0.31554451487636337</v>
      </c>
      <c r="H66" s="165">
        <v>1309</v>
      </c>
      <c r="I66" s="111">
        <v>2.8751158612388694E-3</v>
      </c>
      <c r="J66" s="108" t="str" cm="1">
        <f t="array" ref="J66">IFERROR(INDEX(Cleaned_Campaign_Metadata!A$2:A$6,MATCH(1,(A66 &gt;= Cleaned_Campaign_Metadata!B$2:B$6) *(A66 &lt;= Cleaned_Campaign_Metadata!C$2:C$6),0)),"")</f>
        <v/>
      </c>
      <c r="K66" s="157">
        <v>58831</v>
      </c>
    </row>
    <row r="67" spans="1:11" x14ac:dyDescent="0.3">
      <c r="A67" s="126">
        <v>45558</v>
      </c>
      <c r="B67" s="106" t="s">
        <v>20</v>
      </c>
      <c r="C67" s="160">
        <v>4302</v>
      </c>
      <c r="D67" s="160">
        <v>275</v>
      </c>
      <c r="E67" s="160">
        <v>464255</v>
      </c>
      <c r="F67" s="107">
        <v>15.72131694865968</v>
      </c>
      <c r="G67" s="108">
        <f t="shared" si="2"/>
        <v>0.1572131694865968</v>
      </c>
      <c r="H67" s="164">
        <v>4027</v>
      </c>
      <c r="I67" s="108">
        <v>8.6741122874282456E-3</v>
      </c>
      <c r="J67" s="108" t="str" cm="1">
        <f t="array" ref="J67">IFERROR(INDEX(Cleaned_Campaign_Metadata!A$2:A$6,MATCH(1,(A67 &gt;= Cleaned_Campaign_Metadata!B$2:B$6) *(A67 &lt;= Cleaned_Campaign_Metadata!C$2:C$6),0)),"")</f>
        <v/>
      </c>
      <c r="K67" s="156">
        <v>26044</v>
      </c>
    </row>
    <row r="68" spans="1:11" x14ac:dyDescent="0.3">
      <c r="A68" s="127">
        <v>45558</v>
      </c>
      <c r="B68" s="109" t="s">
        <v>20</v>
      </c>
      <c r="C68" s="161">
        <v>8857</v>
      </c>
      <c r="D68" s="161">
        <v>1153</v>
      </c>
      <c r="E68" s="161">
        <v>471959</v>
      </c>
      <c r="F68" s="110">
        <v>19.214592793018038</v>
      </c>
      <c r="G68" s="111">
        <f t="shared" si="2"/>
        <v>0.19214592793018037</v>
      </c>
      <c r="H68" s="165">
        <v>7704</v>
      </c>
      <c r="I68" s="111">
        <v>1.6323451825264481E-2</v>
      </c>
      <c r="J68" s="108" t="str" cm="1">
        <f t="array" ref="J68">IFERROR(INDEX(Cleaned_Campaign_Metadata!A$2:A$6,MATCH(1,(A68 &gt;= Cleaned_Campaign_Metadata!B$2:B$6) *(A68 &lt;= Cleaned_Campaign_Metadata!C$2:C$6),0)),"")</f>
        <v/>
      </c>
      <c r="K68" s="157">
        <v>39411</v>
      </c>
    </row>
    <row r="69" spans="1:11" x14ac:dyDescent="0.3">
      <c r="A69" s="127">
        <v>45558</v>
      </c>
      <c r="B69" s="109" t="s">
        <v>34</v>
      </c>
      <c r="C69" s="161">
        <v>5517</v>
      </c>
      <c r="D69" s="161">
        <v>575</v>
      </c>
      <c r="E69" s="161">
        <v>460228</v>
      </c>
      <c r="F69" s="110">
        <v>29.45844233727631</v>
      </c>
      <c r="G69" s="111">
        <f t="shared" si="2"/>
        <v>0.29458442337276308</v>
      </c>
      <c r="H69" s="165">
        <v>4942</v>
      </c>
      <c r="I69" s="111">
        <v>1.07381558705685E-2</v>
      </c>
      <c r="J69" s="108" t="str" cm="1">
        <f t="array" ref="J69">IFERROR(INDEX(Cleaned_Campaign_Metadata!A$2:A$6,MATCH(1,(A69 &gt;= Cleaned_Campaign_Metadata!B$2:B$6) *(A69 &lt;= Cleaned_Campaign_Metadata!C$2:C$6),0)),"")</f>
        <v/>
      </c>
      <c r="K69" s="157">
        <v>20258</v>
      </c>
    </row>
    <row r="70" spans="1:11" x14ac:dyDescent="0.3">
      <c r="A70" s="126">
        <v>45565</v>
      </c>
      <c r="B70" s="106" t="s">
        <v>20</v>
      </c>
      <c r="C70" s="160">
        <v>8870</v>
      </c>
      <c r="D70" s="160">
        <v>509</v>
      </c>
      <c r="E70" s="160">
        <v>480320</v>
      </c>
      <c r="F70" s="107">
        <v>25.077864756828781</v>
      </c>
      <c r="G70" s="108">
        <f t="shared" si="2"/>
        <v>0.25077864756828783</v>
      </c>
      <c r="H70" s="164">
        <v>8361</v>
      </c>
      <c r="I70" s="108">
        <v>1.7407145236508995E-2</v>
      </c>
      <c r="J70" s="108" t="str" cm="1">
        <f t="array" ref="J70">IFERROR(INDEX(Cleaned_Campaign_Metadata!A$2:A$6,MATCH(1,(A70 &gt;= Cleaned_Campaign_Metadata!B$2:B$6) *(A70 &lt;= Cleaned_Campaign_Metadata!C$2:C$6),0)),"")</f>
        <v/>
      </c>
      <c r="K70" s="156">
        <v>15469</v>
      </c>
    </row>
    <row r="71" spans="1:11" x14ac:dyDescent="0.3">
      <c r="A71" s="127">
        <v>45565</v>
      </c>
      <c r="B71" s="109" t="s">
        <v>20</v>
      </c>
      <c r="C71" s="161">
        <v>1767</v>
      </c>
      <c r="D71" s="161">
        <v>224</v>
      </c>
      <c r="E71" s="161">
        <v>487561</v>
      </c>
      <c r="F71" s="110">
        <v>13.208603641390511</v>
      </c>
      <c r="G71" s="111">
        <f t="shared" si="2"/>
        <v>0.13208603641390509</v>
      </c>
      <c r="H71" s="165">
        <v>1543</v>
      </c>
      <c r="I71" s="111">
        <v>3.1647322078673231E-3</v>
      </c>
      <c r="J71" s="108" t="str" cm="1">
        <f t="array" ref="J71">IFERROR(INDEX(Cleaned_Campaign_Metadata!A$2:A$6,MATCH(1,(A71 &gt;= Cleaned_Campaign_Metadata!B$2:B$6) *(A71 &lt;= Cleaned_Campaign_Metadata!C$2:C$6),0)),"")</f>
        <v/>
      </c>
      <c r="K71" s="157">
        <v>16256</v>
      </c>
    </row>
    <row r="72" spans="1:11" x14ac:dyDescent="0.3">
      <c r="A72" s="126">
        <v>45565</v>
      </c>
      <c r="B72" s="106" t="s">
        <v>34</v>
      </c>
      <c r="C72" s="160">
        <v>6693</v>
      </c>
      <c r="D72" s="160">
        <v>995</v>
      </c>
      <c r="E72" s="160">
        <v>486018</v>
      </c>
      <c r="F72" s="107">
        <v>23.761877132122681</v>
      </c>
      <c r="G72" s="108">
        <f t="shared" si="2"/>
        <v>0.2376187713212268</v>
      </c>
      <c r="H72" s="164">
        <v>5698</v>
      </c>
      <c r="I72" s="108">
        <v>1.1723845618886543E-2</v>
      </c>
      <c r="J72" s="108" t="str" cm="1">
        <f t="array" ref="J72">IFERROR(INDEX(Cleaned_Campaign_Metadata!A$2:A$6,MATCH(1,(A72 &gt;= Cleaned_Campaign_Metadata!B$2:B$6) *(A72 &lt;= Cleaned_Campaign_Metadata!C$2:C$6),0)),"")</f>
        <v/>
      </c>
      <c r="K72" s="156">
        <v>38854</v>
      </c>
    </row>
    <row r="73" spans="1:11" x14ac:dyDescent="0.3">
      <c r="A73" s="127">
        <v>45565</v>
      </c>
      <c r="B73" s="109" t="s">
        <v>34</v>
      </c>
      <c r="C73" s="161">
        <v>3044</v>
      </c>
      <c r="D73" s="161">
        <v>212</v>
      </c>
      <c r="E73" s="161">
        <v>490393</v>
      </c>
      <c r="F73" s="110">
        <v>8.5343795690395261</v>
      </c>
      <c r="G73" s="111">
        <f t="shared" si="2"/>
        <v>8.5343795690395255E-2</v>
      </c>
      <c r="H73" s="165">
        <v>2832</v>
      </c>
      <c r="I73" s="111">
        <v>5.7749600830354431E-3</v>
      </c>
      <c r="J73" s="108" t="str" cm="1">
        <f t="array" ref="J73">IFERROR(INDEX(Cleaned_Campaign_Metadata!A$2:A$6,MATCH(1,(A73 &gt;= Cleaned_Campaign_Metadata!B$2:B$6) *(A73 &lt;= Cleaned_Campaign_Metadata!C$2:C$6),0)),"")</f>
        <v/>
      </c>
      <c r="K73" s="157">
        <v>20720</v>
      </c>
    </row>
    <row r="74" spans="1:11" x14ac:dyDescent="0.3">
      <c r="A74" s="126">
        <v>45572</v>
      </c>
      <c r="B74" s="106" t="s">
        <v>20</v>
      </c>
      <c r="C74" s="160">
        <v>5481</v>
      </c>
      <c r="D74" s="160">
        <v>673</v>
      </c>
      <c r="E74" s="160">
        <v>507970</v>
      </c>
      <c r="F74" s="107">
        <v>13.08758391243577</v>
      </c>
      <c r="G74" s="108">
        <f t="shared" si="2"/>
        <v>0.13087583912435771</v>
      </c>
      <c r="H74" s="164">
        <v>4808</v>
      </c>
      <c r="I74" s="108">
        <v>9.4651258932614123E-3</v>
      </c>
      <c r="J74" s="108" t="str" cm="1">
        <f t="array" ref="J74">IFERROR(INDEX(Cleaned_Campaign_Metadata!A$2:A$6,MATCH(1,(A74 &gt;= Cleaned_Campaign_Metadata!B$2:B$6) *(A74 &lt;= Cleaned_Campaign_Metadata!C$2:C$6),0)),"")</f>
        <v>MacBook Air M3 Campaign</v>
      </c>
      <c r="K74" s="156">
        <v>29194</v>
      </c>
    </row>
    <row r="75" spans="1:11" x14ac:dyDescent="0.3">
      <c r="A75" s="127">
        <v>45572</v>
      </c>
      <c r="B75" s="109" t="s">
        <v>17</v>
      </c>
      <c r="C75" s="161">
        <v>2549</v>
      </c>
      <c r="D75" s="161">
        <v>128</v>
      </c>
      <c r="E75" s="161">
        <v>492814</v>
      </c>
      <c r="F75" s="110">
        <v>12.734216154573531</v>
      </c>
      <c r="G75" s="111">
        <f t="shared" si="2"/>
        <v>0.1273421615457353</v>
      </c>
      <c r="H75" s="165">
        <v>2421</v>
      </c>
      <c r="I75" s="111">
        <v>4.9126039438814641E-3</v>
      </c>
      <c r="J75" s="108" t="str" cm="1">
        <f t="array" ref="J75">IFERROR(INDEX(Cleaned_Campaign_Metadata!A$2:A$6,MATCH(1,(A75 &gt;= Cleaned_Campaign_Metadata!B$2:B$6) *(A75 &lt;= Cleaned_Campaign_Metadata!C$2:C$6),0)),"")</f>
        <v>MacBook Air M3 Campaign</v>
      </c>
      <c r="K75" s="157">
        <v>43937</v>
      </c>
    </row>
    <row r="76" spans="1:11" x14ac:dyDescent="0.3">
      <c r="A76" s="127">
        <v>45572</v>
      </c>
      <c r="B76" s="109" t="s">
        <v>13</v>
      </c>
      <c r="C76" s="161">
        <v>7140</v>
      </c>
      <c r="D76" s="161">
        <v>939</v>
      </c>
      <c r="E76" s="161">
        <v>499015</v>
      </c>
      <c r="F76" s="110">
        <v>25.120888149654821</v>
      </c>
      <c r="G76" s="111">
        <f t="shared" si="2"/>
        <v>0.25120888149654819</v>
      </c>
      <c r="H76" s="165">
        <v>6201</v>
      </c>
      <c r="I76" s="111">
        <v>1.2426480165926877E-2</v>
      </c>
      <c r="J76" s="108" t="str" cm="1">
        <f t="array" ref="J76">IFERROR(INDEX(Cleaned_Campaign_Metadata!A$2:A$6,MATCH(1,(A76 &gt;= Cleaned_Campaign_Metadata!B$2:B$6) *(A76 &lt;= Cleaned_Campaign_Metadata!C$2:C$6),0)),"")</f>
        <v>MacBook Air M3 Campaign</v>
      </c>
      <c r="K76" s="157">
        <v>43598</v>
      </c>
    </row>
    <row r="77" spans="1:11" x14ac:dyDescent="0.3">
      <c r="A77" s="126">
        <v>45572</v>
      </c>
      <c r="B77" s="106" t="s">
        <v>13</v>
      </c>
      <c r="C77" s="160">
        <v>4716</v>
      </c>
      <c r="D77" s="160">
        <v>569</v>
      </c>
      <c r="E77" s="160">
        <v>503162</v>
      </c>
      <c r="F77" s="107">
        <v>25.64820077827817</v>
      </c>
      <c r="G77" s="108">
        <f t="shared" si="2"/>
        <v>0.25648200778278168</v>
      </c>
      <c r="H77" s="164">
        <v>4147</v>
      </c>
      <c r="I77" s="108">
        <v>8.2418783612434963E-3</v>
      </c>
      <c r="J77" s="108" t="str" cm="1">
        <f t="array" ref="J77">IFERROR(INDEX(Cleaned_Campaign_Metadata!A$2:A$6,MATCH(1,(A77 &gt;= Cleaned_Campaign_Metadata!B$2:B$6) *(A77 &lt;= Cleaned_Campaign_Metadata!C$2:C$6),0)),"")</f>
        <v>MacBook Air M3 Campaign</v>
      </c>
      <c r="K77" s="156">
        <v>11651</v>
      </c>
    </row>
    <row r="78" spans="1:11" x14ac:dyDescent="0.3">
      <c r="A78" s="126">
        <v>45579</v>
      </c>
      <c r="B78" s="106" t="s">
        <v>34</v>
      </c>
      <c r="C78" s="160">
        <v>8898</v>
      </c>
      <c r="D78" s="160">
        <v>1131</v>
      </c>
      <c r="E78" s="160">
        <v>515737</v>
      </c>
      <c r="F78" s="107">
        <v>2.1877429775253669</v>
      </c>
      <c r="G78" s="108">
        <f t="shared" si="2"/>
        <v>2.1877429775253671E-2</v>
      </c>
      <c r="H78" s="164">
        <v>7767</v>
      </c>
      <c r="I78" s="108">
        <v>1.5060001512398761E-2</v>
      </c>
      <c r="J78" s="108" t="str" cm="1">
        <f t="array" ref="J78">IFERROR(INDEX(Cleaned_Campaign_Metadata!A$2:A$6,MATCH(1,(A78 &gt;= Cleaned_Campaign_Metadata!B$2:B$6) *(A78 &lt;= Cleaned_Campaign_Metadata!C$2:C$6),0)),"")</f>
        <v>MacBook Air M3 Campaign</v>
      </c>
      <c r="K78" s="156">
        <v>35051</v>
      </c>
    </row>
    <row r="79" spans="1:11" x14ac:dyDescent="0.3">
      <c r="A79" s="127">
        <v>45579</v>
      </c>
      <c r="B79" s="109" t="s">
        <v>34</v>
      </c>
      <c r="C79" s="161">
        <v>3293</v>
      </c>
      <c r="D79" s="161">
        <v>282</v>
      </c>
      <c r="E79" s="161">
        <v>525863</v>
      </c>
      <c r="F79" s="110">
        <v>27.040693108281051</v>
      </c>
      <c r="G79" s="111">
        <f t="shared" si="2"/>
        <v>0.2704069310828105</v>
      </c>
      <c r="H79" s="165">
        <v>3011</v>
      </c>
      <c r="I79" s="111">
        <v>5.7258259280458983E-3</v>
      </c>
      <c r="J79" s="108" t="str" cm="1">
        <f t="array" ref="J79">IFERROR(INDEX(Cleaned_Campaign_Metadata!A$2:A$6,MATCH(1,(A79 &gt;= Cleaned_Campaign_Metadata!B$2:B$6) *(A79 &lt;= Cleaned_Campaign_Metadata!C$2:C$6),0)),"")</f>
        <v>MacBook Air M3 Campaign</v>
      </c>
      <c r="K79" s="157">
        <v>19518</v>
      </c>
    </row>
    <row r="80" spans="1:11" x14ac:dyDescent="0.3">
      <c r="A80" s="126">
        <v>45579</v>
      </c>
      <c r="B80" s="106" t="s">
        <v>34</v>
      </c>
      <c r="C80" s="160">
        <v>5837</v>
      </c>
      <c r="D80" s="160">
        <v>359</v>
      </c>
      <c r="E80" s="160">
        <v>531341</v>
      </c>
      <c r="F80" s="107">
        <v>6.8073045370110723</v>
      </c>
      <c r="G80" s="108">
        <f t="shared" si="2"/>
        <v>6.8073045370110719E-2</v>
      </c>
      <c r="H80" s="164">
        <v>5478</v>
      </c>
      <c r="I80" s="108">
        <v>1.0309763409938251E-2</v>
      </c>
      <c r="J80" s="108" t="str" cm="1">
        <f t="array" ref="J80">IFERROR(INDEX(Cleaned_Campaign_Metadata!A$2:A$6,MATCH(1,(A80 &gt;= Cleaned_Campaign_Metadata!B$2:B$6) *(A80 &lt;= Cleaned_Campaign_Metadata!C$2:C$6),0)),"")</f>
        <v>MacBook Air M3 Campaign</v>
      </c>
      <c r="K80" s="156">
        <v>56026</v>
      </c>
    </row>
    <row r="81" spans="1:11" x14ac:dyDescent="0.3">
      <c r="A81" s="127">
        <v>45579</v>
      </c>
      <c r="B81" s="109" t="s">
        <v>13</v>
      </c>
      <c r="C81" s="161">
        <v>7548</v>
      </c>
      <c r="D81" s="161">
        <v>433</v>
      </c>
      <c r="E81" s="161">
        <v>522852</v>
      </c>
      <c r="F81" s="110">
        <v>8.3562843787534522</v>
      </c>
      <c r="G81" s="111">
        <f t="shared" si="2"/>
        <v>8.3562843787534521E-2</v>
      </c>
      <c r="H81" s="165">
        <v>7115</v>
      </c>
      <c r="I81" s="111">
        <v>1.3608057347012157E-2</v>
      </c>
      <c r="J81" s="108" t="str" cm="1">
        <f t="array" ref="J81">IFERROR(INDEX(Cleaned_Campaign_Metadata!A$2:A$6,MATCH(1,(A81 &gt;= Cleaned_Campaign_Metadata!B$2:B$6) *(A81 &lt;= Cleaned_Campaign_Metadata!C$2:C$6),0)),"")</f>
        <v>MacBook Air M3 Campaign</v>
      </c>
      <c r="K81" s="157">
        <v>37386</v>
      </c>
    </row>
    <row r="82" spans="1:11" x14ac:dyDescent="0.3">
      <c r="A82" s="127">
        <v>45586</v>
      </c>
      <c r="B82" s="109" t="s">
        <v>20</v>
      </c>
      <c r="C82" s="161">
        <v>8758</v>
      </c>
      <c r="D82" s="161">
        <v>1193</v>
      </c>
      <c r="E82" s="161">
        <v>538906</v>
      </c>
      <c r="F82" s="110">
        <v>3.4213758985797149</v>
      </c>
      <c r="G82" s="111">
        <f t="shared" si="2"/>
        <v>3.4213758985797149E-2</v>
      </c>
      <c r="H82" s="165">
        <v>7565</v>
      </c>
      <c r="I82" s="111">
        <v>1.4037698596786824E-2</v>
      </c>
      <c r="J82" s="108" t="str" cm="1">
        <f t="array" ref="J82">IFERROR(INDEX(Cleaned_Campaign_Metadata!A$2:A$6,MATCH(1,(A82 &gt;= Cleaned_Campaign_Metadata!B$2:B$6) *(A82 &lt;= Cleaned_Campaign_Metadata!C$2:C$6),0)),"")</f>
        <v>MacBook Air M3 Campaign</v>
      </c>
      <c r="K82" s="157">
        <v>26184</v>
      </c>
    </row>
    <row r="83" spans="1:11" x14ac:dyDescent="0.3">
      <c r="A83" s="126">
        <v>45586</v>
      </c>
      <c r="B83" s="106" t="s">
        <v>20</v>
      </c>
      <c r="C83" s="160">
        <v>8638</v>
      </c>
      <c r="D83" s="160">
        <v>717</v>
      </c>
      <c r="E83" s="160">
        <v>553745</v>
      </c>
      <c r="F83" s="107">
        <v>26.921416897669499</v>
      </c>
      <c r="G83" s="108">
        <f t="shared" si="2"/>
        <v>0.26921416897669498</v>
      </c>
      <c r="H83" s="164">
        <v>7921</v>
      </c>
      <c r="I83" s="108">
        <v>1.4304418098583283E-2</v>
      </c>
      <c r="J83" s="108" t="str" cm="1">
        <f t="array" ref="J83">IFERROR(INDEX(Cleaned_Campaign_Metadata!A$2:A$6,MATCH(1,(A83 &gt;= Cleaned_Campaign_Metadata!B$2:B$6) *(A83 &lt;= Cleaned_Campaign_Metadata!C$2:C$6),0)),"")</f>
        <v>MacBook Air M3 Campaign</v>
      </c>
      <c r="K83" s="156">
        <v>31621</v>
      </c>
    </row>
    <row r="84" spans="1:11" x14ac:dyDescent="0.3">
      <c r="A84" s="127">
        <v>45586</v>
      </c>
      <c r="B84" s="109" t="s">
        <v>20</v>
      </c>
      <c r="C84" s="161">
        <v>8993</v>
      </c>
      <c r="D84" s="161">
        <v>506</v>
      </c>
      <c r="E84" s="161">
        <v>562232</v>
      </c>
      <c r="F84" s="110">
        <v>3.5131404829323132</v>
      </c>
      <c r="G84" s="111">
        <f t="shared" si="2"/>
        <v>3.5131404829323129E-2</v>
      </c>
      <c r="H84" s="165">
        <v>8487</v>
      </c>
      <c r="I84" s="111">
        <v>1.509519202037593E-2</v>
      </c>
      <c r="J84" s="108" t="str" cm="1">
        <f t="array" ref="J84">IFERROR(INDEX(Cleaned_Campaign_Metadata!A$2:A$6,MATCH(1,(A84 &gt;= Cleaned_Campaign_Metadata!B$2:B$6) *(A84 &lt;= Cleaned_Campaign_Metadata!C$2:C$6),0)),"")</f>
        <v>MacBook Air M3 Campaign</v>
      </c>
      <c r="K84" s="157">
        <v>20028</v>
      </c>
    </row>
    <row r="85" spans="1:11" x14ac:dyDescent="0.3">
      <c r="A85" s="126">
        <v>45586</v>
      </c>
      <c r="B85" s="106" t="s">
        <v>13</v>
      </c>
      <c r="C85" s="160">
        <v>7793</v>
      </c>
      <c r="D85" s="160">
        <v>875</v>
      </c>
      <c r="E85" s="160">
        <v>545824</v>
      </c>
      <c r="F85" s="107">
        <v>5.5136820660139527</v>
      </c>
      <c r="G85" s="108">
        <f t="shared" si="2"/>
        <v>5.5136820660139529E-2</v>
      </c>
      <c r="H85" s="164">
        <v>6918</v>
      </c>
      <c r="I85" s="108">
        <v>1.267441519610717E-2</v>
      </c>
      <c r="J85" s="108" t="str" cm="1">
        <f t="array" ref="J85">IFERROR(INDEX(Cleaned_Campaign_Metadata!A$2:A$6,MATCH(1,(A85 &gt;= Cleaned_Campaign_Metadata!B$2:B$6) *(A85 &lt;= Cleaned_Campaign_Metadata!C$2:C$6),0)),"")</f>
        <v>MacBook Air M3 Campaign</v>
      </c>
      <c r="K85" s="156">
        <v>43787</v>
      </c>
    </row>
    <row r="86" spans="1:11" x14ac:dyDescent="0.3">
      <c r="A86" s="126">
        <v>45593</v>
      </c>
      <c r="B86" s="106" t="s">
        <v>17</v>
      </c>
      <c r="C86" s="160">
        <v>7356</v>
      </c>
      <c r="D86" s="160">
        <v>904</v>
      </c>
      <c r="E86" s="160">
        <v>581126</v>
      </c>
      <c r="F86" s="107">
        <v>17.560907617280929</v>
      </c>
      <c r="G86" s="108">
        <f t="shared" si="2"/>
        <v>0.1756090761728093</v>
      </c>
      <c r="H86" s="164">
        <v>6452</v>
      </c>
      <c r="I86" s="108">
        <v>1.1102583604932494E-2</v>
      </c>
      <c r="J86" s="108" t="str" cm="1">
        <f t="array" ref="J86">IFERROR(INDEX(Cleaned_Campaign_Metadata!A$2:A$6,MATCH(1,(A86 &gt;= Cleaned_Campaign_Metadata!B$2:B$6) *(A86 &lt;= Cleaned_Campaign_Metadata!C$2:C$6),0)),"")</f>
        <v>MacBook Air M3 Campaign</v>
      </c>
      <c r="K86" s="156">
        <v>44051</v>
      </c>
    </row>
    <row r="87" spans="1:11" x14ac:dyDescent="0.3">
      <c r="A87" s="127">
        <v>45593</v>
      </c>
      <c r="B87" s="109" t="s">
        <v>17</v>
      </c>
      <c r="C87" s="161">
        <v>9433</v>
      </c>
      <c r="D87" s="161">
        <v>1073</v>
      </c>
      <c r="E87" s="161">
        <v>589486</v>
      </c>
      <c r="F87" s="110">
        <v>7.2934726185185053</v>
      </c>
      <c r="G87" s="111">
        <f t="shared" si="2"/>
        <v>7.2934726185185053E-2</v>
      </c>
      <c r="H87" s="165">
        <v>8360</v>
      </c>
      <c r="I87" s="111">
        <v>1.4181846557848703E-2</v>
      </c>
      <c r="J87" s="108" t="str" cm="1">
        <f t="array" ref="J87">IFERROR(INDEX(Cleaned_Campaign_Metadata!A$2:A$6,MATCH(1,(A87 &gt;= Cleaned_Campaign_Metadata!B$2:B$6) *(A87 &lt;= Cleaned_Campaign_Metadata!C$2:C$6),0)),"")</f>
        <v>MacBook Air M3 Campaign</v>
      </c>
      <c r="K87" s="157">
        <v>59811</v>
      </c>
    </row>
    <row r="88" spans="1:11" x14ac:dyDescent="0.3">
      <c r="A88" s="127">
        <v>45593</v>
      </c>
      <c r="B88" s="109" t="s">
        <v>13</v>
      </c>
      <c r="C88" s="161">
        <v>7007</v>
      </c>
      <c r="D88" s="161">
        <v>568</v>
      </c>
      <c r="E88" s="161">
        <v>568671</v>
      </c>
      <c r="F88" s="110">
        <v>11.50507059442103</v>
      </c>
      <c r="G88" s="111">
        <f t="shared" si="2"/>
        <v>0.1150507059442103</v>
      </c>
      <c r="H88" s="165">
        <v>6439</v>
      </c>
      <c r="I88" s="111">
        <v>1.1322891443382905E-2</v>
      </c>
      <c r="J88" s="108" t="str" cm="1">
        <f t="array" ref="J88">IFERROR(INDEX(Cleaned_Campaign_Metadata!A$2:A$6,MATCH(1,(A88 &gt;= Cleaned_Campaign_Metadata!B$2:B$6) *(A88 &lt;= Cleaned_Campaign_Metadata!C$2:C$6),0)),"")</f>
        <v>MacBook Air M3 Campaign</v>
      </c>
      <c r="K88" s="157">
        <v>22448</v>
      </c>
    </row>
    <row r="89" spans="1:11" x14ac:dyDescent="0.3">
      <c r="A89" s="126">
        <v>45593</v>
      </c>
      <c r="B89" s="106" t="s">
        <v>13</v>
      </c>
      <c r="C89" s="160">
        <v>6542</v>
      </c>
      <c r="D89" s="160">
        <v>539</v>
      </c>
      <c r="E89" s="160">
        <v>574674</v>
      </c>
      <c r="F89" s="107">
        <v>6.4069368024305948</v>
      </c>
      <c r="G89" s="108">
        <f t="shared" si="2"/>
        <v>6.4069368024305948E-2</v>
      </c>
      <c r="H89" s="164">
        <v>6003</v>
      </c>
      <c r="I89" s="108">
        <v>1.0445922383821088E-2</v>
      </c>
      <c r="J89" s="108" t="str" cm="1">
        <f t="array" ref="J89">IFERROR(INDEX(Cleaned_Campaign_Metadata!A$2:A$6,MATCH(1,(A89 &gt;= Cleaned_Campaign_Metadata!B$2:B$6) *(A89 &lt;= Cleaned_Campaign_Metadata!C$2:C$6),0)),"")</f>
        <v>MacBook Air M3 Campaign</v>
      </c>
      <c r="K89" s="156">
        <v>55253</v>
      </c>
    </row>
    <row r="90" spans="1:11" x14ac:dyDescent="0.3">
      <c r="A90" s="126">
        <v>45600</v>
      </c>
      <c r="B90" s="106" t="s">
        <v>17</v>
      </c>
      <c r="C90" s="160">
        <v>5268</v>
      </c>
      <c r="D90" s="160">
        <v>326</v>
      </c>
      <c r="E90" s="160">
        <v>604702</v>
      </c>
      <c r="F90" s="107">
        <v>23.435841125050029</v>
      </c>
      <c r="G90" s="108">
        <f t="shared" si="2"/>
        <v>0.23435841125050028</v>
      </c>
      <c r="H90" s="164">
        <v>4942</v>
      </c>
      <c r="I90" s="108">
        <v>8.1726205635172366E-3</v>
      </c>
      <c r="J90" s="108" t="str" cm="1">
        <f t="array" ref="J90">IFERROR(INDEX(Cleaned_Campaign_Metadata!A$2:A$6,MATCH(1,(A90 &gt;= Cleaned_Campaign_Metadata!B$2:B$6) *(A90 &lt;= Cleaned_Campaign_Metadata!C$2:C$6),0)),"")</f>
        <v/>
      </c>
      <c r="K90" s="156">
        <v>44501</v>
      </c>
    </row>
    <row r="91" spans="1:11" x14ac:dyDescent="0.3">
      <c r="A91" s="127">
        <v>45600</v>
      </c>
      <c r="B91" s="109" t="s">
        <v>34</v>
      </c>
      <c r="C91" s="161">
        <v>8380</v>
      </c>
      <c r="D91" s="161">
        <v>1162</v>
      </c>
      <c r="E91" s="161">
        <v>596704</v>
      </c>
      <c r="F91" s="110">
        <v>18.05853488496809</v>
      </c>
      <c r="G91" s="111">
        <f t="shared" si="2"/>
        <v>0.18058534884968089</v>
      </c>
      <c r="H91" s="165">
        <v>7218</v>
      </c>
      <c r="I91" s="111">
        <v>1.2096449831072022E-2</v>
      </c>
      <c r="J91" s="108" t="str" cm="1">
        <f t="array" ref="J91">IFERROR(INDEX(Cleaned_Campaign_Metadata!A$2:A$6,MATCH(1,(A91 &gt;= Cleaned_Campaign_Metadata!B$2:B$6) *(A91 &lt;= Cleaned_Campaign_Metadata!C$2:C$6),0)),"")</f>
        <v/>
      </c>
      <c r="K91" s="157">
        <v>40447</v>
      </c>
    </row>
    <row r="92" spans="1:11" x14ac:dyDescent="0.3">
      <c r="A92" s="126">
        <v>45600</v>
      </c>
      <c r="B92" s="106" t="s">
        <v>34</v>
      </c>
      <c r="C92" s="160">
        <v>1671</v>
      </c>
      <c r="D92" s="160">
        <v>202</v>
      </c>
      <c r="E92" s="160">
        <v>606171</v>
      </c>
      <c r="F92" s="107">
        <v>15.150015424690389</v>
      </c>
      <c r="G92" s="108">
        <f t="shared" si="2"/>
        <v>0.15150015424690388</v>
      </c>
      <c r="H92" s="164">
        <v>1469</v>
      </c>
      <c r="I92" s="108">
        <v>2.4234085761278583E-3</v>
      </c>
      <c r="J92" s="108" t="str" cm="1">
        <f t="array" ref="J92">IFERROR(INDEX(Cleaned_Campaign_Metadata!A$2:A$6,MATCH(1,(A92 &gt;= Cleaned_Campaign_Metadata!B$2:B$6) *(A92 &lt;= Cleaned_Campaign_Metadata!C$2:C$6),0)),"")</f>
        <v/>
      </c>
      <c r="K92" s="156">
        <v>40254</v>
      </c>
    </row>
    <row r="93" spans="1:11" x14ac:dyDescent="0.3">
      <c r="A93" s="127">
        <v>45600</v>
      </c>
      <c r="B93" s="109" t="s">
        <v>13</v>
      </c>
      <c r="C93" s="161">
        <v>3385</v>
      </c>
      <c r="D93" s="161">
        <v>329</v>
      </c>
      <c r="E93" s="161">
        <v>599760</v>
      </c>
      <c r="F93" s="110">
        <v>17.61788048552755</v>
      </c>
      <c r="G93" s="111">
        <f t="shared" si="2"/>
        <v>0.17617880485527551</v>
      </c>
      <c r="H93" s="165">
        <v>3056</v>
      </c>
      <c r="I93" s="111">
        <v>5.0953714819261036E-3</v>
      </c>
      <c r="J93" s="108" t="str" cm="1">
        <f t="array" ref="J93">IFERROR(INDEX(Cleaned_Campaign_Metadata!A$2:A$6,MATCH(1,(A93 &gt;= Cleaned_Campaign_Metadata!B$2:B$6) *(A93 &lt;= Cleaned_Campaign_Metadata!C$2:C$6),0)),"")</f>
        <v/>
      </c>
      <c r="K93" s="157">
        <v>28394</v>
      </c>
    </row>
    <row r="94" spans="1:11" x14ac:dyDescent="0.3">
      <c r="A94" s="127">
        <v>45607</v>
      </c>
      <c r="B94" s="109" t="s">
        <v>17</v>
      </c>
      <c r="C94" s="161">
        <v>5592</v>
      </c>
      <c r="D94" s="161">
        <v>710</v>
      </c>
      <c r="E94" s="161">
        <v>620702</v>
      </c>
      <c r="F94" s="110">
        <v>9.07118069540617</v>
      </c>
      <c r="G94" s="111">
        <f t="shared" si="2"/>
        <v>9.0711806954061697E-2</v>
      </c>
      <c r="H94" s="165">
        <v>4882</v>
      </c>
      <c r="I94" s="111">
        <v>7.8652880126050834E-3</v>
      </c>
      <c r="J94" s="108" t="str" cm="1">
        <f t="array" ref="J94">IFERROR(INDEX(Cleaned_Campaign_Metadata!A$2:A$6,MATCH(1,(A94 &gt;= Cleaned_Campaign_Metadata!B$2:B$6) *(A94 &lt;= Cleaned_Campaign_Metadata!C$2:C$6),0)),"")</f>
        <v/>
      </c>
      <c r="K94" s="157">
        <v>24472</v>
      </c>
    </row>
    <row r="95" spans="1:11" x14ac:dyDescent="0.3">
      <c r="A95" s="127">
        <v>45607</v>
      </c>
      <c r="B95" s="109" t="s">
        <v>34</v>
      </c>
      <c r="C95" s="161">
        <v>1163</v>
      </c>
      <c r="D95" s="161">
        <v>146</v>
      </c>
      <c r="E95" s="161">
        <v>607188</v>
      </c>
      <c r="F95" s="110">
        <v>21.77776899411715</v>
      </c>
      <c r="G95" s="111">
        <f t="shared" si="2"/>
        <v>0.2177776899411715</v>
      </c>
      <c r="H95" s="165">
        <v>1017</v>
      </c>
      <c r="I95" s="111">
        <v>1.6749342872388782E-3</v>
      </c>
      <c r="J95" s="108" t="str" cm="1">
        <f t="array" ref="J95">IFERROR(INDEX(Cleaned_Campaign_Metadata!A$2:A$6,MATCH(1,(A95 &gt;= Cleaned_Campaign_Metadata!B$2:B$6) *(A95 &lt;= Cleaned_Campaign_Metadata!C$2:C$6),0)),"")</f>
        <v/>
      </c>
      <c r="K95" s="157">
        <v>28509</v>
      </c>
    </row>
    <row r="96" spans="1:11" x14ac:dyDescent="0.3">
      <c r="A96" s="126">
        <v>45607</v>
      </c>
      <c r="B96" s="106" t="s">
        <v>34</v>
      </c>
      <c r="C96" s="160">
        <v>9656</v>
      </c>
      <c r="D96" s="160">
        <v>1024</v>
      </c>
      <c r="E96" s="160">
        <v>615820</v>
      </c>
      <c r="F96" s="107">
        <v>8.7252768666168681</v>
      </c>
      <c r="G96" s="108">
        <f t="shared" si="2"/>
        <v>8.7252768666168684E-2</v>
      </c>
      <c r="H96" s="164">
        <v>8632</v>
      </c>
      <c r="I96" s="108">
        <v>1.401708291383846E-2</v>
      </c>
      <c r="J96" s="108" t="str" cm="1">
        <f t="array" ref="J96">IFERROR(INDEX(Cleaned_Campaign_Metadata!A$2:A$6,MATCH(1,(A96 &gt;= Cleaned_Campaign_Metadata!B$2:B$6) *(A96 &lt;= Cleaned_Campaign_Metadata!C$2:C$6),0)),"")</f>
        <v/>
      </c>
      <c r="K96" s="156">
        <v>58998</v>
      </c>
    </row>
    <row r="97" spans="1:11" x14ac:dyDescent="0.3">
      <c r="A97" s="126">
        <v>45607</v>
      </c>
      <c r="B97" s="106" t="s">
        <v>13</v>
      </c>
      <c r="C97" s="160">
        <v>5795</v>
      </c>
      <c r="D97" s="160">
        <v>575</v>
      </c>
      <c r="E97" s="160">
        <v>625922</v>
      </c>
      <c r="F97" s="107">
        <v>3.0908004511744269</v>
      </c>
      <c r="G97" s="108">
        <f t="shared" si="2"/>
        <v>3.0908004511744268E-2</v>
      </c>
      <c r="H97" s="164">
        <v>5220</v>
      </c>
      <c r="I97" s="108">
        <v>8.3396972785746461E-3</v>
      </c>
      <c r="J97" s="108" t="str" cm="1">
        <f t="array" ref="J97">IFERROR(INDEX(Cleaned_Campaign_Metadata!A$2:A$6,MATCH(1,(A97 &gt;= Cleaned_Campaign_Metadata!B$2:B$6) *(A97 &lt;= Cleaned_Campaign_Metadata!C$2:C$6),0)),"")</f>
        <v/>
      </c>
      <c r="K97" s="156">
        <v>55657</v>
      </c>
    </row>
    <row r="98" spans="1:11" x14ac:dyDescent="0.3">
      <c r="A98" s="126">
        <v>45614</v>
      </c>
      <c r="B98" s="106" t="s">
        <v>20</v>
      </c>
      <c r="C98" s="160">
        <v>5798</v>
      </c>
      <c r="D98" s="160">
        <v>592</v>
      </c>
      <c r="E98" s="160">
        <v>631128</v>
      </c>
      <c r="F98" s="107">
        <v>1.6774727155188811</v>
      </c>
      <c r="G98" s="108">
        <f t="shared" ref="G98:G129" si="3">F98/100</f>
        <v>1.6774727155188809E-2</v>
      </c>
      <c r="H98" s="164">
        <v>5206</v>
      </c>
      <c r="I98" s="108">
        <v>8.2487229214992831E-3</v>
      </c>
      <c r="J98" s="108" t="str" cm="1">
        <f t="array" ref="J98">IFERROR(INDEX(Cleaned_Campaign_Metadata!A$2:A$6,MATCH(1,(A98 &gt;= Cleaned_Campaign_Metadata!B$2:B$6) *(A98 &lt;= Cleaned_Campaign_Metadata!C$2:C$6),0)),"")</f>
        <v/>
      </c>
      <c r="K98" s="156">
        <v>13471</v>
      </c>
    </row>
    <row r="99" spans="1:11" x14ac:dyDescent="0.3">
      <c r="A99" s="126">
        <v>45614</v>
      </c>
      <c r="B99" s="106" t="s">
        <v>17</v>
      </c>
      <c r="C99" s="160">
        <v>3355</v>
      </c>
      <c r="D99" s="160">
        <v>176</v>
      </c>
      <c r="E99" s="160">
        <v>640691</v>
      </c>
      <c r="F99" s="107">
        <v>12.426427091999111</v>
      </c>
      <c r="G99" s="108">
        <f t="shared" si="3"/>
        <v>0.12426427091999111</v>
      </c>
      <c r="H99" s="164">
        <v>3179</v>
      </c>
      <c r="I99" s="108">
        <v>4.9618302738761748E-3</v>
      </c>
      <c r="J99" s="108" t="str" cm="1">
        <f t="array" ref="J99">IFERROR(INDEX(Cleaned_Campaign_Metadata!A$2:A$6,MATCH(1,(A99 &gt;= Cleaned_Campaign_Metadata!B$2:B$6) *(A99 &lt;= Cleaned_Campaign_Metadata!C$2:C$6),0)),"")</f>
        <v/>
      </c>
      <c r="K99" s="156">
        <v>40268</v>
      </c>
    </row>
    <row r="100" spans="1:11" x14ac:dyDescent="0.3">
      <c r="A100" s="127">
        <v>45614</v>
      </c>
      <c r="B100" s="109" t="s">
        <v>17</v>
      </c>
      <c r="C100" s="161">
        <v>6887</v>
      </c>
      <c r="D100" s="161">
        <v>418</v>
      </c>
      <c r="E100" s="161">
        <v>647160</v>
      </c>
      <c r="F100" s="110">
        <v>20.240280610668151</v>
      </c>
      <c r="G100" s="111">
        <f t="shared" si="3"/>
        <v>0.20240280610668152</v>
      </c>
      <c r="H100" s="165">
        <v>6469</v>
      </c>
      <c r="I100" s="111">
        <v>9.9959824463811114E-3</v>
      </c>
      <c r="J100" s="108" t="str" cm="1">
        <f t="array" ref="J100">IFERROR(INDEX(Cleaned_Campaign_Metadata!A$2:A$6,MATCH(1,(A100 &gt;= Cleaned_Campaign_Metadata!B$2:B$6) *(A100 &lt;= Cleaned_Campaign_Metadata!C$2:C$6),0)),"")</f>
        <v/>
      </c>
      <c r="K100" s="157">
        <v>18329</v>
      </c>
    </row>
    <row r="101" spans="1:11" x14ac:dyDescent="0.3">
      <c r="A101" s="127">
        <v>45614</v>
      </c>
      <c r="B101" s="109" t="s">
        <v>34</v>
      </c>
      <c r="C101" s="161">
        <v>7036</v>
      </c>
      <c r="D101" s="161">
        <v>652</v>
      </c>
      <c r="E101" s="161">
        <v>637512</v>
      </c>
      <c r="F101" s="110">
        <v>3.5705994553828009</v>
      </c>
      <c r="G101" s="111">
        <f t="shared" si="3"/>
        <v>3.5705994553828009E-2</v>
      </c>
      <c r="H101" s="165">
        <v>6384</v>
      </c>
      <c r="I101" s="111">
        <v>1.0013929149568949E-2</v>
      </c>
      <c r="J101" s="108" t="str" cm="1">
        <f t="array" ref="J101">IFERROR(INDEX(Cleaned_Campaign_Metadata!A$2:A$6,MATCH(1,(A101 &gt;= Cleaned_Campaign_Metadata!B$2:B$6) *(A101 &lt;= Cleaned_Campaign_Metadata!C$2:C$6),0)),"")</f>
        <v/>
      </c>
      <c r="K101" s="157">
        <v>51796</v>
      </c>
    </row>
    <row r="102" spans="1:11" x14ac:dyDescent="0.3">
      <c r="A102" s="127">
        <v>45621</v>
      </c>
      <c r="B102" s="109" t="s">
        <v>20</v>
      </c>
      <c r="C102" s="161">
        <v>8961</v>
      </c>
      <c r="D102" s="161">
        <v>476</v>
      </c>
      <c r="E102" s="161">
        <v>655645</v>
      </c>
      <c r="F102" s="110">
        <v>15.458517947974901</v>
      </c>
      <c r="G102" s="111">
        <f t="shared" si="3"/>
        <v>0.15458517947974901</v>
      </c>
      <c r="H102" s="165">
        <v>8485</v>
      </c>
      <c r="I102" s="111">
        <v>1.2941454598143812E-2</v>
      </c>
      <c r="J102" s="108" t="str" cm="1">
        <f t="array" ref="J102">IFERROR(INDEX(Cleaned_Campaign_Metadata!A$2:A$6,MATCH(1,(A102 &gt;= Cleaned_Campaign_Metadata!B$2:B$6) *(A102 &lt;= Cleaned_Campaign_Metadata!C$2:C$6),0)),"")</f>
        <v/>
      </c>
      <c r="K102" s="157">
        <v>44865</v>
      </c>
    </row>
    <row r="103" spans="1:11" x14ac:dyDescent="0.3">
      <c r="A103" s="126">
        <v>45621</v>
      </c>
      <c r="B103" s="106" t="s">
        <v>20</v>
      </c>
      <c r="C103" s="160">
        <v>6827</v>
      </c>
      <c r="D103" s="160">
        <v>775</v>
      </c>
      <c r="E103" s="160">
        <v>661697</v>
      </c>
      <c r="F103" s="107">
        <v>15.96622018839439</v>
      </c>
      <c r="G103" s="108">
        <f t="shared" si="3"/>
        <v>0.15966220188394389</v>
      </c>
      <c r="H103" s="164">
        <v>6052</v>
      </c>
      <c r="I103" s="108">
        <v>9.1461802003031598E-3</v>
      </c>
      <c r="J103" s="108" t="str" cm="1">
        <f t="array" ref="J103">IFERROR(INDEX(Cleaned_Campaign_Metadata!A$2:A$6,MATCH(1,(A103 &gt;= Cleaned_Campaign_Metadata!B$2:B$6) *(A103 &lt;= Cleaned_Campaign_Metadata!C$2:C$6),0)),"")</f>
        <v/>
      </c>
      <c r="K103" s="156">
        <v>56850</v>
      </c>
    </row>
    <row r="104" spans="1:11" x14ac:dyDescent="0.3">
      <c r="A104" s="126">
        <v>45621</v>
      </c>
      <c r="B104" s="106" t="s">
        <v>17</v>
      </c>
      <c r="C104" s="160">
        <v>9737</v>
      </c>
      <c r="D104" s="160">
        <v>792</v>
      </c>
      <c r="E104" s="160">
        <v>670642</v>
      </c>
      <c r="F104" s="107">
        <v>5.301785453341723</v>
      </c>
      <c r="G104" s="108">
        <f t="shared" si="3"/>
        <v>5.301785453341723E-2</v>
      </c>
      <c r="H104" s="164">
        <v>8945</v>
      </c>
      <c r="I104" s="108">
        <v>1.3337965710468476E-2</v>
      </c>
      <c r="J104" s="108" t="str" cm="1">
        <f t="array" ref="J104">IFERROR(INDEX(Cleaned_Campaign_Metadata!A$2:A$6,MATCH(1,(A104 &gt;= Cleaned_Campaign_Metadata!B$2:B$6) *(A104 &lt;= Cleaned_Campaign_Metadata!C$2:C$6),0)),"")</f>
        <v/>
      </c>
      <c r="K104" s="156">
        <v>56698</v>
      </c>
    </row>
    <row r="105" spans="1:11" x14ac:dyDescent="0.3">
      <c r="A105" s="127">
        <v>45621</v>
      </c>
      <c r="B105" s="109" t="s">
        <v>13</v>
      </c>
      <c r="C105" s="161">
        <v>5719</v>
      </c>
      <c r="D105" s="161">
        <v>576</v>
      </c>
      <c r="E105" s="161">
        <v>675785</v>
      </c>
      <c r="F105" s="110">
        <v>10.21656296011305</v>
      </c>
      <c r="G105" s="111">
        <f t="shared" si="3"/>
        <v>0.1021656296011305</v>
      </c>
      <c r="H105" s="165">
        <v>5143</v>
      </c>
      <c r="I105" s="111">
        <v>7.6104086358827145E-3</v>
      </c>
      <c r="J105" s="108" t="str" cm="1">
        <f t="array" ref="J105">IFERROR(INDEX(Cleaned_Campaign_Metadata!A$2:A$6,MATCH(1,(A105 &gt;= Cleaned_Campaign_Metadata!B$2:B$6) *(A105 &lt;= Cleaned_Campaign_Metadata!C$2:C$6),0)),"")</f>
        <v/>
      </c>
      <c r="K105" s="157">
        <v>38272</v>
      </c>
    </row>
    <row r="106" spans="1:11" x14ac:dyDescent="0.3">
      <c r="A106" s="127">
        <v>45628</v>
      </c>
      <c r="B106" s="109" t="s">
        <v>20</v>
      </c>
      <c r="C106" s="161">
        <v>1593</v>
      </c>
      <c r="D106" s="161">
        <v>224</v>
      </c>
      <c r="E106" s="161">
        <v>677154</v>
      </c>
      <c r="F106" s="110">
        <v>4.1495730660972248</v>
      </c>
      <c r="G106" s="111">
        <f t="shared" si="3"/>
        <v>4.1495730660972251E-2</v>
      </c>
      <c r="H106" s="165">
        <v>1369</v>
      </c>
      <c r="I106" s="111">
        <v>2.0216966893793729E-3</v>
      </c>
      <c r="J106" s="108" t="str" cm="1">
        <f t="array" ref="J106">IFERROR(INDEX(Cleaned_Campaign_Metadata!A$2:A$6,MATCH(1,(A106 &gt;= Cleaned_Campaign_Metadata!B$2:B$6) *(A106 &lt;= Cleaned_Campaign_Metadata!C$2:C$6),0)),"")</f>
        <v/>
      </c>
      <c r="K106" s="157">
        <v>52845</v>
      </c>
    </row>
    <row r="107" spans="1:11" x14ac:dyDescent="0.3">
      <c r="A107" s="126">
        <v>45628</v>
      </c>
      <c r="B107" s="106" t="s">
        <v>20</v>
      </c>
      <c r="C107" s="160">
        <v>8394</v>
      </c>
      <c r="D107" s="160">
        <v>764</v>
      </c>
      <c r="E107" s="160">
        <v>690186</v>
      </c>
      <c r="F107" s="107">
        <v>6.3556780346167558</v>
      </c>
      <c r="G107" s="108">
        <f t="shared" si="3"/>
        <v>6.355678034616756E-2</v>
      </c>
      <c r="H107" s="164">
        <v>7630</v>
      </c>
      <c r="I107" s="108">
        <v>1.1054990973447738E-2</v>
      </c>
      <c r="J107" s="108" t="str" cm="1">
        <f t="array" ref="J107">IFERROR(INDEX(Cleaned_Campaign_Metadata!A$2:A$6,MATCH(1,(A107 &gt;= Cleaned_Campaign_Metadata!B$2:B$6) *(A107 &lt;= Cleaned_Campaign_Metadata!C$2:C$6),0)),"")</f>
        <v/>
      </c>
      <c r="K107" s="156">
        <v>42373</v>
      </c>
    </row>
    <row r="108" spans="1:11" x14ac:dyDescent="0.3">
      <c r="A108" s="127">
        <v>45628</v>
      </c>
      <c r="B108" s="109" t="s">
        <v>17</v>
      </c>
      <c r="C108" s="161">
        <v>5839</v>
      </c>
      <c r="D108" s="161">
        <v>437</v>
      </c>
      <c r="E108" s="161">
        <v>682556</v>
      </c>
      <c r="F108" s="110">
        <v>17.44750613869045</v>
      </c>
      <c r="G108" s="111">
        <f t="shared" si="3"/>
        <v>0.1744750613869045</v>
      </c>
      <c r="H108" s="165">
        <v>5402</v>
      </c>
      <c r="I108" s="111">
        <v>7.9143689309009082E-3</v>
      </c>
      <c r="J108" s="108" t="str" cm="1">
        <f t="array" ref="J108">IFERROR(INDEX(Cleaned_Campaign_Metadata!A$2:A$6,MATCH(1,(A108 &gt;= Cleaned_Campaign_Metadata!B$2:B$6) *(A108 &lt;= Cleaned_Campaign_Metadata!C$2:C$6),0)),"")</f>
        <v/>
      </c>
      <c r="K108" s="157">
        <v>16397</v>
      </c>
    </row>
    <row r="109" spans="1:11" x14ac:dyDescent="0.3">
      <c r="A109" s="126">
        <v>45628</v>
      </c>
      <c r="B109" s="106" t="s">
        <v>13</v>
      </c>
      <c r="C109" s="160">
        <v>4493</v>
      </c>
      <c r="D109" s="160">
        <v>564</v>
      </c>
      <c r="E109" s="160">
        <v>694115</v>
      </c>
      <c r="F109" s="107">
        <v>16.625487131094989</v>
      </c>
      <c r="G109" s="108">
        <f t="shared" si="3"/>
        <v>0.16625487131094988</v>
      </c>
      <c r="H109" s="164">
        <v>3929</v>
      </c>
      <c r="I109" s="108">
        <v>5.660445315257558E-3</v>
      </c>
      <c r="J109" s="108" t="str" cm="1">
        <f t="array" ref="J109">IFERROR(INDEX(Cleaned_Campaign_Metadata!A$2:A$6,MATCH(1,(A109 &gt;= Cleaned_Campaign_Metadata!B$2:B$6) *(A109 &lt;= Cleaned_Campaign_Metadata!C$2:C$6),0)),"")</f>
        <v/>
      </c>
      <c r="K109" s="156">
        <v>45525</v>
      </c>
    </row>
    <row r="110" spans="1:11" x14ac:dyDescent="0.3">
      <c r="A110" s="127">
        <v>45635</v>
      </c>
      <c r="B110" s="109" t="s">
        <v>20</v>
      </c>
      <c r="C110" s="161">
        <v>3672</v>
      </c>
      <c r="D110" s="161">
        <v>211</v>
      </c>
      <c r="E110" s="161">
        <v>704218</v>
      </c>
      <c r="F110" s="110">
        <v>12.35057894004413</v>
      </c>
      <c r="G110" s="111">
        <f t="shared" si="3"/>
        <v>0.1235057894004413</v>
      </c>
      <c r="H110" s="165">
        <v>3461</v>
      </c>
      <c r="I110" s="111">
        <v>4.9146713091684675E-3</v>
      </c>
      <c r="J110" s="108" t="str" cm="1">
        <f t="array" ref="J110">IFERROR(INDEX(Cleaned_Campaign_Metadata!A$2:A$6,MATCH(1,(A110 &gt;= Cleaned_Campaign_Metadata!B$2:B$6) *(A110 &lt;= Cleaned_Campaign_Metadata!C$2:C$6),0)),"")</f>
        <v/>
      </c>
      <c r="K110" s="157">
        <v>28284</v>
      </c>
    </row>
    <row r="111" spans="1:11" x14ac:dyDescent="0.3">
      <c r="A111" s="126">
        <v>45635</v>
      </c>
      <c r="B111" s="106" t="s">
        <v>17</v>
      </c>
      <c r="C111" s="160">
        <v>1016</v>
      </c>
      <c r="D111" s="160">
        <v>67</v>
      </c>
      <c r="E111" s="160">
        <v>709957</v>
      </c>
      <c r="F111" s="107">
        <v>20.774215903216671</v>
      </c>
      <c r="G111" s="108">
        <f t="shared" si="3"/>
        <v>0.20774215903216672</v>
      </c>
      <c r="H111" s="164">
        <v>949</v>
      </c>
      <c r="I111" s="108">
        <v>1.3367006734210664E-3</v>
      </c>
      <c r="J111" s="108" t="str" cm="1">
        <f t="array" ref="J111">IFERROR(INDEX(Cleaned_Campaign_Metadata!A$2:A$6,MATCH(1,(A111 &gt;= Cleaned_Campaign_Metadata!B$2:B$6) *(A111 &lt;= Cleaned_Campaign_Metadata!C$2:C$6),0)),"")</f>
        <v/>
      </c>
      <c r="K111" s="156">
        <v>33284</v>
      </c>
    </row>
    <row r="112" spans="1:11" x14ac:dyDescent="0.3">
      <c r="A112" s="126">
        <v>45635</v>
      </c>
      <c r="B112" s="106" t="s">
        <v>34</v>
      </c>
      <c r="C112" s="160">
        <v>7164</v>
      </c>
      <c r="D112" s="160">
        <v>522</v>
      </c>
      <c r="E112" s="160">
        <v>700757</v>
      </c>
      <c r="F112" s="107">
        <v>13.449169969047761</v>
      </c>
      <c r="G112" s="108">
        <f t="shared" si="3"/>
        <v>0.13449169969047761</v>
      </c>
      <c r="H112" s="164">
        <v>6642</v>
      </c>
      <c r="I112" s="108">
        <v>9.4783213011072308E-3</v>
      </c>
      <c r="J112" s="108" t="str" cm="1">
        <f t="array" ref="J112">IFERROR(INDEX(Cleaned_Campaign_Metadata!A$2:A$6,MATCH(1,(A112 &gt;= Cleaned_Campaign_Metadata!B$2:B$6) *(A112 &lt;= Cleaned_Campaign_Metadata!C$2:C$6),0)),"")</f>
        <v/>
      </c>
      <c r="K112" s="156">
        <v>34570</v>
      </c>
    </row>
    <row r="113" spans="1:11" x14ac:dyDescent="0.3">
      <c r="A113" s="127">
        <v>45635</v>
      </c>
      <c r="B113" s="109" t="s">
        <v>13</v>
      </c>
      <c r="C113" s="161">
        <v>5200</v>
      </c>
      <c r="D113" s="161">
        <v>410</v>
      </c>
      <c r="E113" s="161">
        <v>709008</v>
      </c>
      <c r="F113" s="110">
        <v>12.913394489201821</v>
      </c>
      <c r="G113" s="111">
        <f t="shared" si="3"/>
        <v>0.12913394489201821</v>
      </c>
      <c r="H113" s="165">
        <v>4790</v>
      </c>
      <c r="I113" s="111">
        <v>6.7559181278631555E-3</v>
      </c>
      <c r="J113" s="108" t="str" cm="1">
        <f t="array" ref="J113">IFERROR(INDEX(Cleaned_Campaign_Metadata!A$2:A$6,MATCH(1,(A113 &gt;= Cleaned_Campaign_Metadata!B$2:B$6) *(A113 &lt;= Cleaned_Campaign_Metadata!C$2:C$6),0)),"")</f>
        <v/>
      </c>
      <c r="K113" s="157">
        <v>28994</v>
      </c>
    </row>
    <row r="114" spans="1:11" x14ac:dyDescent="0.3">
      <c r="A114" s="126">
        <v>45642</v>
      </c>
      <c r="B114" s="106" t="s">
        <v>20</v>
      </c>
      <c r="C114" s="160">
        <v>4191</v>
      </c>
      <c r="D114" s="160">
        <v>599</v>
      </c>
      <c r="E114" s="160">
        <v>713549</v>
      </c>
      <c r="F114" s="107">
        <v>11.56416728213479</v>
      </c>
      <c r="G114" s="108">
        <f t="shared" si="3"/>
        <v>0.11564167282134789</v>
      </c>
      <c r="H114" s="164">
        <v>3592</v>
      </c>
      <c r="I114" s="108">
        <v>5.033992059410076E-3</v>
      </c>
      <c r="J114" s="108" t="str" cm="1">
        <f t="array" ref="J114">IFERROR(INDEX(Cleaned_Campaign_Metadata!A$2:A$6,MATCH(1,(A114 &gt;= Cleaned_Campaign_Metadata!B$2:B$6) *(A114 &lt;= Cleaned_Campaign_Metadata!C$2:C$6),0)),"")</f>
        <v/>
      </c>
      <c r="K114" s="156">
        <v>27833</v>
      </c>
    </row>
    <row r="115" spans="1:11" x14ac:dyDescent="0.3">
      <c r="A115" s="127">
        <v>45642</v>
      </c>
      <c r="B115" s="109" t="s">
        <v>20</v>
      </c>
      <c r="C115" s="161">
        <v>1392</v>
      </c>
      <c r="D115" s="161">
        <v>182</v>
      </c>
      <c r="E115" s="161">
        <v>714759</v>
      </c>
      <c r="F115" s="110">
        <v>5.9603306848881932</v>
      </c>
      <c r="G115" s="111">
        <f t="shared" si="3"/>
        <v>5.9603306848881932E-2</v>
      </c>
      <c r="H115" s="165">
        <v>1210</v>
      </c>
      <c r="I115" s="111">
        <v>1.6928782988391892E-3</v>
      </c>
      <c r="J115" s="108" t="str" cm="1">
        <f t="array" ref="J115">IFERROR(INDEX(Cleaned_Campaign_Metadata!A$2:A$6,MATCH(1,(A115 &gt;= Cleaned_Campaign_Metadata!B$2:B$6) *(A115 &lt;= Cleaned_Campaign_Metadata!C$2:C$6),0)),"")</f>
        <v/>
      </c>
      <c r="K115" s="157">
        <v>35122</v>
      </c>
    </row>
    <row r="116" spans="1:11" x14ac:dyDescent="0.3">
      <c r="A116" s="127">
        <v>45642</v>
      </c>
      <c r="B116" s="109" t="s">
        <v>17</v>
      </c>
      <c r="C116" s="161">
        <v>9616</v>
      </c>
      <c r="D116" s="161">
        <v>1089</v>
      </c>
      <c r="E116" s="161">
        <v>723286</v>
      </c>
      <c r="F116" s="110">
        <v>19.25863351426683</v>
      </c>
      <c r="G116" s="111">
        <f t="shared" si="3"/>
        <v>0.19258633514266829</v>
      </c>
      <c r="H116" s="165">
        <v>8527</v>
      </c>
      <c r="I116" s="111">
        <v>1.178925072516266E-2</v>
      </c>
      <c r="J116" s="108" t="str" cm="1">
        <f t="array" ref="J116">IFERROR(INDEX(Cleaned_Campaign_Metadata!A$2:A$6,MATCH(1,(A116 &gt;= Cleaned_Campaign_Metadata!B$2:B$6) *(A116 &lt;= Cleaned_Campaign_Metadata!C$2:C$6),0)),"")</f>
        <v/>
      </c>
      <c r="K116" s="157">
        <v>15017</v>
      </c>
    </row>
    <row r="117" spans="1:11" x14ac:dyDescent="0.3">
      <c r="A117" s="127">
        <v>45642</v>
      </c>
      <c r="B117" s="109" t="s">
        <v>34</v>
      </c>
      <c r="C117" s="161">
        <v>7272</v>
      </c>
      <c r="D117" s="161">
        <v>997</v>
      </c>
      <c r="E117" s="161">
        <v>729561</v>
      </c>
      <c r="F117" s="110">
        <v>13.428486445958599</v>
      </c>
      <c r="G117" s="111">
        <f t="shared" si="3"/>
        <v>0.13428486445958598</v>
      </c>
      <c r="H117" s="165">
        <v>6275</v>
      </c>
      <c r="I117" s="111">
        <v>8.6010628309353167E-3</v>
      </c>
      <c r="J117" s="108" t="str" cm="1">
        <f t="array" ref="J117">IFERROR(INDEX(Cleaned_Campaign_Metadata!A$2:A$6,MATCH(1,(A117 &gt;= Cleaned_Campaign_Metadata!B$2:B$6) *(A117 &lt;= Cleaned_Campaign_Metadata!C$2:C$6),0)),"")</f>
        <v/>
      </c>
      <c r="K117" s="157">
        <v>26370</v>
      </c>
    </row>
    <row r="118" spans="1:11" x14ac:dyDescent="0.3">
      <c r="A118" s="126">
        <v>45649</v>
      </c>
      <c r="B118" s="106" t="s">
        <v>20</v>
      </c>
      <c r="C118" s="160">
        <v>4631</v>
      </c>
      <c r="D118" s="160">
        <v>317</v>
      </c>
      <c r="E118" s="160">
        <v>735242</v>
      </c>
      <c r="F118" s="107">
        <v>1.381177897889402</v>
      </c>
      <c r="G118" s="108">
        <f t="shared" si="3"/>
        <v>1.381177897889402E-2</v>
      </c>
      <c r="H118" s="164">
        <v>4314</v>
      </c>
      <c r="I118" s="108">
        <v>5.8674558852731479E-3</v>
      </c>
      <c r="J118" s="108" t="str" cm="1">
        <f t="array" ref="J118">IFERROR(INDEX(Cleaned_Campaign_Metadata!A$2:A$6,MATCH(1,(A118 &gt;= Cleaned_Campaign_Metadata!B$2:B$6) *(A118 &lt;= Cleaned_Campaign_Metadata!C$2:C$6),0)),"")</f>
        <v/>
      </c>
      <c r="K118" s="156">
        <v>17999</v>
      </c>
    </row>
    <row r="119" spans="1:11" x14ac:dyDescent="0.3">
      <c r="A119" s="126">
        <v>45649</v>
      </c>
      <c r="B119" s="106" t="s">
        <v>17</v>
      </c>
      <c r="C119" s="160">
        <v>1571</v>
      </c>
      <c r="D119" s="160">
        <v>204</v>
      </c>
      <c r="E119" s="160">
        <v>730928</v>
      </c>
      <c r="F119" s="107">
        <v>19.449384891535139</v>
      </c>
      <c r="G119" s="108">
        <f t="shared" si="3"/>
        <v>0.1944938489153514</v>
      </c>
      <c r="H119" s="164">
        <v>1367</v>
      </c>
      <c r="I119" s="108">
        <v>1.8702252479040344E-3</v>
      </c>
      <c r="J119" s="108" t="str" cm="1">
        <f t="array" ref="J119">IFERROR(INDEX(Cleaned_Campaign_Metadata!A$2:A$6,MATCH(1,(A119 &gt;= Cleaned_Campaign_Metadata!B$2:B$6) *(A119 &lt;= Cleaned_Campaign_Metadata!C$2:C$6),0)),"")</f>
        <v/>
      </c>
      <c r="K119" s="156">
        <v>39252</v>
      </c>
    </row>
    <row r="120" spans="1:11" x14ac:dyDescent="0.3">
      <c r="A120" s="127">
        <v>45649</v>
      </c>
      <c r="B120" s="109" t="s">
        <v>17</v>
      </c>
      <c r="C120" s="161">
        <v>7172</v>
      </c>
      <c r="D120" s="161">
        <v>998</v>
      </c>
      <c r="E120" s="161">
        <v>741416</v>
      </c>
      <c r="F120" s="110">
        <v>18.0667803230575</v>
      </c>
      <c r="G120" s="111">
        <f t="shared" si="3"/>
        <v>0.18066780323057499</v>
      </c>
      <c r="H120" s="165">
        <v>6174</v>
      </c>
      <c r="I120" s="111">
        <v>8.32730882527488E-3</v>
      </c>
      <c r="J120" s="108" t="str" cm="1">
        <f t="array" ref="J120">IFERROR(INDEX(Cleaned_Campaign_Metadata!A$2:A$6,MATCH(1,(A120 &gt;= Cleaned_Campaign_Metadata!B$2:B$6) *(A120 &lt;= Cleaned_Campaign_Metadata!C$2:C$6),0)),"")</f>
        <v/>
      </c>
      <c r="K120" s="157">
        <v>32436</v>
      </c>
    </row>
    <row r="121" spans="1:11" x14ac:dyDescent="0.3">
      <c r="A121" s="126">
        <v>45649</v>
      </c>
      <c r="B121" s="106" t="s">
        <v>13</v>
      </c>
      <c r="C121" s="160">
        <v>8177</v>
      </c>
      <c r="D121" s="160">
        <v>849</v>
      </c>
      <c r="E121" s="160">
        <v>748744</v>
      </c>
      <c r="F121" s="107">
        <v>10.34986590877523</v>
      </c>
      <c r="G121" s="108">
        <f t="shared" si="3"/>
        <v>0.1034986590877523</v>
      </c>
      <c r="H121" s="164">
        <v>7328</v>
      </c>
      <c r="I121" s="108">
        <v>9.7870567243276748E-3</v>
      </c>
      <c r="J121" s="108" t="str" cm="1">
        <f t="array" ref="J121">IFERROR(INDEX(Cleaned_Campaign_Metadata!A$2:A$6,MATCH(1,(A121 &gt;= Cleaned_Campaign_Metadata!B$2:B$6) *(A121 &lt;= Cleaned_Campaign_Metadata!C$2:C$6),0)),"")</f>
        <v/>
      </c>
      <c r="K121" s="156">
        <v>52963</v>
      </c>
    </row>
    <row r="122" spans="1:11" x14ac:dyDescent="0.3">
      <c r="A122" s="127">
        <v>45656</v>
      </c>
      <c r="B122" s="109" t="s">
        <v>20</v>
      </c>
      <c r="C122" s="161">
        <v>4897</v>
      </c>
      <c r="D122" s="161">
        <v>683</v>
      </c>
      <c r="E122" s="161">
        <v>761158</v>
      </c>
      <c r="F122" s="110">
        <v>15.06231294947961</v>
      </c>
      <c r="G122" s="111">
        <f t="shared" si="3"/>
        <v>0.15062312949479609</v>
      </c>
      <c r="H122" s="165">
        <v>4214</v>
      </c>
      <c r="I122" s="111">
        <v>5.5363012672795921E-3</v>
      </c>
      <c r="J122" s="108" t="str" cm="1">
        <f t="array" ref="J122">IFERROR(INDEX(Cleaned_Campaign_Metadata!A$2:A$6,MATCH(1,(A122 &gt;= Cleaned_Campaign_Metadata!B$2:B$6) *(A122 &lt;= Cleaned_Campaign_Metadata!C$2:C$6),0)),"")</f>
        <v>Apple Watch Ultra 2 Launch</v>
      </c>
      <c r="K122" s="157">
        <v>58201</v>
      </c>
    </row>
    <row r="123" spans="1:11" x14ac:dyDescent="0.3">
      <c r="A123" s="126">
        <v>45656</v>
      </c>
      <c r="B123" s="106" t="s">
        <v>17</v>
      </c>
      <c r="C123" s="160">
        <v>9433</v>
      </c>
      <c r="D123" s="160">
        <v>1233</v>
      </c>
      <c r="E123" s="160">
        <v>756944</v>
      </c>
      <c r="F123" s="107">
        <v>11.391727789638329</v>
      </c>
      <c r="G123" s="108">
        <f t="shared" si="3"/>
        <v>0.1139172778963833</v>
      </c>
      <c r="H123" s="164">
        <v>8200</v>
      </c>
      <c r="I123" s="108">
        <v>1.0833033883616226E-2</v>
      </c>
      <c r="J123" s="108" t="str" cm="1">
        <f t="array" ref="J123">IFERROR(INDEX(Cleaned_Campaign_Metadata!A$2:A$6,MATCH(1,(A123 &gt;= Cleaned_Campaign_Metadata!B$2:B$6) *(A123 &lt;= Cleaned_Campaign_Metadata!C$2:C$6),0)),"")</f>
        <v>Apple Watch Ultra 2 Launch</v>
      </c>
      <c r="K123" s="156">
        <v>12096</v>
      </c>
    </row>
    <row r="124" spans="1:11" x14ac:dyDescent="0.3">
      <c r="A124" s="127">
        <v>45656</v>
      </c>
      <c r="B124" s="109" t="s">
        <v>17</v>
      </c>
      <c r="C124" s="161">
        <v>9123</v>
      </c>
      <c r="D124" s="161">
        <v>746</v>
      </c>
      <c r="E124" s="161">
        <v>769535</v>
      </c>
      <c r="F124" s="110">
        <v>6.3086149427901264</v>
      </c>
      <c r="G124" s="111">
        <f t="shared" si="3"/>
        <v>6.3086149427901264E-2</v>
      </c>
      <c r="H124" s="165">
        <v>8377</v>
      </c>
      <c r="I124" s="111">
        <v>1.0885794668208723E-2</v>
      </c>
      <c r="J124" s="108" t="str" cm="1">
        <f t="array" ref="J124">IFERROR(INDEX(Cleaned_Campaign_Metadata!A$2:A$6,MATCH(1,(A124 &gt;= Cleaned_Campaign_Metadata!B$2:B$6) *(A124 &lt;= Cleaned_Campaign_Metadata!C$2:C$6),0)),"")</f>
        <v>Apple Watch Ultra 2 Launch</v>
      </c>
      <c r="K124" s="157">
        <v>35279</v>
      </c>
    </row>
    <row r="125" spans="1:11" x14ac:dyDescent="0.3">
      <c r="A125" s="126">
        <v>45656</v>
      </c>
      <c r="B125" s="106" t="s">
        <v>34</v>
      </c>
      <c r="C125" s="160">
        <v>3279</v>
      </c>
      <c r="D125" s="160">
        <v>200</v>
      </c>
      <c r="E125" s="160">
        <v>772614</v>
      </c>
      <c r="F125" s="107">
        <v>5.0212654702089274</v>
      </c>
      <c r="G125" s="108">
        <f t="shared" si="3"/>
        <v>5.0212654702089271E-2</v>
      </c>
      <c r="H125" s="164">
        <v>3079</v>
      </c>
      <c r="I125" s="108">
        <v>3.9851724146857288E-3</v>
      </c>
      <c r="J125" s="108" t="str" cm="1">
        <f t="array" ref="J125">IFERROR(INDEX(Cleaned_Campaign_Metadata!A$2:A$6,MATCH(1,(A125 &gt;= Cleaned_Campaign_Metadata!B$2:B$6) *(A125 &lt;= Cleaned_Campaign_Metadata!C$2:C$6),0)),"")</f>
        <v>Apple Watch Ultra 2 Launch</v>
      </c>
      <c r="K125" s="156">
        <v>53363</v>
      </c>
    </row>
    <row r="126" spans="1:11" x14ac:dyDescent="0.3">
      <c r="A126" s="126">
        <v>45663</v>
      </c>
      <c r="B126" s="106" t="s">
        <v>17</v>
      </c>
      <c r="C126" s="160">
        <v>9980</v>
      </c>
      <c r="D126" s="160">
        <v>726</v>
      </c>
      <c r="E126" s="160">
        <v>781868</v>
      </c>
      <c r="F126" s="107">
        <v>4.0220344099003924</v>
      </c>
      <c r="G126" s="108">
        <f t="shared" si="3"/>
        <v>4.0220344099003921E-2</v>
      </c>
      <c r="H126" s="164">
        <v>9254</v>
      </c>
      <c r="I126" s="108">
        <v>1.1835757442432739E-2</v>
      </c>
      <c r="J126" s="108" t="str" cm="1">
        <f t="array" ref="J126">IFERROR(INDEX(Cleaned_Campaign_Metadata!A$2:A$6,MATCH(1,(A126 &gt;= Cleaned_Campaign_Metadata!B$2:B$6) *(A126 &lt;= Cleaned_Campaign_Metadata!C$2:C$6),0)),"")</f>
        <v>Apple Watch Ultra 2 Launch</v>
      </c>
      <c r="K126" s="156">
        <v>58709</v>
      </c>
    </row>
    <row r="127" spans="1:11" x14ac:dyDescent="0.3">
      <c r="A127" s="127">
        <v>45663</v>
      </c>
      <c r="B127" s="109" t="s">
        <v>34</v>
      </c>
      <c r="C127" s="161">
        <v>8451</v>
      </c>
      <c r="D127" s="161">
        <v>783</v>
      </c>
      <c r="E127" s="161">
        <v>789536</v>
      </c>
      <c r="F127" s="110">
        <v>12.407287318121019</v>
      </c>
      <c r="G127" s="111">
        <f t="shared" si="3"/>
        <v>0.1240728731812102</v>
      </c>
      <c r="H127" s="165">
        <v>7668</v>
      </c>
      <c r="I127" s="111">
        <v>9.7120333968305442E-3</v>
      </c>
      <c r="J127" s="108" t="str" cm="1">
        <f t="array" ref="J127">IFERROR(INDEX(Cleaned_Campaign_Metadata!A$2:A$6,MATCH(1,(A127 &gt;= Cleaned_Campaign_Metadata!B$2:B$6) *(A127 &lt;= Cleaned_Campaign_Metadata!C$2:C$6),0)),"")</f>
        <v>Apple Watch Ultra 2 Launch</v>
      </c>
      <c r="K127" s="157">
        <v>36201</v>
      </c>
    </row>
    <row r="128" spans="1:11" x14ac:dyDescent="0.3">
      <c r="A128" s="126">
        <v>45663</v>
      </c>
      <c r="B128" s="106" t="s">
        <v>34</v>
      </c>
      <c r="C128" s="160">
        <v>1775</v>
      </c>
      <c r="D128" s="160">
        <v>241</v>
      </c>
      <c r="E128" s="160">
        <v>799671</v>
      </c>
      <c r="F128" s="107">
        <v>8.1379717408784362</v>
      </c>
      <c r="G128" s="108">
        <f t="shared" si="3"/>
        <v>8.1379717408784358E-2</v>
      </c>
      <c r="H128" s="164">
        <v>1534</v>
      </c>
      <c r="I128" s="108">
        <v>1.918288896308607E-3</v>
      </c>
      <c r="J128" s="108" t="str" cm="1">
        <f t="array" ref="J128">IFERROR(INDEX(Cleaned_Campaign_Metadata!A$2:A$6,MATCH(1,(A128 &gt;= Cleaned_Campaign_Metadata!B$2:B$6) *(A128 &lt;= Cleaned_Campaign_Metadata!C$2:C$6),0)),"")</f>
        <v>Apple Watch Ultra 2 Launch</v>
      </c>
      <c r="K128" s="156">
        <v>39309</v>
      </c>
    </row>
    <row r="129" spans="1:11" x14ac:dyDescent="0.3">
      <c r="A129" s="127">
        <v>45663</v>
      </c>
      <c r="B129" s="109" t="s">
        <v>13</v>
      </c>
      <c r="C129" s="161">
        <v>9906</v>
      </c>
      <c r="D129" s="161">
        <v>1305</v>
      </c>
      <c r="E129" s="161">
        <v>798137</v>
      </c>
      <c r="F129" s="110">
        <v>9.1811305577864442</v>
      </c>
      <c r="G129" s="111">
        <f t="shared" si="3"/>
        <v>9.1811305577864447E-2</v>
      </c>
      <c r="H129" s="165">
        <v>8601</v>
      </c>
      <c r="I129" s="111">
        <v>1.0776345414383746E-2</v>
      </c>
      <c r="J129" s="108" t="str" cm="1">
        <f t="array" ref="J129">IFERROR(INDEX(Cleaned_Campaign_Metadata!A$2:A$6,MATCH(1,(A129 &gt;= Cleaned_Campaign_Metadata!B$2:B$6) *(A129 &lt;= Cleaned_Campaign_Metadata!C$2:C$6),0)),"")</f>
        <v>Apple Watch Ultra 2 Launch</v>
      </c>
      <c r="K129" s="157">
        <v>29715</v>
      </c>
    </row>
    <row r="130" spans="1:11" x14ac:dyDescent="0.3">
      <c r="A130" s="126">
        <v>45670</v>
      </c>
      <c r="B130" s="106" t="s">
        <v>20</v>
      </c>
      <c r="C130" s="160">
        <v>3247</v>
      </c>
      <c r="D130" s="160">
        <v>328</v>
      </c>
      <c r="E130" s="160">
        <v>810061</v>
      </c>
      <c r="F130" s="107">
        <v>13.941172331466399</v>
      </c>
      <c r="G130" s="108">
        <f t="shared" ref="G130:G161" si="4">F130/100</f>
        <v>0.139411723314664</v>
      </c>
      <c r="H130" s="164">
        <v>2919</v>
      </c>
      <c r="I130" s="108">
        <v>3.6034323341081723E-3</v>
      </c>
      <c r="J130" s="108" t="str" cm="1">
        <f t="array" ref="J130">IFERROR(INDEX(Cleaned_Campaign_Metadata!A$2:A$6,MATCH(1,(A130 &gt;= Cleaned_Campaign_Metadata!B$2:B$6) *(A130 &lt;= Cleaned_Campaign_Metadata!C$2:C$6),0)),"")</f>
        <v/>
      </c>
      <c r="K130" s="156">
        <v>15105</v>
      </c>
    </row>
    <row r="131" spans="1:11" x14ac:dyDescent="0.3">
      <c r="A131" s="127">
        <v>45670</v>
      </c>
      <c r="B131" s="109" t="s">
        <v>17</v>
      </c>
      <c r="C131" s="161">
        <v>7869</v>
      </c>
      <c r="D131" s="161">
        <v>398</v>
      </c>
      <c r="E131" s="161">
        <v>807142</v>
      </c>
      <c r="F131" s="110">
        <v>15.211945357818079</v>
      </c>
      <c r="G131" s="111">
        <f t="shared" si="4"/>
        <v>0.1521194535781808</v>
      </c>
      <c r="H131" s="165">
        <v>7471</v>
      </c>
      <c r="I131" s="111">
        <v>9.2561160241940079E-3</v>
      </c>
      <c r="J131" s="108" t="str" cm="1">
        <f t="array" ref="J131">IFERROR(INDEX(Cleaned_Campaign_Metadata!A$2:A$6,MATCH(1,(A131 &gt;= Cleaned_Campaign_Metadata!B$2:B$6) *(A131 &lt;= Cleaned_Campaign_Metadata!C$2:C$6),0)),"")</f>
        <v/>
      </c>
      <c r="K131" s="157">
        <v>25078</v>
      </c>
    </row>
    <row r="132" spans="1:11" x14ac:dyDescent="0.3">
      <c r="A132" s="127">
        <v>45670</v>
      </c>
      <c r="B132" s="109" t="s">
        <v>34</v>
      </c>
      <c r="C132" s="161">
        <v>8088</v>
      </c>
      <c r="D132" s="161">
        <v>742</v>
      </c>
      <c r="E132" s="161">
        <v>817407</v>
      </c>
      <c r="F132" s="110">
        <v>14.664542877660701</v>
      </c>
      <c r="G132" s="111">
        <f t="shared" si="4"/>
        <v>0.146645428776607</v>
      </c>
      <c r="H132" s="165">
        <v>7346</v>
      </c>
      <c r="I132" s="111">
        <v>8.9869550909155421E-3</v>
      </c>
      <c r="J132" s="108" t="str" cm="1">
        <f t="array" ref="J132">IFERROR(INDEX(Cleaned_Campaign_Metadata!A$2:A$6,MATCH(1,(A132 &gt;= Cleaned_Campaign_Metadata!B$2:B$6) *(A132 &lt;= Cleaned_Campaign_Metadata!C$2:C$6),0)),"")</f>
        <v/>
      </c>
      <c r="K132" s="157">
        <v>39312</v>
      </c>
    </row>
    <row r="133" spans="1:11" x14ac:dyDescent="0.3">
      <c r="A133" s="126">
        <v>45670</v>
      </c>
      <c r="B133" s="106" t="s">
        <v>13</v>
      </c>
      <c r="C133" s="160">
        <v>1078</v>
      </c>
      <c r="D133" s="160">
        <v>77</v>
      </c>
      <c r="E133" s="160">
        <v>818408</v>
      </c>
      <c r="F133" s="107">
        <v>18.236747441373989</v>
      </c>
      <c r="G133" s="108">
        <f t="shared" si="4"/>
        <v>0.18236747441373991</v>
      </c>
      <c r="H133" s="164">
        <v>1001</v>
      </c>
      <c r="I133" s="108">
        <v>1.2231063234963489E-3</v>
      </c>
      <c r="J133" s="108" t="str" cm="1">
        <f t="array" ref="J133">IFERROR(INDEX(Cleaned_Campaign_Metadata!A$2:A$6,MATCH(1,(A133 &gt;= Cleaned_Campaign_Metadata!B$2:B$6) *(A133 &lt;= Cleaned_Campaign_Metadata!C$2:C$6),0)),"")</f>
        <v/>
      </c>
      <c r="K133" s="156">
        <v>12839</v>
      </c>
    </row>
    <row r="134" spans="1:11" x14ac:dyDescent="0.3">
      <c r="A134" s="126">
        <v>45677</v>
      </c>
      <c r="B134" s="106" t="s">
        <v>34</v>
      </c>
      <c r="C134" s="160">
        <v>9080</v>
      </c>
      <c r="D134" s="160">
        <v>562</v>
      </c>
      <c r="E134" s="160">
        <v>826926</v>
      </c>
      <c r="F134" s="107">
        <v>7.1083748727213809</v>
      </c>
      <c r="G134" s="108">
        <f t="shared" si="4"/>
        <v>7.1083748727213805E-2</v>
      </c>
      <c r="H134" s="164">
        <v>8518</v>
      </c>
      <c r="I134" s="108">
        <v>1.0300800797169276E-2</v>
      </c>
      <c r="J134" s="108" t="str" cm="1">
        <f t="array" ref="J134">IFERROR(INDEX(Cleaned_Campaign_Metadata!A$2:A$6,MATCH(1,(A134 &gt;= Cleaned_Campaign_Metadata!B$2:B$6) *(A134 &lt;= Cleaned_Campaign_Metadata!C$2:C$6),0)),"")</f>
        <v/>
      </c>
      <c r="K134" s="156">
        <v>13384</v>
      </c>
    </row>
    <row r="135" spans="1:11" x14ac:dyDescent="0.3">
      <c r="A135" s="127">
        <v>45677</v>
      </c>
      <c r="B135" s="109" t="s">
        <v>34</v>
      </c>
      <c r="C135" s="161">
        <v>8099</v>
      </c>
      <c r="D135" s="161">
        <v>678</v>
      </c>
      <c r="E135" s="161">
        <v>834347</v>
      </c>
      <c r="F135" s="110">
        <v>7.6464588474579518</v>
      </c>
      <c r="G135" s="111">
        <f t="shared" si="4"/>
        <v>7.6464588474579515E-2</v>
      </c>
      <c r="H135" s="165">
        <v>7421</v>
      </c>
      <c r="I135" s="111">
        <v>8.8943808751035247E-3</v>
      </c>
      <c r="J135" s="108" t="str" cm="1">
        <f t="array" ref="J135">IFERROR(INDEX(Cleaned_Campaign_Metadata!A$2:A$6,MATCH(1,(A135 &gt;= Cleaned_Campaign_Metadata!B$2:B$6) *(A135 &lt;= Cleaned_Campaign_Metadata!C$2:C$6),0)),"")</f>
        <v/>
      </c>
      <c r="K135" s="157">
        <v>53619</v>
      </c>
    </row>
    <row r="136" spans="1:11" x14ac:dyDescent="0.3">
      <c r="A136" s="126">
        <v>45677</v>
      </c>
      <c r="B136" s="106" t="s">
        <v>34</v>
      </c>
      <c r="C136" s="160">
        <v>4926</v>
      </c>
      <c r="D136" s="160">
        <v>710</v>
      </c>
      <c r="E136" s="160">
        <v>838563</v>
      </c>
      <c r="F136" s="107">
        <v>12.96217457722318</v>
      </c>
      <c r="G136" s="108">
        <f t="shared" si="4"/>
        <v>0.12962174577223182</v>
      </c>
      <c r="H136" s="164">
        <v>4216</v>
      </c>
      <c r="I136" s="108">
        <v>5.0276484891415433E-3</v>
      </c>
      <c r="J136" s="108" t="str" cm="1">
        <f t="array" ref="J136">IFERROR(INDEX(Cleaned_Campaign_Metadata!A$2:A$6,MATCH(1,(A136 &gt;= Cleaned_Campaign_Metadata!B$2:B$6) *(A136 &lt;= Cleaned_Campaign_Metadata!C$2:C$6),0)),"")</f>
        <v/>
      </c>
      <c r="K136" s="156">
        <v>52821</v>
      </c>
    </row>
    <row r="137" spans="1:11" x14ac:dyDescent="0.3">
      <c r="A137" s="127">
        <v>45677</v>
      </c>
      <c r="B137" s="109" t="s">
        <v>13</v>
      </c>
      <c r="C137" s="161">
        <v>8340</v>
      </c>
      <c r="D137" s="161">
        <v>686</v>
      </c>
      <c r="E137" s="161">
        <v>846217</v>
      </c>
      <c r="F137" s="110">
        <v>7.201344336027284</v>
      </c>
      <c r="G137" s="111">
        <f t="shared" si="4"/>
        <v>7.2013443360272836E-2</v>
      </c>
      <c r="H137" s="165">
        <v>7654</v>
      </c>
      <c r="I137" s="111">
        <v>9.0449612806171465E-3</v>
      </c>
      <c r="J137" s="108" t="str" cm="1">
        <f t="array" ref="J137">IFERROR(INDEX(Cleaned_Campaign_Metadata!A$2:A$6,MATCH(1,(A137 &gt;= Cleaned_Campaign_Metadata!B$2:B$6) *(A137 &lt;= Cleaned_Campaign_Metadata!C$2:C$6),0)),"")</f>
        <v/>
      </c>
      <c r="K137" s="157">
        <v>23493</v>
      </c>
    </row>
    <row r="138" spans="1:11" x14ac:dyDescent="0.3">
      <c r="A138" s="127">
        <v>45684</v>
      </c>
      <c r="B138" s="109" t="s">
        <v>20</v>
      </c>
      <c r="C138" s="161">
        <v>4271</v>
      </c>
      <c r="D138" s="161">
        <v>628</v>
      </c>
      <c r="E138" s="161">
        <v>868909</v>
      </c>
      <c r="F138" s="110">
        <v>11.124410036033691</v>
      </c>
      <c r="G138" s="111">
        <f t="shared" si="4"/>
        <v>0.11124410036033691</v>
      </c>
      <c r="H138" s="165">
        <v>3643</v>
      </c>
      <c r="I138" s="111">
        <v>4.1926139561219876E-3</v>
      </c>
      <c r="J138" s="108" t="str" cm="1">
        <f t="array" ref="J138">IFERROR(INDEX(Cleaned_Campaign_Metadata!A$2:A$6,MATCH(1,(A138 &gt;= Cleaned_Campaign_Metadata!B$2:B$6) *(A138 &lt;= Cleaned_Campaign_Metadata!C$2:C$6),0)),"")</f>
        <v/>
      </c>
      <c r="K138" s="157">
        <v>47051</v>
      </c>
    </row>
    <row r="139" spans="1:11" x14ac:dyDescent="0.3">
      <c r="A139" s="126">
        <v>45684</v>
      </c>
      <c r="B139" s="106" t="s">
        <v>17</v>
      </c>
      <c r="C139" s="160">
        <v>8083</v>
      </c>
      <c r="D139" s="160">
        <v>823</v>
      </c>
      <c r="E139" s="160">
        <v>853477</v>
      </c>
      <c r="F139" s="107">
        <v>4.6300017457998282</v>
      </c>
      <c r="G139" s="108">
        <f t="shared" si="4"/>
        <v>4.6300017457998284E-2</v>
      </c>
      <c r="H139" s="164">
        <v>7260</v>
      </c>
      <c r="I139" s="108">
        <v>8.5063803711172073E-3</v>
      </c>
      <c r="J139" s="108" t="str" cm="1">
        <f t="array" ref="J139">IFERROR(INDEX(Cleaned_Campaign_Metadata!A$2:A$6,MATCH(1,(A139 &gt;= Cleaned_Campaign_Metadata!B$2:B$6) *(A139 &lt;= Cleaned_Campaign_Metadata!C$2:C$6),0)),"")</f>
        <v/>
      </c>
      <c r="K139" s="156">
        <v>27069</v>
      </c>
    </row>
    <row r="140" spans="1:11" x14ac:dyDescent="0.3">
      <c r="A140" s="127">
        <v>45684</v>
      </c>
      <c r="B140" s="109" t="s">
        <v>34</v>
      </c>
      <c r="C140" s="161">
        <v>7230</v>
      </c>
      <c r="D140" s="161">
        <v>869</v>
      </c>
      <c r="E140" s="161">
        <v>859838</v>
      </c>
      <c r="F140" s="110">
        <v>7.0117859410726204</v>
      </c>
      <c r="G140" s="111">
        <f t="shared" si="4"/>
        <v>7.0117859410726208E-2</v>
      </c>
      <c r="H140" s="165">
        <v>6361</v>
      </c>
      <c r="I140" s="111">
        <v>7.397905186791E-3</v>
      </c>
      <c r="J140" s="108" t="str" cm="1">
        <f t="array" ref="J140">IFERROR(INDEX(Cleaned_Campaign_Metadata!A$2:A$6,MATCH(1,(A140 &gt;= Cleaned_Campaign_Metadata!B$2:B$6) *(A140 &lt;= Cleaned_Campaign_Metadata!C$2:C$6),0)),"")</f>
        <v/>
      </c>
      <c r="K140" s="157">
        <v>56907</v>
      </c>
    </row>
    <row r="141" spans="1:11" x14ac:dyDescent="0.3">
      <c r="A141" s="126">
        <v>45684</v>
      </c>
      <c r="B141" s="106" t="s">
        <v>34</v>
      </c>
      <c r="C141" s="160">
        <v>5940</v>
      </c>
      <c r="D141" s="160">
        <v>512</v>
      </c>
      <c r="E141" s="160">
        <v>865266</v>
      </c>
      <c r="F141" s="107">
        <v>15.7972230504839</v>
      </c>
      <c r="G141" s="108">
        <f t="shared" si="4"/>
        <v>0.157972230504839</v>
      </c>
      <c r="H141" s="164">
        <v>5428</v>
      </c>
      <c r="I141" s="108">
        <v>6.2732154042803023E-3</v>
      </c>
      <c r="J141" s="108" t="str" cm="1">
        <f t="array" ref="J141">IFERROR(INDEX(Cleaned_Campaign_Metadata!A$2:A$6,MATCH(1,(A141 &gt;= Cleaned_Campaign_Metadata!B$2:B$6) *(A141 &lt;= Cleaned_Campaign_Metadata!C$2:C$6),0)),"")</f>
        <v/>
      </c>
      <c r="K141" s="156">
        <v>17531</v>
      </c>
    </row>
    <row r="142" spans="1:11" x14ac:dyDescent="0.3">
      <c r="A142" s="127">
        <v>45691</v>
      </c>
      <c r="B142" s="109" t="s">
        <v>34</v>
      </c>
      <c r="C142" s="161">
        <v>8788</v>
      </c>
      <c r="D142" s="161">
        <v>660</v>
      </c>
      <c r="E142" s="161">
        <v>880842</v>
      </c>
      <c r="F142" s="110">
        <v>3.7175793161543158</v>
      </c>
      <c r="G142" s="111">
        <f t="shared" si="4"/>
        <v>3.7175793161543159E-2</v>
      </c>
      <c r="H142" s="165">
        <v>8128</v>
      </c>
      <c r="I142" s="111">
        <v>9.2275345635199051E-3</v>
      </c>
      <c r="J142" s="108" t="str" cm="1">
        <f t="array" ref="J142">IFERROR(INDEX(Cleaned_Campaign_Metadata!A$2:A$6,MATCH(1,(A142 &gt;= Cleaned_Campaign_Metadata!B$2:B$6) *(A142 &lt;= Cleaned_Campaign_Metadata!C$2:C$6),0)),"")</f>
        <v/>
      </c>
      <c r="K142" s="157">
        <v>17710</v>
      </c>
    </row>
    <row r="143" spans="1:11" x14ac:dyDescent="0.3">
      <c r="A143" s="126">
        <v>45691</v>
      </c>
      <c r="B143" s="106" t="s">
        <v>34</v>
      </c>
      <c r="C143" s="160">
        <v>8650</v>
      </c>
      <c r="D143" s="160">
        <v>692</v>
      </c>
      <c r="E143" s="160">
        <v>897442</v>
      </c>
      <c r="F143" s="107">
        <v>7.6673478620345374</v>
      </c>
      <c r="G143" s="108">
        <f t="shared" si="4"/>
        <v>7.6673478620345376E-2</v>
      </c>
      <c r="H143" s="164">
        <v>7958</v>
      </c>
      <c r="I143" s="108">
        <v>8.8674254157928862E-3</v>
      </c>
      <c r="J143" s="108" t="str" cm="1">
        <f t="array" ref="J143">IFERROR(INDEX(Cleaned_Campaign_Metadata!A$2:A$6,MATCH(1,(A143 &gt;= Cleaned_Campaign_Metadata!B$2:B$6) *(A143 &lt;= Cleaned_Campaign_Metadata!C$2:C$6),0)),"")</f>
        <v/>
      </c>
      <c r="K143" s="156">
        <v>23975</v>
      </c>
    </row>
    <row r="144" spans="1:11" x14ac:dyDescent="0.3">
      <c r="A144" s="126">
        <v>45691</v>
      </c>
      <c r="B144" s="106" t="s">
        <v>13</v>
      </c>
      <c r="C144" s="160">
        <v>4456</v>
      </c>
      <c r="D144" s="160">
        <v>651</v>
      </c>
      <c r="E144" s="160">
        <v>872714</v>
      </c>
      <c r="F144" s="107">
        <v>9.5052903929580594</v>
      </c>
      <c r="G144" s="108">
        <f t="shared" si="4"/>
        <v>9.5052903929580601E-2</v>
      </c>
      <c r="H144" s="164">
        <v>3805</v>
      </c>
      <c r="I144" s="108">
        <v>4.3599621410908961E-3</v>
      </c>
      <c r="J144" s="108" t="str" cm="1">
        <f t="array" ref="J144">IFERROR(INDEX(Cleaned_Campaign_Metadata!A$2:A$6,MATCH(1,(A144 &gt;= Cleaned_Campaign_Metadata!B$2:B$6) *(A144 &lt;= Cleaned_Campaign_Metadata!C$2:C$6),0)),"")</f>
        <v/>
      </c>
      <c r="K144" s="156">
        <v>17736</v>
      </c>
    </row>
    <row r="145" spans="1:11" x14ac:dyDescent="0.3">
      <c r="A145" s="127">
        <v>45691</v>
      </c>
      <c r="B145" s="109" t="s">
        <v>13</v>
      </c>
      <c r="C145" s="161">
        <v>9599</v>
      </c>
      <c r="D145" s="161">
        <v>957</v>
      </c>
      <c r="E145" s="161">
        <v>889484</v>
      </c>
      <c r="F145" s="110">
        <v>8.768004820772493</v>
      </c>
      <c r="G145" s="111">
        <f t="shared" si="4"/>
        <v>8.7680048207724931E-2</v>
      </c>
      <c r="H145" s="165">
        <v>8642</v>
      </c>
      <c r="I145" s="111">
        <v>9.7157453085159485E-3</v>
      </c>
      <c r="J145" s="108" t="str" cm="1">
        <f t="array" ref="J145">IFERROR(INDEX(Cleaned_Campaign_Metadata!A$2:A$6,MATCH(1,(A145 &gt;= Cleaned_Campaign_Metadata!B$2:B$6) *(A145 &lt;= Cleaned_Campaign_Metadata!C$2:C$6),0)),"")</f>
        <v/>
      </c>
      <c r="K145" s="157">
        <v>11619</v>
      </c>
    </row>
    <row r="146" spans="1:11" x14ac:dyDescent="0.3">
      <c r="A146" s="127">
        <v>45698</v>
      </c>
      <c r="B146" s="109" t="s">
        <v>17</v>
      </c>
      <c r="C146" s="161">
        <v>3711</v>
      </c>
      <c r="D146" s="161">
        <v>291</v>
      </c>
      <c r="E146" s="161">
        <v>900862</v>
      </c>
      <c r="F146" s="110">
        <v>14.24879726306582</v>
      </c>
      <c r="G146" s="111">
        <f t="shared" si="4"/>
        <v>0.14248797263065818</v>
      </c>
      <c r="H146" s="165">
        <v>3420</v>
      </c>
      <c r="I146" s="111">
        <v>3.7963639269943676E-3</v>
      </c>
      <c r="J146" s="108" t="str" cm="1">
        <f t="array" ref="J146">IFERROR(INDEX(Cleaned_Campaign_Metadata!A$2:A$6,MATCH(1,(A146 &gt;= Cleaned_Campaign_Metadata!B$2:B$6) *(A146 &lt;= Cleaned_Campaign_Metadata!C$2:C$6),0)),"")</f>
        <v/>
      </c>
      <c r="K146" s="157">
        <v>55603</v>
      </c>
    </row>
    <row r="147" spans="1:11" x14ac:dyDescent="0.3">
      <c r="A147" s="126">
        <v>45698</v>
      </c>
      <c r="B147" s="106" t="s">
        <v>17</v>
      </c>
      <c r="C147" s="160">
        <v>2668</v>
      </c>
      <c r="D147" s="160">
        <v>143</v>
      </c>
      <c r="E147" s="160">
        <v>903387</v>
      </c>
      <c r="F147" s="107">
        <v>15.903372530266649</v>
      </c>
      <c r="G147" s="108">
        <f t="shared" si="4"/>
        <v>0.15903372530266649</v>
      </c>
      <c r="H147" s="164">
        <v>2525</v>
      </c>
      <c r="I147" s="108">
        <v>2.795036900021807E-3</v>
      </c>
      <c r="J147" s="108" t="str" cm="1">
        <f t="array" ref="J147">IFERROR(INDEX(Cleaned_Campaign_Metadata!A$2:A$6,MATCH(1,(A147 &gt;= Cleaned_Campaign_Metadata!B$2:B$6) *(A147 &lt;= Cleaned_Campaign_Metadata!C$2:C$6),0)),"")</f>
        <v/>
      </c>
      <c r="K147" s="156">
        <v>33252</v>
      </c>
    </row>
    <row r="148" spans="1:11" x14ac:dyDescent="0.3">
      <c r="A148" s="127">
        <v>45698</v>
      </c>
      <c r="B148" s="109" t="s">
        <v>17</v>
      </c>
      <c r="C148" s="161">
        <v>7420</v>
      </c>
      <c r="D148" s="161">
        <v>743</v>
      </c>
      <c r="E148" s="161">
        <v>911084</v>
      </c>
      <c r="F148" s="110">
        <v>10.593534734448189</v>
      </c>
      <c r="G148" s="111">
        <f t="shared" si="4"/>
        <v>0.1059353473444819</v>
      </c>
      <c r="H148" s="165">
        <v>6677</v>
      </c>
      <c r="I148" s="111">
        <v>7.3286327056561193E-3</v>
      </c>
      <c r="J148" s="108" t="str" cm="1">
        <f t="array" ref="J148">IFERROR(INDEX(Cleaned_Campaign_Metadata!A$2:A$6,MATCH(1,(A148 &gt;= Cleaned_Campaign_Metadata!B$2:B$6) *(A148 &lt;= Cleaned_Campaign_Metadata!C$2:C$6),0)),"")</f>
        <v/>
      </c>
      <c r="K148" s="157">
        <v>11431</v>
      </c>
    </row>
    <row r="149" spans="1:11" x14ac:dyDescent="0.3">
      <c r="A149" s="127">
        <v>45698</v>
      </c>
      <c r="B149" s="109" t="s">
        <v>34</v>
      </c>
      <c r="C149" s="161">
        <v>1147</v>
      </c>
      <c r="D149" s="161">
        <v>127</v>
      </c>
      <c r="E149" s="161">
        <v>904407</v>
      </c>
      <c r="F149" s="110">
        <v>1.3997016829812241</v>
      </c>
      <c r="G149" s="111">
        <f t="shared" si="4"/>
        <v>1.3997016829812241E-2</v>
      </c>
      <c r="H149" s="165">
        <v>1020</v>
      </c>
      <c r="I149" s="111">
        <v>1.1278108196862695E-3</v>
      </c>
      <c r="J149" s="108" t="str" cm="1">
        <f t="array" ref="J149">IFERROR(INDEX(Cleaned_Campaign_Metadata!A$2:A$6,MATCH(1,(A149 &gt;= Cleaned_Campaign_Metadata!B$2:B$6) *(A149 &lt;= Cleaned_Campaign_Metadata!C$2:C$6),0)),"")</f>
        <v/>
      </c>
      <c r="K149" s="157">
        <v>25261</v>
      </c>
    </row>
    <row r="150" spans="1:11" x14ac:dyDescent="0.3">
      <c r="A150" s="126">
        <v>45705</v>
      </c>
      <c r="B150" s="106" t="s">
        <v>20</v>
      </c>
      <c r="C150" s="160">
        <v>6330</v>
      </c>
      <c r="D150" s="160">
        <v>891</v>
      </c>
      <c r="E150" s="160">
        <v>922914</v>
      </c>
      <c r="F150" s="107">
        <v>14.789893749580139</v>
      </c>
      <c r="G150" s="108">
        <f t="shared" si="4"/>
        <v>0.14789893749580141</v>
      </c>
      <c r="H150" s="164">
        <v>5439</v>
      </c>
      <c r="I150" s="108">
        <v>5.8932901657142486E-3</v>
      </c>
      <c r="J150" s="108" t="str" cm="1">
        <f t="array" ref="J150">IFERROR(INDEX(Cleaned_Campaign_Metadata!A$2:A$6,MATCH(1,(A150 &gt;= Cleaned_Campaign_Metadata!B$2:B$6) *(A150 &lt;= Cleaned_Campaign_Metadata!C$2:C$6),0)),"")</f>
        <v/>
      </c>
      <c r="K150" s="156">
        <v>37037</v>
      </c>
    </row>
    <row r="151" spans="1:11" x14ac:dyDescent="0.3">
      <c r="A151" s="127">
        <v>45705</v>
      </c>
      <c r="B151" s="109" t="s">
        <v>20</v>
      </c>
      <c r="C151" s="161">
        <v>6510</v>
      </c>
      <c r="D151" s="161">
        <v>481</v>
      </c>
      <c r="E151" s="161">
        <v>928943</v>
      </c>
      <c r="F151" s="110">
        <v>2.3800168578696428</v>
      </c>
      <c r="G151" s="111">
        <f t="shared" si="4"/>
        <v>2.3800168578696428E-2</v>
      </c>
      <c r="H151" s="165">
        <v>6029</v>
      </c>
      <c r="I151" s="111">
        <v>6.4901721634158397E-3</v>
      </c>
      <c r="J151" s="108" t="str" cm="1">
        <f t="array" ref="J151">IFERROR(INDEX(Cleaned_Campaign_Metadata!A$2:A$6,MATCH(1,(A151 &gt;= Cleaned_Campaign_Metadata!B$2:B$6) *(A151 &lt;= Cleaned_Campaign_Metadata!C$2:C$6),0)),"")</f>
        <v/>
      </c>
      <c r="K151" s="157">
        <v>19557</v>
      </c>
    </row>
    <row r="152" spans="1:11" x14ac:dyDescent="0.3">
      <c r="A152" s="126">
        <v>45705</v>
      </c>
      <c r="B152" s="106" t="s">
        <v>17</v>
      </c>
      <c r="C152" s="160">
        <v>5531</v>
      </c>
      <c r="D152" s="160">
        <v>430</v>
      </c>
      <c r="E152" s="160">
        <v>917475</v>
      </c>
      <c r="F152" s="107">
        <v>2.7289026948963189</v>
      </c>
      <c r="G152" s="108">
        <f t="shared" si="4"/>
        <v>2.728902694896319E-2</v>
      </c>
      <c r="H152" s="164">
        <v>5101</v>
      </c>
      <c r="I152" s="108">
        <v>5.5598245183792472E-3</v>
      </c>
      <c r="J152" s="108" t="str" cm="1">
        <f t="array" ref="J152">IFERROR(INDEX(Cleaned_Campaign_Metadata!A$2:A$6,MATCH(1,(A152 &gt;= Cleaned_Campaign_Metadata!B$2:B$6) *(A152 &lt;= Cleaned_Campaign_Metadata!C$2:C$6),0)),"")</f>
        <v/>
      </c>
      <c r="K152" s="156">
        <v>47481</v>
      </c>
    </row>
    <row r="153" spans="1:11" x14ac:dyDescent="0.3">
      <c r="A153" s="126">
        <v>45705</v>
      </c>
      <c r="B153" s="106" t="s">
        <v>34</v>
      </c>
      <c r="C153" s="160">
        <v>1365</v>
      </c>
      <c r="D153" s="160">
        <v>75</v>
      </c>
      <c r="E153" s="160">
        <v>912374</v>
      </c>
      <c r="F153" s="107">
        <v>9.2688963078737441</v>
      </c>
      <c r="G153" s="108">
        <f t="shared" si="4"/>
        <v>9.2688963078737446E-2</v>
      </c>
      <c r="H153" s="164">
        <v>1290</v>
      </c>
      <c r="I153" s="108">
        <v>1.4138938637006315E-3</v>
      </c>
      <c r="J153" s="108" t="str" cm="1">
        <f t="array" ref="J153">IFERROR(INDEX(Cleaned_Campaign_Metadata!A$2:A$6,MATCH(1,(A153 &gt;= Cleaned_Campaign_Metadata!B$2:B$6) *(A153 &lt;= Cleaned_Campaign_Metadata!C$2:C$6),0)),"")</f>
        <v/>
      </c>
      <c r="K153" s="156">
        <v>19067</v>
      </c>
    </row>
    <row r="154" spans="1:11" x14ac:dyDescent="0.3">
      <c r="A154" s="126">
        <v>45712</v>
      </c>
      <c r="B154" s="106" t="s">
        <v>20</v>
      </c>
      <c r="C154" s="160">
        <v>9754</v>
      </c>
      <c r="D154" s="160">
        <v>629</v>
      </c>
      <c r="E154" s="160">
        <v>938068</v>
      </c>
      <c r="F154" s="107">
        <v>3.4123325814333292</v>
      </c>
      <c r="G154" s="108">
        <f t="shared" si="4"/>
        <v>3.4123325814333291E-2</v>
      </c>
      <c r="H154" s="164">
        <v>9125</v>
      </c>
      <c r="I154" s="108">
        <v>9.7274398018054129E-3</v>
      </c>
      <c r="J154" s="108" t="str" cm="1">
        <f t="array" ref="J154">IFERROR(INDEX(Cleaned_Campaign_Metadata!A$2:A$6,MATCH(1,(A154 &gt;= Cleaned_Campaign_Metadata!B$2:B$6) *(A154 &lt;= Cleaned_Campaign_Metadata!C$2:C$6),0)),"")</f>
        <v/>
      </c>
      <c r="K154" s="156">
        <v>19435</v>
      </c>
    </row>
    <row r="155" spans="1:11" x14ac:dyDescent="0.3">
      <c r="A155" s="127">
        <v>45712</v>
      </c>
      <c r="B155" s="109" t="s">
        <v>20</v>
      </c>
      <c r="C155" s="161">
        <v>6439</v>
      </c>
      <c r="D155" s="161">
        <v>477</v>
      </c>
      <c r="E155" s="161">
        <v>959389</v>
      </c>
      <c r="F155" s="110">
        <v>7.4744446725989153</v>
      </c>
      <c r="G155" s="111">
        <f t="shared" si="4"/>
        <v>7.474444672598915E-2</v>
      </c>
      <c r="H155" s="165">
        <v>5962</v>
      </c>
      <c r="I155" s="111">
        <v>6.2143718554204808E-3</v>
      </c>
      <c r="J155" s="108" t="str" cm="1">
        <f t="array" ref="J155">IFERROR(INDEX(Cleaned_Campaign_Metadata!A$2:A$6,MATCH(1,(A155 &gt;= Cleaned_Campaign_Metadata!B$2:B$6) *(A155 &lt;= Cleaned_Campaign_Metadata!C$2:C$6),0)),"")</f>
        <v/>
      </c>
      <c r="K155" s="157">
        <v>44742</v>
      </c>
    </row>
    <row r="156" spans="1:11" x14ac:dyDescent="0.3">
      <c r="A156" s="126">
        <v>45712</v>
      </c>
      <c r="B156" s="106" t="s">
        <v>13</v>
      </c>
      <c r="C156" s="160">
        <v>9964</v>
      </c>
      <c r="D156" s="160">
        <v>985</v>
      </c>
      <c r="E156" s="160">
        <v>947047</v>
      </c>
      <c r="F156" s="107">
        <v>1.9837452629066989</v>
      </c>
      <c r="G156" s="108">
        <f t="shared" si="4"/>
        <v>1.9837452629066988E-2</v>
      </c>
      <c r="H156" s="164">
        <v>8979</v>
      </c>
      <c r="I156" s="108">
        <v>9.4810500429228957E-3</v>
      </c>
      <c r="J156" s="108" t="str" cm="1">
        <f t="array" ref="J156">IFERROR(INDEX(Cleaned_Campaign_Metadata!A$2:A$6,MATCH(1,(A156 &gt;= Cleaned_Campaign_Metadata!B$2:B$6) *(A156 &lt;= Cleaned_Campaign_Metadata!C$2:C$6),0)),"")</f>
        <v/>
      </c>
      <c r="K156" s="156">
        <v>47766</v>
      </c>
    </row>
    <row r="157" spans="1:11" x14ac:dyDescent="0.3">
      <c r="A157" s="127">
        <v>45712</v>
      </c>
      <c r="B157" s="109" t="s">
        <v>13</v>
      </c>
      <c r="C157" s="161">
        <v>7493</v>
      </c>
      <c r="D157" s="161">
        <v>1113</v>
      </c>
      <c r="E157" s="161">
        <v>953427</v>
      </c>
      <c r="F157" s="110">
        <v>15.684892498324469</v>
      </c>
      <c r="G157" s="111">
        <f t="shared" si="4"/>
        <v>0.15684892498324468</v>
      </c>
      <c r="H157" s="165">
        <v>6380</v>
      </c>
      <c r="I157" s="111">
        <v>6.6916502259743013E-3</v>
      </c>
      <c r="J157" s="108" t="str" cm="1">
        <f t="array" ref="J157">IFERROR(INDEX(Cleaned_Campaign_Metadata!A$2:A$6,MATCH(1,(A157 &gt;= Cleaned_Campaign_Metadata!B$2:B$6) *(A157 &lt;= Cleaned_Campaign_Metadata!C$2:C$6),0)),"")</f>
        <v/>
      </c>
      <c r="K157" s="157">
        <v>10162</v>
      </c>
    </row>
    <row r="158" spans="1:11" x14ac:dyDescent="0.3">
      <c r="A158" s="127">
        <v>45719</v>
      </c>
      <c r="B158" s="109" t="s">
        <v>17</v>
      </c>
      <c r="C158" s="161">
        <v>8504</v>
      </c>
      <c r="D158" s="161">
        <v>1072</v>
      </c>
      <c r="E158" s="161">
        <v>973452</v>
      </c>
      <c r="F158" s="110">
        <v>6.5651927367759271</v>
      </c>
      <c r="G158" s="111">
        <f t="shared" si="4"/>
        <v>6.5651927367759266E-2</v>
      </c>
      <c r="H158" s="165">
        <v>7432</v>
      </c>
      <c r="I158" s="111">
        <v>7.6346856342171983E-3</v>
      </c>
      <c r="J158" s="108" t="str" cm="1">
        <f t="array" ref="J158">IFERROR(INDEX(Cleaned_Campaign_Metadata!A$2:A$6,MATCH(1,(A158 &gt;= Cleaned_Campaign_Metadata!B$2:B$6) *(A158 &lt;= Cleaned_Campaign_Metadata!C$2:C$6),0)),"")</f>
        <v>Sustainability Awareness Drive</v>
      </c>
      <c r="K158" s="157">
        <v>18461</v>
      </c>
    </row>
    <row r="159" spans="1:11" x14ac:dyDescent="0.3">
      <c r="A159" s="127">
        <v>45719</v>
      </c>
      <c r="B159" s="109" t="s">
        <v>34</v>
      </c>
      <c r="C159" s="161">
        <v>2246</v>
      </c>
      <c r="D159" s="161">
        <v>165</v>
      </c>
      <c r="E159" s="161">
        <v>975533</v>
      </c>
      <c r="F159" s="110">
        <v>2.9062061457685191</v>
      </c>
      <c r="G159" s="111">
        <f t="shared" si="4"/>
        <v>2.9062061457685192E-2</v>
      </c>
      <c r="H159" s="165">
        <v>2081</v>
      </c>
      <c r="I159" s="111">
        <v>2.1331928289458173E-3</v>
      </c>
      <c r="J159" s="108" t="str" cm="1">
        <f t="array" ref="J159">IFERROR(INDEX(Cleaned_Campaign_Metadata!A$2:A$6,MATCH(1,(A159 &gt;= Cleaned_Campaign_Metadata!B$2:B$6) *(A159 &lt;= Cleaned_Campaign_Metadata!C$2:C$6),0)),"")</f>
        <v>Sustainability Awareness Drive</v>
      </c>
      <c r="K159" s="157">
        <v>27015</v>
      </c>
    </row>
    <row r="160" spans="1:11" x14ac:dyDescent="0.3">
      <c r="A160" s="126">
        <v>45719</v>
      </c>
      <c r="B160" s="106" t="s">
        <v>34</v>
      </c>
      <c r="C160" s="160">
        <v>4839</v>
      </c>
      <c r="D160" s="160">
        <v>594</v>
      </c>
      <c r="E160" s="160">
        <v>979778</v>
      </c>
      <c r="F160" s="107">
        <v>2.5803804535313102</v>
      </c>
      <c r="G160" s="108">
        <f t="shared" si="4"/>
        <v>2.5803804535313103E-2</v>
      </c>
      <c r="H160" s="164">
        <v>4245</v>
      </c>
      <c r="I160" s="108">
        <v>4.3326141227910814E-3</v>
      </c>
      <c r="J160" s="108" t="str" cm="1">
        <f t="array" ref="J160">IFERROR(INDEX(Cleaned_Campaign_Metadata!A$2:A$6,MATCH(1,(A160 &gt;= Cleaned_Campaign_Metadata!B$2:B$6) *(A160 &lt;= Cleaned_Campaign_Metadata!C$2:C$6),0)),"")</f>
        <v>Sustainability Awareness Drive</v>
      </c>
      <c r="K160" s="156">
        <v>42591</v>
      </c>
    </row>
    <row r="161" spans="1:11" x14ac:dyDescent="0.3">
      <c r="A161" s="126">
        <v>45719</v>
      </c>
      <c r="B161" s="106" t="s">
        <v>13</v>
      </c>
      <c r="C161" s="160">
        <v>7511</v>
      </c>
      <c r="D161" s="160">
        <v>880</v>
      </c>
      <c r="E161" s="160">
        <v>966020</v>
      </c>
      <c r="F161" s="107">
        <v>4.6083932009689246</v>
      </c>
      <c r="G161" s="108">
        <f t="shared" si="4"/>
        <v>4.6083932009689244E-2</v>
      </c>
      <c r="H161" s="164">
        <v>6631</v>
      </c>
      <c r="I161" s="108">
        <v>6.8642471170369144E-3</v>
      </c>
      <c r="J161" s="108" t="str" cm="1">
        <f t="array" ref="J161">IFERROR(INDEX(Cleaned_Campaign_Metadata!A$2:A$6,MATCH(1,(A161 &gt;= Cleaned_Campaign_Metadata!B$2:B$6) *(A161 &lt;= Cleaned_Campaign_Metadata!C$2:C$6),0)),"")</f>
        <v>Sustainability Awareness Drive</v>
      </c>
      <c r="K161" s="156">
        <v>29675</v>
      </c>
    </row>
    <row r="162" spans="1:11" x14ac:dyDescent="0.3">
      <c r="A162" s="126">
        <v>45726</v>
      </c>
      <c r="B162" s="106" t="s">
        <v>20</v>
      </c>
      <c r="C162" s="160">
        <v>3376</v>
      </c>
      <c r="D162" s="160">
        <v>382</v>
      </c>
      <c r="E162" s="160">
        <v>991495</v>
      </c>
      <c r="F162" s="107">
        <v>3.8694093263203548</v>
      </c>
      <c r="G162" s="108">
        <f t="shared" ref="G162:G193" si="5">F162/100</f>
        <v>3.8694093263203548E-2</v>
      </c>
      <c r="H162" s="164">
        <v>2994</v>
      </c>
      <c r="I162" s="108">
        <v>3.0196823988018094E-3</v>
      </c>
      <c r="J162" s="108" t="str" cm="1">
        <f t="array" ref="J162">IFERROR(INDEX(Cleaned_Campaign_Metadata!A$2:A$6,MATCH(1,(A162 &gt;= Cleaned_Campaign_Metadata!B$2:B$6) *(A162 &lt;= Cleaned_Campaign_Metadata!C$2:C$6),0)),"")</f>
        <v>Sustainability Awareness Drive</v>
      </c>
      <c r="K162" s="156">
        <v>44782</v>
      </c>
    </row>
    <row r="163" spans="1:11" x14ac:dyDescent="0.3">
      <c r="A163" s="126">
        <v>45726</v>
      </c>
      <c r="B163" s="106" t="s">
        <v>17</v>
      </c>
      <c r="C163" s="160">
        <v>2827</v>
      </c>
      <c r="D163" s="160">
        <v>292</v>
      </c>
      <c r="E163" s="160">
        <v>997585</v>
      </c>
      <c r="F163" s="107">
        <v>2.4004972007397871</v>
      </c>
      <c r="G163" s="108">
        <f t="shared" si="5"/>
        <v>2.400497200739787E-2</v>
      </c>
      <c r="H163" s="164">
        <v>2535</v>
      </c>
      <c r="I163" s="108">
        <v>2.5411368454818384E-3</v>
      </c>
      <c r="J163" s="108" t="str" cm="1">
        <f t="array" ref="J163">IFERROR(INDEX(Cleaned_Campaign_Metadata!A$2:A$6,MATCH(1,(A163 &gt;= Cleaned_Campaign_Metadata!B$2:B$6) *(A163 &lt;= Cleaned_Campaign_Metadata!C$2:C$6),0)),"")</f>
        <v>Sustainability Awareness Drive</v>
      </c>
      <c r="K163" s="156">
        <v>17896</v>
      </c>
    </row>
    <row r="164" spans="1:11" x14ac:dyDescent="0.3">
      <c r="A164" s="127">
        <v>45726</v>
      </c>
      <c r="B164" s="109" t="s">
        <v>34</v>
      </c>
      <c r="C164" s="161">
        <v>9551</v>
      </c>
      <c r="D164" s="161">
        <v>828</v>
      </c>
      <c r="E164" s="161">
        <v>988501</v>
      </c>
      <c r="F164" s="110">
        <v>1.525036393488727</v>
      </c>
      <c r="G164" s="111">
        <f t="shared" si="5"/>
        <v>1.5250363934887269E-2</v>
      </c>
      <c r="H164" s="165">
        <v>8723</v>
      </c>
      <c r="I164" s="111">
        <v>8.8244726105487E-3</v>
      </c>
      <c r="J164" s="108" t="str" cm="1">
        <f t="array" ref="J164">IFERROR(INDEX(Cleaned_Campaign_Metadata!A$2:A$6,MATCH(1,(A164 &gt;= Cleaned_Campaign_Metadata!B$2:B$6) *(A164 &lt;= Cleaned_Campaign_Metadata!C$2:C$6),0)),"")</f>
        <v>Sustainability Awareness Drive</v>
      </c>
      <c r="K164" s="157">
        <v>38047</v>
      </c>
    </row>
    <row r="165" spans="1:11" x14ac:dyDescent="0.3">
      <c r="A165" s="127">
        <v>45726</v>
      </c>
      <c r="B165" s="109" t="s">
        <v>13</v>
      </c>
      <c r="C165" s="161">
        <v>4009</v>
      </c>
      <c r="D165" s="161">
        <v>454</v>
      </c>
      <c r="E165" s="161">
        <v>995050</v>
      </c>
      <c r="F165" s="110">
        <v>2.1106477061454201</v>
      </c>
      <c r="G165" s="111">
        <f t="shared" si="5"/>
        <v>2.1106477061454201E-2</v>
      </c>
      <c r="H165" s="165">
        <v>3555</v>
      </c>
      <c r="I165" s="111">
        <v>3.5726847897090599E-3</v>
      </c>
      <c r="J165" s="108" t="str" cm="1">
        <f t="array" ref="J165">IFERROR(INDEX(Cleaned_Campaign_Metadata!A$2:A$6,MATCH(1,(A165 &gt;= Cleaned_Campaign_Metadata!B$2:B$6) *(A165 &lt;= Cleaned_Campaign_Metadata!C$2:C$6),0)),"")</f>
        <v>Sustainability Awareness Drive</v>
      </c>
      <c r="K165" s="157">
        <v>19833</v>
      </c>
    </row>
    <row r="166" spans="1:11" x14ac:dyDescent="0.3">
      <c r="A166" s="127">
        <v>45733</v>
      </c>
      <c r="B166" s="109" t="s">
        <v>20</v>
      </c>
      <c r="C166" s="161">
        <v>9569</v>
      </c>
      <c r="D166" s="161">
        <v>1277</v>
      </c>
      <c r="E166" s="161">
        <v>1013386</v>
      </c>
      <c r="F166" s="110">
        <v>12.45517502708741</v>
      </c>
      <c r="G166" s="111">
        <f t="shared" si="5"/>
        <v>0.1245517502708741</v>
      </c>
      <c r="H166" s="165">
        <v>8292</v>
      </c>
      <c r="I166" s="111">
        <v>8.1824694637581338E-3</v>
      </c>
      <c r="J166" s="108" t="str" cm="1">
        <f t="array" ref="J166">IFERROR(INDEX(Cleaned_Campaign_Metadata!A$2:A$6,MATCH(1,(A166 &gt;= Cleaned_Campaign_Metadata!B$2:B$6) *(A166 &lt;= Cleaned_Campaign_Metadata!C$2:C$6),0)),"")</f>
        <v>Sustainability Awareness Drive</v>
      </c>
      <c r="K166" s="157">
        <v>59733</v>
      </c>
    </row>
    <row r="167" spans="1:11" x14ac:dyDescent="0.3">
      <c r="A167" s="127">
        <v>45733</v>
      </c>
      <c r="B167" s="109" t="s">
        <v>17</v>
      </c>
      <c r="C167" s="161">
        <v>7979</v>
      </c>
      <c r="D167" s="161">
        <v>470</v>
      </c>
      <c r="E167" s="161">
        <v>1005094</v>
      </c>
      <c r="F167" s="110">
        <v>10.43086517280971</v>
      </c>
      <c r="G167" s="111">
        <f t="shared" si="5"/>
        <v>0.1043086517280971</v>
      </c>
      <c r="H167" s="165">
        <v>7509</v>
      </c>
      <c r="I167" s="111">
        <v>7.4709430162750948E-3</v>
      </c>
      <c r="J167" s="108" t="str" cm="1">
        <f t="array" ref="J167">IFERROR(INDEX(Cleaned_Campaign_Metadata!A$2:A$6,MATCH(1,(A167 &gt;= Cleaned_Campaign_Metadata!B$2:B$6) *(A167 &lt;= Cleaned_Campaign_Metadata!C$2:C$6),0)),"")</f>
        <v>Sustainability Awareness Drive</v>
      </c>
      <c r="K167" s="157">
        <v>42972</v>
      </c>
    </row>
    <row r="168" spans="1:11" x14ac:dyDescent="0.3">
      <c r="A168" s="126">
        <v>45733</v>
      </c>
      <c r="B168" s="106" t="s">
        <v>17</v>
      </c>
      <c r="C168" s="160">
        <v>5285</v>
      </c>
      <c r="D168" s="160">
        <v>433</v>
      </c>
      <c r="E168" s="160">
        <v>1018238</v>
      </c>
      <c r="F168" s="107">
        <v>8.7022876773406619</v>
      </c>
      <c r="G168" s="108">
        <f t="shared" si="5"/>
        <v>8.7022876773406616E-2</v>
      </c>
      <c r="H168" s="164">
        <v>4852</v>
      </c>
      <c r="I168" s="108">
        <v>4.7650942117658151E-3</v>
      </c>
      <c r="J168" s="108" t="str" cm="1">
        <f t="array" ref="J168">IFERROR(INDEX(Cleaned_Campaign_Metadata!A$2:A$6,MATCH(1,(A168 &gt;= Cleaned_Campaign_Metadata!B$2:B$6) *(A168 &lt;= Cleaned_Campaign_Metadata!C$2:C$6),0)),"")</f>
        <v>Sustainability Awareness Drive</v>
      </c>
      <c r="K168" s="156">
        <v>51800</v>
      </c>
    </row>
    <row r="169" spans="1:11" x14ac:dyDescent="0.3">
      <c r="A169" s="127">
        <v>45733</v>
      </c>
      <c r="B169" s="109" t="s">
        <v>17</v>
      </c>
      <c r="C169" s="161">
        <v>7910</v>
      </c>
      <c r="D169" s="161">
        <v>543</v>
      </c>
      <c r="E169" s="161">
        <v>1025605</v>
      </c>
      <c r="F169" s="110">
        <v>6.0590578244060822</v>
      </c>
      <c r="G169" s="111">
        <f t="shared" si="5"/>
        <v>6.0590578244060819E-2</v>
      </c>
      <c r="H169" s="165">
        <v>7367</v>
      </c>
      <c r="I169" s="111">
        <v>7.183077305590359E-3</v>
      </c>
      <c r="J169" s="108" t="str" cm="1">
        <f t="array" ref="J169">IFERROR(INDEX(Cleaned_Campaign_Metadata!A$2:A$6,MATCH(1,(A169 &gt;= Cleaned_Campaign_Metadata!B$2:B$6) *(A169 &lt;= Cleaned_Campaign_Metadata!C$2:C$6),0)),"")</f>
        <v>Sustainability Awareness Drive</v>
      </c>
      <c r="K169" s="157">
        <v>40508</v>
      </c>
    </row>
    <row r="170" spans="1:11" x14ac:dyDescent="0.3">
      <c r="A170" s="126">
        <v>45740</v>
      </c>
      <c r="B170" s="106" t="s">
        <v>17</v>
      </c>
      <c r="C170" s="160">
        <v>9561</v>
      </c>
      <c r="D170" s="160">
        <v>517</v>
      </c>
      <c r="E170" s="160">
        <v>1034649</v>
      </c>
      <c r="F170" s="107">
        <v>6.4086467971263694</v>
      </c>
      <c r="G170" s="108">
        <f t="shared" si="5"/>
        <v>6.4086467971263689E-2</v>
      </c>
      <c r="H170" s="164">
        <v>9044</v>
      </c>
      <c r="I170" s="108">
        <v>8.741128633961856E-3</v>
      </c>
      <c r="J170" s="108" t="str" cm="1">
        <f t="array" ref="J170">IFERROR(INDEX(Cleaned_Campaign_Metadata!A$2:A$6,MATCH(1,(A170 &gt;= Cleaned_Campaign_Metadata!B$2:B$6) *(A170 &lt;= Cleaned_Campaign_Metadata!C$2:C$6),0)),"")</f>
        <v>Sustainability Awareness Drive</v>
      </c>
      <c r="K170" s="156">
        <v>15347</v>
      </c>
    </row>
    <row r="171" spans="1:11" x14ac:dyDescent="0.3">
      <c r="A171" s="127">
        <v>45740</v>
      </c>
      <c r="B171" s="109" t="s">
        <v>17</v>
      </c>
      <c r="C171" s="161">
        <v>3196</v>
      </c>
      <c r="D171" s="161">
        <v>348</v>
      </c>
      <c r="E171" s="161">
        <v>1037497</v>
      </c>
      <c r="F171" s="110">
        <v>14.03040201562029</v>
      </c>
      <c r="G171" s="111">
        <f t="shared" si="5"/>
        <v>0.14030402015620289</v>
      </c>
      <c r="H171" s="165">
        <v>2848</v>
      </c>
      <c r="I171" s="111">
        <v>2.7450681785103955E-3</v>
      </c>
      <c r="J171" s="108" t="str" cm="1">
        <f t="array" ref="J171">IFERROR(INDEX(Cleaned_Campaign_Metadata!A$2:A$6,MATCH(1,(A171 &gt;= Cleaned_Campaign_Metadata!B$2:B$6) *(A171 &lt;= Cleaned_Campaign_Metadata!C$2:C$6),0)),"")</f>
        <v>Sustainability Awareness Drive</v>
      </c>
      <c r="K171" s="157">
        <v>40314</v>
      </c>
    </row>
    <row r="172" spans="1:11" x14ac:dyDescent="0.3">
      <c r="A172" s="126">
        <v>45740</v>
      </c>
      <c r="B172" s="106" t="s">
        <v>17</v>
      </c>
      <c r="C172" s="160">
        <v>9843</v>
      </c>
      <c r="D172" s="160">
        <v>508</v>
      </c>
      <c r="E172" s="160">
        <v>1051021</v>
      </c>
      <c r="F172" s="107">
        <v>4.2080986012648651</v>
      </c>
      <c r="G172" s="108">
        <f t="shared" si="5"/>
        <v>4.2080986012648654E-2</v>
      </c>
      <c r="H172" s="164">
        <v>9335</v>
      </c>
      <c r="I172" s="108">
        <v>8.8818396587699005E-3</v>
      </c>
      <c r="J172" s="108" t="str" cm="1">
        <f t="array" ref="J172">IFERROR(INDEX(Cleaned_Campaign_Metadata!A$2:A$6,MATCH(1,(A172 &gt;= Cleaned_Campaign_Metadata!B$2:B$6) *(A172 &lt;= Cleaned_Campaign_Metadata!C$2:C$6),0)),"")</f>
        <v>Sustainability Awareness Drive</v>
      </c>
      <c r="K172" s="156">
        <v>50785</v>
      </c>
    </row>
    <row r="173" spans="1:11" x14ac:dyDescent="0.3">
      <c r="A173" s="126">
        <v>45740</v>
      </c>
      <c r="B173" s="106" t="s">
        <v>13</v>
      </c>
      <c r="C173" s="160">
        <v>4747</v>
      </c>
      <c r="D173" s="160">
        <v>558</v>
      </c>
      <c r="E173" s="160">
        <v>1041686</v>
      </c>
      <c r="F173" s="107">
        <v>5.7680529449373434</v>
      </c>
      <c r="G173" s="108">
        <f t="shared" si="5"/>
        <v>5.7680529449373436E-2</v>
      </c>
      <c r="H173" s="164">
        <v>4189</v>
      </c>
      <c r="I173" s="108">
        <v>4.021365363458854E-3</v>
      </c>
      <c r="J173" s="108" t="str" cm="1">
        <f t="array" ref="J173">IFERROR(INDEX(Cleaned_Campaign_Metadata!A$2:A$6,MATCH(1,(A173 &gt;= Cleaned_Campaign_Metadata!B$2:B$6) *(A173 &lt;= Cleaned_Campaign_Metadata!C$2:C$6),0)),"")</f>
        <v>Sustainability Awareness Drive</v>
      </c>
      <c r="K173" s="156">
        <v>12643</v>
      </c>
    </row>
    <row r="174" spans="1:11" x14ac:dyDescent="0.3">
      <c r="A174" s="126">
        <v>45747</v>
      </c>
      <c r="B174" s="106" t="s">
        <v>20</v>
      </c>
      <c r="C174" s="160">
        <v>6607</v>
      </c>
      <c r="D174" s="160">
        <v>479</v>
      </c>
      <c r="E174" s="160">
        <v>1063421</v>
      </c>
      <c r="F174" s="107">
        <v>5.5892257158735816</v>
      </c>
      <c r="G174" s="108">
        <f t="shared" si="5"/>
        <v>5.5892257158735817E-2</v>
      </c>
      <c r="H174" s="164">
        <v>6128</v>
      </c>
      <c r="I174" s="108">
        <v>5.7625343114345116E-3</v>
      </c>
      <c r="J174" s="108" t="str" cm="1">
        <f t="array" ref="J174">IFERROR(INDEX(Cleaned_Campaign_Metadata!A$2:A$6,MATCH(1,(A174 &gt;= Cleaned_Campaign_Metadata!B$2:B$6) *(A174 &lt;= Cleaned_Campaign_Metadata!C$2:C$6),0)),"")</f>
        <v>Sustainability Awareness Drive</v>
      </c>
      <c r="K174" s="156">
        <v>48328</v>
      </c>
    </row>
    <row r="175" spans="1:11" x14ac:dyDescent="0.3">
      <c r="A175" s="127">
        <v>45747</v>
      </c>
      <c r="B175" s="109" t="s">
        <v>17</v>
      </c>
      <c r="C175" s="161">
        <v>1780</v>
      </c>
      <c r="D175" s="161">
        <v>120</v>
      </c>
      <c r="E175" s="161">
        <v>1066648</v>
      </c>
      <c r="F175" s="110">
        <v>13.86474263299608</v>
      </c>
      <c r="G175" s="111">
        <f t="shared" si="5"/>
        <v>0.1386474263299608</v>
      </c>
      <c r="H175" s="165">
        <v>1660</v>
      </c>
      <c r="I175" s="111">
        <v>1.55627723485161E-3</v>
      </c>
      <c r="J175" s="108" t="str" cm="1">
        <f t="array" ref="J175">IFERROR(INDEX(Cleaned_Campaign_Metadata!A$2:A$6,MATCH(1,(A175 &gt;= Cleaned_Campaign_Metadata!B$2:B$6) *(A175 &lt;= Cleaned_Campaign_Metadata!C$2:C$6),0)),"")</f>
        <v>Sustainability Awareness Drive</v>
      </c>
      <c r="K175" s="157">
        <v>57299</v>
      </c>
    </row>
    <row r="176" spans="1:11" x14ac:dyDescent="0.3">
      <c r="A176" s="126">
        <v>45747</v>
      </c>
      <c r="B176" s="106" t="s">
        <v>34</v>
      </c>
      <c r="C176" s="160">
        <v>6978</v>
      </c>
      <c r="D176" s="160">
        <v>706</v>
      </c>
      <c r="E176" s="160">
        <v>1057293</v>
      </c>
      <c r="F176" s="107">
        <v>5.057443868445171</v>
      </c>
      <c r="G176" s="108">
        <f t="shared" si="5"/>
        <v>5.057443868445171E-2</v>
      </c>
      <c r="H176" s="164">
        <v>6272</v>
      </c>
      <c r="I176" s="108">
        <v>5.9321304501212058E-3</v>
      </c>
      <c r="J176" s="108" t="str" cm="1">
        <f t="array" ref="J176">IFERROR(INDEX(Cleaned_Campaign_Metadata!A$2:A$6,MATCH(1,(A176 &gt;= Cleaned_Campaign_Metadata!B$2:B$6) *(A176 &lt;= Cleaned_Campaign_Metadata!C$2:C$6),0)),"")</f>
        <v>Sustainability Awareness Drive</v>
      </c>
      <c r="K176" s="156">
        <v>28681</v>
      </c>
    </row>
    <row r="177" spans="1:11" x14ac:dyDescent="0.3">
      <c r="A177" s="127">
        <v>45747</v>
      </c>
      <c r="B177" s="109" t="s">
        <v>13</v>
      </c>
      <c r="C177" s="161">
        <v>1769</v>
      </c>
      <c r="D177" s="161">
        <v>202</v>
      </c>
      <c r="E177" s="161">
        <v>1064988</v>
      </c>
      <c r="F177" s="110">
        <v>6.5457075572682513</v>
      </c>
      <c r="G177" s="111">
        <f t="shared" si="5"/>
        <v>6.5457075572682516E-2</v>
      </c>
      <c r="H177" s="165">
        <v>1567</v>
      </c>
      <c r="I177" s="111">
        <v>1.4713780812553757E-3</v>
      </c>
      <c r="J177" s="108" t="str" cm="1">
        <f t="array" ref="J177">IFERROR(INDEX(Cleaned_Campaign_Metadata!A$2:A$6,MATCH(1,(A177 &gt;= Cleaned_Campaign_Metadata!B$2:B$6) *(A177 &lt;= Cleaned_Campaign_Metadata!C$2:C$6),0)),"")</f>
        <v>Sustainability Awareness Drive</v>
      </c>
      <c r="K177" s="157">
        <v>25892</v>
      </c>
    </row>
    <row r="178" spans="1:11" x14ac:dyDescent="0.3">
      <c r="A178" s="127">
        <v>45754</v>
      </c>
      <c r="B178" s="109" t="s">
        <v>20</v>
      </c>
      <c r="C178" s="161">
        <v>1521</v>
      </c>
      <c r="D178" s="161">
        <v>96</v>
      </c>
      <c r="E178" s="161">
        <v>1087368</v>
      </c>
      <c r="F178" s="110">
        <v>12.709772588488899</v>
      </c>
      <c r="G178" s="111">
        <f t="shared" si="5"/>
        <v>0.12709772588488899</v>
      </c>
      <c r="H178" s="165">
        <v>1425</v>
      </c>
      <c r="I178" s="111">
        <v>1.3105038956452645E-3</v>
      </c>
      <c r="J178" s="108" t="str" cm="1">
        <f t="array" ref="J178">IFERROR(INDEX(Cleaned_Campaign_Metadata!A$2:A$6,MATCH(1,(A178 &gt;= Cleaned_Campaign_Metadata!B$2:B$6) *(A178 &lt;= Cleaned_Campaign_Metadata!C$2:C$6),0)),"")</f>
        <v/>
      </c>
      <c r="K178" s="157">
        <v>42262</v>
      </c>
    </row>
    <row r="179" spans="1:11" x14ac:dyDescent="0.3">
      <c r="A179" s="126">
        <v>45754</v>
      </c>
      <c r="B179" s="106" t="s">
        <v>17</v>
      </c>
      <c r="C179" s="160">
        <v>4983</v>
      </c>
      <c r="D179" s="160">
        <v>441</v>
      </c>
      <c r="E179" s="160">
        <v>1077624</v>
      </c>
      <c r="F179" s="107">
        <v>6.8954477628560609</v>
      </c>
      <c r="G179" s="108">
        <f t="shared" si="5"/>
        <v>6.8954477628560606E-2</v>
      </c>
      <c r="H179" s="164">
        <v>4542</v>
      </c>
      <c r="I179" s="108">
        <v>4.2148281775461569E-3</v>
      </c>
      <c r="J179" s="108" t="str" cm="1">
        <f t="array" ref="J179">IFERROR(INDEX(Cleaned_Campaign_Metadata!A$2:A$6,MATCH(1,(A179 &gt;= Cleaned_Campaign_Metadata!B$2:B$6) *(A179 &lt;= Cleaned_Campaign_Metadata!C$2:C$6),0)),"")</f>
        <v/>
      </c>
      <c r="K179" s="156">
        <v>46768</v>
      </c>
    </row>
    <row r="180" spans="1:11" x14ac:dyDescent="0.3">
      <c r="A180" s="127">
        <v>45754</v>
      </c>
      <c r="B180" s="109" t="s">
        <v>34</v>
      </c>
      <c r="C180" s="161">
        <v>9714</v>
      </c>
      <c r="D180" s="161">
        <v>1395</v>
      </c>
      <c r="E180" s="161">
        <v>1085943</v>
      </c>
      <c r="F180" s="110">
        <v>5.2243073531483697</v>
      </c>
      <c r="G180" s="111">
        <f t="shared" si="5"/>
        <v>5.2243073531483698E-2</v>
      </c>
      <c r="H180" s="165">
        <v>8319</v>
      </c>
      <c r="I180" s="111">
        <v>7.6606230713766746E-3</v>
      </c>
      <c r="J180" s="108" t="str" cm="1">
        <f t="array" ref="J180">IFERROR(INDEX(Cleaned_Campaign_Metadata!A$2:A$6,MATCH(1,(A180 &gt;= Cleaned_Campaign_Metadata!B$2:B$6) *(A180 &lt;= Cleaned_Campaign_Metadata!C$2:C$6),0)),"")</f>
        <v/>
      </c>
      <c r="K180" s="157">
        <v>40682</v>
      </c>
    </row>
    <row r="181" spans="1:11" x14ac:dyDescent="0.3">
      <c r="A181" s="126">
        <v>45754</v>
      </c>
      <c r="B181" s="106" t="s">
        <v>13</v>
      </c>
      <c r="C181" s="160">
        <v>7303</v>
      </c>
      <c r="D181" s="160">
        <v>869</v>
      </c>
      <c r="E181" s="160">
        <v>1073082</v>
      </c>
      <c r="F181" s="107">
        <v>8.1237966902808925</v>
      </c>
      <c r="G181" s="108">
        <f t="shared" si="5"/>
        <v>8.123796690280892E-2</v>
      </c>
      <c r="H181" s="164">
        <v>6434</v>
      </c>
      <c r="I181" s="108">
        <v>5.9958139266151145E-3</v>
      </c>
      <c r="J181" s="108" t="str" cm="1">
        <f t="array" ref="J181">IFERROR(INDEX(Cleaned_Campaign_Metadata!A$2:A$6,MATCH(1,(A181 &gt;= Cleaned_Campaign_Metadata!B$2:B$6) *(A181 &lt;= Cleaned_Campaign_Metadata!C$2:C$6),0)),"")</f>
        <v/>
      </c>
      <c r="K181" s="156">
        <v>27073</v>
      </c>
    </row>
    <row r="182" spans="1:11" x14ac:dyDescent="0.3">
      <c r="A182" s="127">
        <v>45761</v>
      </c>
      <c r="B182" s="109" t="s">
        <v>17</v>
      </c>
      <c r="C182" s="161">
        <v>8569</v>
      </c>
      <c r="D182" s="161">
        <v>720</v>
      </c>
      <c r="E182" s="161">
        <v>1095217</v>
      </c>
      <c r="F182" s="110">
        <v>9.589697749395782</v>
      </c>
      <c r="G182" s="111">
        <f t="shared" si="5"/>
        <v>9.5896977493957813E-2</v>
      </c>
      <c r="H182" s="165">
        <v>7849</v>
      </c>
      <c r="I182" s="111">
        <v>7.1666162961312686E-3</v>
      </c>
      <c r="J182" s="108" t="str" cm="1">
        <f t="array" ref="J182">IFERROR(INDEX(Cleaned_Campaign_Metadata!A$2:A$6,MATCH(1,(A182 &gt;= Cleaned_Campaign_Metadata!B$2:B$6) *(A182 &lt;= Cleaned_Campaign_Metadata!C$2:C$6),0)),"")</f>
        <v/>
      </c>
      <c r="K182" s="157">
        <v>41358</v>
      </c>
    </row>
    <row r="183" spans="1:11" x14ac:dyDescent="0.3">
      <c r="A183" s="126">
        <v>45761</v>
      </c>
      <c r="B183" s="106" t="s">
        <v>17</v>
      </c>
      <c r="C183" s="160">
        <v>6784</v>
      </c>
      <c r="D183" s="160">
        <v>416</v>
      </c>
      <c r="E183" s="160">
        <v>1101585</v>
      </c>
      <c r="F183" s="107">
        <v>9.3041390360253633</v>
      </c>
      <c r="G183" s="108">
        <f t="shared" si="5"/>
        <v>9.3041390360253634E-2</v>
      </c>
      <c r="H183" s="164">
        <v>6368</v>
      </c>
      <c r="I183" s="108">
        <v>5.7807613574985131E-3</v>
      </c>
      <c r="J183" s="108" t="str" cm="1">
        <f t="array" ref="J183">IFERROR(INDEX(Cleaned_Campaign_Metadata!A$2:A$6,MATCH(1,(A183 &gt;= Cleaned_Campaign_Metadata!B$2:B$6) *(A183 &lt;= Cleaned_Campaign_Metadata!C$2:C$6),0)),"")</f>
        <v/>
      </c>
      <c r="K183" s="156">
        <v>24289</v>
      </c>
    </row>
    <row r="184" spans="1:11" x14ac:dyDescent="0.3">
      <c r="A184" s="127">
        <v>45761</v>
      </c>
      <c r="B184" s="109" t="s">
        <v>17</v>
      </c>
      <c r="C184" s="161">
        <v>5583</v>
      </c>
      <c r="D184" s="161">
        <v>795</v>
      </c>
      <c r="E184" s="161">
        <v>1106373</v>
      </c>
      <c r="F184" s="110">
        <v>12.21550055903389</v>
      </c>
      <c r="G184" s="111">
        <f t="shared" si="5"/>
        <v>0.1221550055903389</v>
      </c>
      <c r="H184" s="165">
        <v>4788</v>
      </c>
      <c r="I184" s="111">
        <v>4.327654416729259E-3</v>
      </c>
      <c r="J184" s="108" t="str" cm="1">
        <f t="array" ref="J184">IFERROR(INDEX(Cleaned_Campaign_Metadata!A$2:A$6,MATCH(1,(A184 &gt;= Cleaned_Campaign_Metadata!B$2:B$6) *(A184 &lt;= Cleaned_Campaign_Metadata!C$2:C$6),0)),"")</f>
        <v/>
      </c>
      <c r="K184" s="157">
        <v>59823</v>
      </c>
    </row>
    <row r="185" spans="1:11" x14ac:dyDescent="0.3">
      <c r="A185" s="126">
        <v>45761</v>
      </c>
      <c r="B185" s="106" t="s">
        <v>17</v>
      </c>
      <c r="C185" s="160">
        <v>6946</v>
      </c>
      <c r="D185" s="160">
        <v>956</v>
      </c>
      <c r="E185" s="160">
        <v>1112363</v>
      </c>
      <c r="F185" s="107">
        <v>1.64146056637986</v>
      </c>
      <c r="G185" s="108">
        <f t="shared" si="5"/>
        <v>1.6414605663798602E-2</v>
      </c>
      <c r="H185" s="164">
        <v>5990</v>
      </c>
      <c r="I185" s="108">
        <v>5.3849327962185002E-3</v>
      </c>
      <c r="J185" s="108" t="str" cm="1">
        <f t="array" ref="J185">IFERROR(INDEX(Cleaned_Campaign_Metadata!A$2:A$6,MATCH(1,(A185 &gt;= Cleaned_Campaign_Metadata!B$2:B$6) *(A185 &lt;= Cleaned_Campaign_Metadata!C$2:C$6),0)),"")</f>
        <v/>
      </c>
      <c r="K185" s="156">
        <v>17927</v>
      </c>
    </row>
    <row r="186" spans="1:11" x14ac:dyDescent="0.3">
      <c r="A186" s="126">
        <v>45768</v>
      </c>
      <c r="B186" s="106" t="s">
        <v>20</v>
      </c>
      <c r="C186" s="160">
        <v>5941</v>
      </c>
      <c r="D186" s="160">
        <v>450</v>
      </c>
      <c r="E186" s="160">
        <v>1117854</v>
      </c>
      <c r="F186" s="107">
        <v>12.414411899944</v>
      </c>
      <c r="G186" s="108">
        <f t="shared" si="5"/>
        <v>0.12414411899944</v>
      </c>
      <c r="H186" s="164">
        <v>5491</v>
      </c>
      <c r="I186" s="108">
        <v>4.9120904876665469E-3</v>
      </c>
      <c r="J186" s="108" t="str" cm="1">
        <f t="array" ref="J186">IFERROR(INDEX(Cleaned_Campaign_Metadata!A$2:A$6,MATCH(1,(A186 &gt;= Cleaned_Campaign_Metadata!B$2:B$6) *(A186 &lt;= Cleaned_Campaign_Metadata!C$2:C$6),0)),"")</f>
        <v/>
      </c>
      <c r="K186" s="156">
        <v>58330</v>
      </c>
    </row>
    <row r="187" spans="1:11" x14ac:dyDescent="0.3">
      <c r="A187" s="127">
        <v>45768</v>
      </c>
      <c r="B187" s="109" t="s">
        <v>20</v>
      </c>
      <c r="C187" s="161">
        <v>7267</v>
      </c>
      <c r="D187" s="161">
        <v>842</v>
      </c>
      <c r="E187" s="161">
        <v>1124279</v>
      </c>
      <c r="F187" s="110">
        <v>2.2102165031989389</v>
      </c>
      <c r="G187" s="111">
        <f t="shared" si="5"/>
        <v>2.210216503198939E-2</v>
      </c>
      <c r="H187" s="165">
        <v>6425</v>
      </c>
      <c r="I187" s="111">
        <v>5.7147736460433753E-3</v>
      </c>
      <c r="J187" s="108" t="str" cm="1">
        <f t="array" ref="J187">IFERROR(INDEX(Cleaned_Campaign_Metadata!A$2:A$6,MATCH(1,(A187 &gt;= Cleaned_Campaign_Metadata!B$2:B$6) *(A187 &lt;= Cleaned_Campaign_Metadata!C$2:C$6),0)),"")</f>
        <v/>
      </c>
      <c r="K187" s="157">
        <v>11171</v>
      </c>
    </row>
    <row r="188" spans="1:11" x14ac:dyDescent="0.3">
      <c r="A188" s="126">
        <v>45768</v>
      </c>
      <c r="B188" s="106" t="s">
        <v>20</v>
      </c>
      <c r="C188" s="160">
        <v>3461</v>
      </c>
      <c r="D188" s="160">
        <v>365</v>
      </c>
      <c r="E188" s="160">
        <v>1134433</v>
      </c>
      <c r="F188" s="107">
        <v>10.23489267325616</v>
      </c>
      <c r="G188" s="108">
        <f t="shared" si="5"/>
        <v>0.1023489267325616</v>
      </c>
      <c r="H188" s="164">
        <v>3096</v>
      </c>
      <c r="I188" s="108">
        <v>2.7291166600407427E-3</v>
      </c>
      <c r="J188" s="108" t="str" cm="1">
        <f t="array" ref="J188">IFERROR(INDEX(Cleaned_Campaign_Metadata!A$2:A$6,MATCH(1,(A188 &gt;= Cleaned_Campaign_Metadata!B$2:B$6) *(A188 &lt;= Cleaned_Campaign_Metadata!C$2:C$6),0)),"")</f>
        <v/>
      </c>
      <c r="K188" s="156">
        <v>51903</v>
      </c>
    </row>
    <row r="189" spans="1:11" x14ac:dyDescent="0.3">
      <c r="A189" s="126">
        <v>45768</v>
      </c>
      <c r="B189" s="106" t="s">
        <v>34</v>
      </c>
      <c r="C189" s="160">
        <v>8128</v>
      </c>
      <c r="D189" s="160">
        <v>1070</v>
      </c>
      <c r="E189" s="160">
        <v>1131337</v>
      </c>
      <c r="F189" s="107">
        <v>8.1114645768679008</v>
      </c>
      <c r="G189" s="108">
        <f t="shared" si="5"/>
        <v>8.1114645768679008E-2</v>
      </c>
      <c r="H189" s="164">
        <v>7058</v>
      </c>
      <c r="I189" s="108">
        <v>6.2386362330587612E-3</v>
      </c>
      <c r="J189" s="108" t="str" cm="1">
        <f t="array" ref="J189">IFERROR(INDEX(Cleaned_Campaign_Metadata!A$2:A$6,MATCH(1,(A189 &gt;= Cleaned_Campaign_Metadata!B$2:B$6) *(A189 &lt;= Cleaned_Campaign_Metadata!C$2:C$6),0)),"")</f>
        <v/>
      </c>
      <c r="K189" s="156">
        <v>21918</v>
      </c>
    </row>
    <row r="190" spans="1:11" x14ac:dyDescent="0.3">
      <c r="A190" s="127">
        <v>45775</v>
      </c>
      <c r="B190" s="109" t="s">
        <v>17</v>
      </c>
      <c r="C190" s="161">
        <v>1685</v>
      </c>
      <c r="D190" s="161">
        <v>173</v>
      </c>
      <c r="E190" s="161">
        <v>1135945</v>
      </c>
      <c r="F190" s="110">
        <v>8.7776256772995165</v>
      </c>
      <c r="G190" s="111">
        <f t="shared" si="5"/>
        <v>8.7776256772995165E-2</v>
      </c>
      <c r="H190" s="165">
        <v>1512</v>
      </c>
      <c r="I190" s="111">
        <v>1.331050358952238E-3</v>
      </c>
      <c r="J190" s="108" t="str" cm="1">
        <f t="array" ref="J190">IFERROR(INDEX(Cleaned_Campaign_Metadata!A$2:A$6,MATCH(1,(A190 &gt;= Cleaned_Campaign_Metadata!B$2:B$6) *(A190 &lt;= Cleaned_Campaign_Metadata!C$2:C$6),0)),"")</f>
        <v/>
      </c>
      <c r="K190" s="157">
        <v>49110</v>
      </c>
    </row>
    <row r="191" spans="1:11" x14ac:dyDescent="0.3">
      <c r="A191" s="127">
        <v>45775</v>
      </c>
      <c r="B191" s="109" t="s">
        <v>34</v>
      </c>
      <c r="C191" s="161">
        <v>3160</v>
      </c>
      <c r="D191" s="161">
        <v>234</v>
      </c>
      <c r="E191" s="161">
        <v>1138871</v>
      </c>
      <c r="F191" s="110">
        <v>5.6959041015180816</v>
      </c>
      <c r="G191" s="111">
        <f t="shared" si="5"/>
        <v>5.6959041015180817E-2</v>
      </c>
      <c r="H191" s="165">
        <v>2926</v>
      </c>
      <c r="I191" s="111">
        <v>2.5692110871204906E-3</v>
      </c>
      <c r="J191" s="108" t="str" cm="1">
        <f t="array" ref="J191">IFERROR(INDEX(Cleaned_Campaign_Metadata!A$2:A$6,MATCH(1,(A191 &gt;= Cleaned_Campaign_Metadata!B$2:B$6) *(A191 &lt;= Cleaned_Campaign_Metadata!C$2:C$6),0)),"")</f>
        <v/>
      </c>
      <c r="K191" s="157">
        <v>21929</v>
      </c>
    </row>
    <row r="192" spans="1:11" x14ac:dyDescent="0.3">
      <c r="A192" s="126">
        <v>45775</v>
      </c>
      <c r="B192" s="106" t="s">
        <v>34</v>
      </c>
      <c r="C192" s="160">
        <v>8031</v>
      </c>
      <c r="D192" s="160">
        <v>476</v>
      </c>
      <c r="E192" s="160">
        <v>1146426</v>
      </c>
      <c r="F192" s="107">
        <v>11.940413075069831</v>
      </c>
      <c r="G192" s="108">
        <f t="shared" si="5"/>
        <v>0.11940413075069831</v>
      </c>
      <c r="H192" s="164">
        <v>7555</v>
      </c>
      <c r="I192" s="108">
        <v>6.5900459340594159E-3</v>
      </c>
      <c r="J192" s="108" t="str" cm="1">
        <f t="array" ref="J192">IFERROR(INDEX(Cleaned_Campaign_Metadata!A$2:A$6,MATCH(1,(A192 &gt;= Cleaned_Campaign_Metadata!B$2:B$6) *(A192 &lt;= Cleaned_Campaign_Metadata!C$2:C$6),0)),"")</f>
        <v/>
      </c>
      <c r="K192" s="156">
        <v>12539</v>
      </c>
    </row>
    <row r="193" spans="1:11" x14ac:dyDescent="0.3">
      <c r="A193" s="127">
        <v>45775</v>
      </c>
      <c r="B193" s="109" t="s">
        <v>34</v>
      </c>
      <c r="C193" s="161">
        <v>6341</v>
      </c>
      <c r="D193" s="161">
        <v>885</v>
      </c>
      <c r="E193" s="161">
        <v>1151882</v>
      </c>
      <c r="F193" s="110">
        <v>6.3457020771224837</v>
      </c>
      <c r="G193" s="111">
        <f t="shared" si="5"/>
        <v>6.3457020771224837E-2</v>
      </c>
      <c r="H193" s="165">
        <v>5456</v>
      </c>
      <c r="I193" s="111">
        <v>4.7365962832998515E-3</v>
      </c>
      <c r="J193" s="108" t="str" cm="1">
        <f t="array" ref="J193">IFERROR(INDEX(Cleaned_Campaign_Metadata!A$2:A$6,MATCH(1,(A193 &gt;= Cleaned_Campaign_Metadata!B$2:B$6) *(A193 &lt;= Cleaned_Campaign_Metadata!C$2:C$6),0)),"")</f>
        <v/>
      </c>
      <c r="K193" s="157">
        <v>46727</v>
      </c>
    </row>
    <row r="194" spans="1:11" x14ac:dyDescent="0.3">
      <c r="A194" s="127">
        <v>45782</v>
      </c>
      <c r="B194" s="109" t="s">
        <v>20</v>
      </c>
      <c r="C194" s="161">
        <v>8697</v>
      </c>
      <c r="D194" s="161">
        <v>738</v>
      </c>
      <c r="E194" s="161">
        <v>1168011</v>
      </c>
      <c r="F194" s="110">
        <v>3.8777032065622672</v>
      </c>
      <c r="G194" s="111">
        <f t="shared" ref="G194:G201" si="6">F194/100</f>
        <v>3.877703206562267E-2</v>
      </c>
      <c r="H194" s="165">
        <v>7959</v>
      </c>
      <c r="I194" s="111">
        <v>6.8141481544266276E-3</v>
      </c>
      <c r="J194" s="108" t="str" cm="1">
        <f t="array" ref="J194">IFERROR(INDEX(Cleaned_Campaign_Metadata!A$2:A$6,MATCH(1,(A194 &gt;= Cleaned_Campaign_Metadata!B$2:B$6) *(A194 &lt;= Cleaned_Campaign_Metadata!C$2:C$6),0)),"")</f>
        <v/>
      </c>
      <c r="K194" s="157">
        <v>30644</v>
      </c>
    </row>
    <row r="195" spans="1:11" x14ac:dyDescent="0.3">
      <c r="A195" s="126">
        <v>45782</v>
      </c>
      <c r="B195" s="106" t="s">
        <v>17</v>
      </c>
      <c r="C195" s="160">
        <v>1038</v>
      </c>
      <c r="D195" s="160">
        <v>145</v>
      </c>
      <c r="E195" s="160">
        <v>1152775</v>
      </c>
      <c r="F195" s="107">
        <v>11.093752033137431</v>
      </c>
      <c r="G195" s="108">
        <f t="shared" si="6"/>
        <v>0.11093752033137431</v>
      </c>
      <c r="H195" s="164">
        <v>893</v>
      </c>
      <c r="I195" s="108">
        <v>7.7465246904209403E-4</v>
      </c>
      <c r="J195" s="108" t="str" cm="1">
        <f t="array" ref="J195">IFERROR(INDEX(Cleaned_Campaign_Metadata!A$2:A$6,MATCH(1,(A195 &gt;= Cleaned_Campaign_Metadata!B$2:B$6) *(A195 &lt;= Cleaned_Campaign_Metadata!C$2:C$6),0)),"")</f>
        <v/>
      </c>
      <c r="K195" s="156">
        <v>55951</v>
      </c>
    </row>
    <row r="196" spans="1:11" x14ac:dyDescent="0.3">
      <c r="A196" s="127">
        <v>45782</v>
      </c>
      <c r="B196" s="109" t="s">
        <v>17</v>
      </c>
      <c r="C196" s="161">
        <v>2256</v>
      </c>
      <c r="D196" s="161">
        <v>189</v>
      </c>
      <c r="E196" s="161">
        <v>1160052</v>
      </c>
      <c r="F196" s="110">
        <v>2.8935771844710412</v>
      </c>
      <c r="G196" s="111">
        <f t="shared" si="6"/>
        <v>2.8935771844710412E-2</v>
      </c>
      <c r="H196" s="165">
        <v>2067</v>
      </c>
      <c r="I196" s="111">
        <v>1.7818166771834366E-3</v>
      </c>
      <c r="J196" s="108" t="str" cm="1">
        <f t="array" ref="J196">IFERROR(INDEX(Cleaned_Campaign_Metadata!A$2:A$6,MATCH(1,(A196 &gt;= Cleaned_Campaign_Metadata!B$2:B$6) *(A196 &lt;= Cleaned_Campaign_Metadata!C$2:C$6),0)),"")</f>
        <v/>
      </c>
      <c r="K196" s="157">
        <v>15432</v>
      </c>
    </row>
    <row r="197" spans="1:11" x14ac:dyDescent="0.3">
      <c r="A197" s="127">
        <v>45782</v>
      </c>
      <c r="B197" s="109" t="s">
        <v>13</v>
      </c>
      <c r="C197" s="161">
        <v>5875</v>
      </c>
      <c r="D197" s="161">
        <v>665</v>
      </c>
      <c r="E197" s="161">
        <v>1157985</v>
      </c>
      <c r="F197" s="110">
        <v>6.9871371390821126</v>
      </c>
      <c r="G197" s="111">
        <f t="shared" si="6"/>
        <v>6.9871371390821127E-2</v>
      </c>
      <c r="H197" s="165">
        <v>5210</v>
      </c>
      <c r="I197" s="111">
        <v>4.4991947218659999E-3</v>
      </c>
      <c r="J197" s="108" t="str" cm="1">
        <f t="array" ref="J197">IFERROR(INDEX(Cleaned_Campaign_Metadata!A$2:A$6,MATCH(1,(A197 &gt;= Cleaned_Campaign_Metadata!B$2:B$6) *(A197 &lt;= Cleaned_Campaign_Metadata!C$2:C$6),0)),"")</f>
        <v/>
      </c>
      <c r="K197" s="157">
        <v>32669</v>
      </c>
    </row>
    <row r="198" spans="1:11" x14ac:dyDescent="0.3">
      <c r="A198" s="126">
        <v>45789</v>
      </c>
      <c r="B198" s="106" t="s">
        <v>20</v>
      </c>
      <c r="C198" s="160">
        <v>3196</v>
      </c>
      <c r="D198" s="160">
        <v>391</v>
      </c>
      <c r="E198" s="160">
        <v>1170816</v>
      </c>
      <c r="F198" s="107">
        <v>7.2439221876024931</v>
      </c>
      <c r="G198" s="108">
        <f t="shared" si="6"/>
        <v>7.2439221876024931E-2</v>
      </c>
      <c r="H198" s="164">
        <v>2805</v>
      </c>
      <c r="I198" s="108">
        <v>2.3957650049196456E-3</v>
      </c>
      <c r="J198" s="108" t="str" cm="1">
        <f t="array" ref="J198">IFERROR(INDEX(Cleaned_Campaign_Metadata!A$2:A$6,MATCH(1,(A198 &gt;= Cleaned_Campaign_Metadata!B$2:B$6) *(A198 &lt;= Cleaned_Campaign_Metadata!C$2:C$6),0)),"")</f>
        <v/>
      </c>
      <c r="K198" s="156">
        <v>28745</v>
      </c>
    </row>
    <row r="199" spans="1:11" x14ac:dyDescent="0.3">
      <c r="A199" s="126">
        <v>45789</v>
      </c>
      <c r="B199" s="106" t="s">
        <v>17</v>
      </c>
      <c r="C199" s="160">
        <v>8165</v>
      </c>
      <c r="D199" s="160">
        <v>1140</v>
      </c>
      <c r="E199" s="160">
        <v>1177841</v>
      </c>
      <c r="F199" s="107">
        <v>9.095964565675672</v>
      </c>
      <c r="G199" s="108">
        <f t="shared" si="6"/>
        <v>9.0959645656756724E-2</v>
      </c>
      <c r="H199" s="164">
        <v>7025</v>
      </c>
      <c r="I199" s="108">
        <v>5.9643024822535473E-3</v>
      </c>
      <c r="J199" s="108" t="str" cm="1">
        <f t="array" ref="J199">IFERROR(INDEX(Cleaned_Campaign_Metadata!A$2:A$6,MATCH(1,(A199 &gt;= Cleaned_Campaign_Metadata!B$2:B$6) *(A199 &lt;= Cleaned_Campaign_Metadata!C$2:C$6),0)),"")</f>
        <v/>
      </c>
      <c r="K199" s="156">
        <v>38228</v>
      </c>
    </row>
    <row r="200" spans="1:11" x14ac:dyDescent="0.3">
      <c r="A200" s="127">
        <v>45789</v>
      </c>
      <c r="B200" s="109" t="s">
        <v>17</v>
      </c>
      <c r="C200" s="161">
        <v>1301</v>
      </c>
      <c r="D200" s="161">
        <v>180</v>
      </c>
      <c r="E200" s="161">
        <v>1178962</v>
      </c>
      <c r="F200" s="110">
        <v>5.2275645864752214</v>
      </c>
      <c r="G200" s="111">
        <f t="shared" si="6"/>
        <v>5.2275645864752217E-2</v>
      </c>
      <c r="H200" s="165">
        <v>1121</v>
      </c>
      <c r="I200" s="111">
        <v>9.5083641372665107E-4</v>
      </c>
      <c r="J200" s="108" t="str" cm="1">
        <f t="array" ref="J200">IFERROR(INDEX(Cleaned_Campaign_Metadata!A$2:A$6,MATCH(1,(A200 &gt;= Cleaned_Campaign_Metadata!B$2:B$6) *(A200 &lt;= Cleaned_Campaign_Metadata!C$2:C$6),0)),"")</f>
        <v/>
      </c>
      <c r="K200" s="157">
        <v>44521</v>
      </c>
    </row>
    <row r="201" spans="1:11" x14ac:dyDescent="0.3">
      <c r="A201" s="126">
        <v>45789</v>
      </c>
      <c r="B201" s="106" t="s">
        <v>34</v>
      </c>
      <c r="C201" s="160">
        <v>8527</v>
      </c>
      <c r="D201" s="160">
        <v>1091</v>
      </c>
      <c r="E201" s="160">
        <v>1186398</v>
      </c>
      <c r="F201" s="107">
        <v>1.676081719625286</v>
      </c>
      <c r="G201" s="108">
        <f t="shared" si="6"/>
        <v>1.6760817196252858E-2</v>
      </c>
      <c r="H201" s="164">
        <v>7436</v>
      </c>
      <c r="I201" s="108">
        <v>6.267711172810473E-3</v>
      </c>
      <c r="J201" s="108" t="str" cm="1">
        <f t="array" ref="J201">IFERROR(INDEX(Cleaned_Campaign_Metadata!A$2:A$6,MATCH(1,(A201 &gt;= Cleaned_Campaign_Metadata!B$2:B$6) *(A201 &lt;= Cleaned_Campaign_Metadata!C$2:C$6),0)),"")</f>
        <v/>
      </c>
      <c r="K201" s="156">
        <v>41703</v>
      </c>
    </row>
    <row r="202" spans="1:11" x14ac:dyDescent="0.3">
      <c r="A202" s="127"/>
      <c r="B202" s="109"/>
      <c r="C202" s="161"/>
      <c r="D202" s="161"/>
      <c r="E202" s="161"/>
      <c r="F202" s="118"/>
      <c r="G202" s="119"/>
      <c r="H202" s="165"/>
      <c r="I202" s="119"/>
      <c r="J202" s="119"/>
      <c r="K202" s="157"/>
    </row>
    <row r="203" spans="1:11" x14ac:dyDescent="0.3">
      <c r="A203" s="127"/>
      <c r="B203" s="109"/>
      <c r="C203" s="161"/>
      <c r="D203" s="161"/>
      <c r="E203" s="161"/>
      <c r="F203" s="118"/>
      <c r="G203" s="119"/>
      <c r="H203" s="165"/>
      <c r="I203" s="119"/>
      <c r="J203" s="119"/>
      <c r="K203" s="157"/>
    </row>
    <row r="204" spans="1:11" x14ac:dyDescent="0.3">
      <c r="A204" s="127"/>
      <c r="B204" s="109"/>
      <c r="C204" s="161"/>
      <c r="D204" s="161"/>
      <c r="E204" s="161"/>
      <c r="F204" s="118"/>
      <c r="G204" s="119"/>
      <c r="H204" s="165"/>
      <c r="I204" s="119"/>
      <c r="J204" s="119"/>
      <c r="K204" s="157"/>
    </row>
    <row r="205" spans="1:11" x14ac:dyDescent="0.3">
      <c r="A205" s="127"/>
      <c r="B205" s="109"/>
      <c r="C205" s="161"/>
      <c r="D205" s="161"/>
      <c r="E205" s="161"/>
      <c r="F205" s="118"/>
      <c r="G205" s="119"/>
      <c r="H205" s="165"/>
      <c r="I205" s="119"/>
      <c r="J205" s="119"/>
      <c r="K205" s="157"/>
    </row>
    <row r="206" spans="1:11" x14ac:dyDescent="0.3">
      <c r="A206" s="127"/>
      <c r="B206" s="109"/>
      <c r="C206" s="161"/>
      <c r="D206" s="161"/>
      <c r="E206" s="161"/>
      <c r="F206" s="118"/>
      <c r="G206" s="119"/>
      <c r="H206" s="165"/>
      <c r="I206" s="119"/>
      <c r="J206" s="119"/>
      <c r="K206" s="157"/>
    </row>
    <row r="207" spans="1:11" x14ac:dyDescent="0.3">
      <c r="A207" s="127"/>
      <c r="B207" s="109"/>
      <c r="C207" s="161"/>
      <c r="D207" s="161"/>
      <c r="E207" s="161"/>
      <c r="F207" s="118"/>
      <c r="G207" s="119"/>
      <c r="H207" s="165"/>
      <c r="I207" s="119"/>
      <c r="J207" s="119"/>
      <c r="K207" s="157"/>
    </row>
    <row r="208" spans="1:11" x14ac:dyDescent="0.3">
      <c r="A208" s="127"/>
      <c r="B208" s="109"/>
      <c r="C208" s="161"/>
      <c r="D208" s="161"/>
      <c r="E208" s="161"/>
      <c r="F208" s="118"/>
      <c r="G208" s="119"/>
      <c r="H208" s="165"/>
      <c r="I208" s="119"/>
      <c r="J208" s="119"/>
      <c r="K208" s="157"/>
    </row>
    <row r="209" spans="1:11" x14ac:dyDescent="0.3">
      <c r="A209" s="127"/>
      <c r="B209" s="109"/>
      <c r="C209" s="161"/>
      <c r="D209" s="161"/>
      <c r="E209" s="161"/>
      <c r="F209" s="118"/>
      <c r="G209" s="119"/>
      <c r="H209" s="165"/>
      <c r="I209" s="119"/>
      <c r="J209" s="119"/>
      <c r="K209" s="157"/>
    </row>
    <row r="210" spans="1:11" x14ac:dyDescent="0.3">
      <c r="A210" s="127"/>
      <c r="B210" s="109"/>
      <c r="C210" s="161"/>
      <c r="D210" s="161"/>
      <c r="E210" s="161"/>
      <c r="F210" s="118"/>
      <c r="G210" s="119"/>
      <c r="H210" s="165"/>
      <c r="I210" s="119"/>
      <c r="J210" s="119"/>
      <c r="K210" s="157"/>
    </row>
    <row r="211" spans="1:11" x14ac:dyDescent="0.3">
      <c r="A211" s="127"/>
      <c r="B211" s="109"/>
      <c r="C211" s="161"/>
      <c r="D211" s="161"/>
      <c r="E211" s="161"/>
      <c r="F211" s="118"/>
      <c r="G211" s="119"/>
      <c r="H211" s="165"/>
      <c r="I211" s="119"/>
      <c r="J211" s="119"/>
      <c r="K211" s="157"/>
    </row>
    <row r="212" spans="1:11" x14ac:dyDescent="0.3">
      <c r="A212" s="127"/>
      <c r="B212" s="109"/>
      <c r="C212" s="161"/>
      <c r="D212" s="161"/>
      <c r="E212" s="161"/>
      <c r="F212" s="118"/>
      <c r="G212" s="119"/>
      <c r="H212" s="165"/>
      <c r="I212" s="119"/>
      <c r="J212" s="119"/>
      <c r="K212" s="157"/>
    </row>
    <row r="213" spans="1:11" x14ac:dyDescent="0.3">
      <c r="A213" s="127"/>
      <c r="B213" s="109"/>
      <c r="C213" s="161"/>
      <c r="D213" s="161"/>
      <c r="E213" s="161"/>
      <c r="F213" s="118"/>
      <c r="G213" s="119"/>
      <c r="H213" s="165"/>
      <c r="I213" s="119"/>
      <c r="J213" s="119"/>
      <c r="K213" s="157"/>
    </row>
    <row r="214" spans="1:11" x14ac:dyDescent="0.3">
      <c r="A214" s="127"/>
      <c r="B214" s="109"/>
      <c r="C214" s="161"/>
      <c r="D214" s="161"/>
      <c r="E214" s="161"/>
      <c r="F214" s="118"/>
      <c r="G214" s="119"/>
      <c r="H214" s="165"/>
      <c r="I214" s="119"/>
      <c r="J214" s="119"/>
      <c r="K214" s="157"/>
    </row>
    <row r="215" spans="1:11" x14ac:dyDescent="0.3">
      <c r="A215" s="127"/>
      <c r="B215" s="109"/>
      <c r="C215" s="161"/>
      <c r="D215" s="161"/>
      <c r="E215" s="161"/>
      <c r="F215" s="118"/>
      <c r="G215" s="119"/>
      <c r="H215" s="165"/>
      <c r="I215" s="119"/>
      <c r="J215" s="119"/>
      <c r="K215" s="157"/>
    </row>
    <row r="216" spans="1:11" x14ac:dyDescent="0.3">
      <c r="A216" s="127"/>
      <c r="B216" s="109"/>
      <c r="C216" s="161"/>
      <c r="D216" s="161"/>
      <c r="E216" s="161"/>
      <c r="F216" s="118"/>
      <c r="G216" s="119"/>
      <c r="H216" s="165"/>
      <c r="I216" s="119"/>
      <c r="J216" s="119"/>
      <c r="K216" s="157"/>
    </row>
    <row r="217" spans="1:11" x14ac:dyDescent="0.3">
      <c r="A217" s="127"/>
      <c r="B217" s="109"/>
      <c r="C217" s="161"/>
      <c r="D217" s="161"/>
      <c r="E217" s="161"/>
      <c r="F217" s="118"/>
      <c r="G217" s="119"/>
      <c r="H217" s="165"/>
      <c r="I217" s="119"/>
      <c r="J217" s="119"/>
      <c r="K217" s="157"/>
    </row>
    <row r="218" spans="1:11" x14ac:dyDescent="0.3">
      <c r="A218" s="127"/>
      <c r="B218" s="109"/>
      <c r="C218" s="161"/>
      <c r="D218" s="161"/>
      <c r="E218" s="161"/>
      <c r="F218" s="118"/>
      <c r="G218" s="119"/>
      <c r="H218" s="165"/>
      <c r="I218" s="119"/>
      <c r="J218" s="119"/>
      <c r="K218" s="157"/>
    </row>
    <row r="219" spans="1:11" x14ac:dyDescent="0.3">
      <c r="A219" s="127"/>
      <c r="B219" s="109"/>
      <c r="C219" s="161"/>
      <c r="D219" s="161"/>
      <c r="E219" s="161"/>
      <c r="F219" s="118"/>
      <c r="G219" s="119"/>
      <c r="H219" s="165"/>
      <c r="I219" s="119"/>
      <c r="J219" s="119"/>
      <c r="K219" s="157"/>
    </row>
    <row r="220" spans="1:11" x14ac:dyDescent="0.3">
      <c r="A220" s="127"/>
      <c r="B220" s="109"/>
      <c r="C220" s="161"/>
      <c r="D220" s="161"/>
      <c r="E220" s="161"/>
      <c r="F220" s="118"/>
      <c r="G220" s="119"/>
      <c r="H220" s="165"/>
      <c r="I220" s="119"/>
      <c r="J220" s="119"/>
      <c r="K220" s="157"/>
    </row>
    <row r="221" spans="1:11" x14ac:dyDescent="0.3">
      <c r="A221" s="127"/>
      <c r="B221" s="109"/>
      <c r="C221" s="161"/>
      <c r="D221" s="161"/>
      <c r="E221" s="161"/>
      <c r="F221" s="118"/>
      <c r="G221" s="119"/>
      <c r="H221" s="165"/>
      <c r="I221" s="119"/>
      <c r="J221" s="119"/>
      <c r="K221" s="157"/>
    </row>
    <row r="222" spans="1:11" x14ac:dyDescent="0.3">
      <c r="A222" s="127"/>
      <c r="B222" s="109"/>
      <c r="C222" s="161"/>
      <c r="D222" s="161"/>
      <c r="E222" s="161"/>
      <c r="F222" s="118"/>
      <c r="G222" s="119"/>
      <c r="H222" s="165"/>
      <c r="I222" s="119"/>
      <c r="J222" s="119"/>
      <c r="K222" s="157"/>
    </row>
    <row r="223" spans="1:11" x14ac:dyDescent="0.3">
      <c r="A223" s="127"/>
      <c r="B223" s="109"/>
      <c r="C223" s="161"/>
      <c r="D223" s="161"/>
      <c r="E223" s="161"/>
      <c r="F223" s="118"/>
      <c r="G223" s="119"/>
      <c r="H223" s="165"/>
      <c r="I223" s="119"/>
      <c r="J223" s="119"/>
      <c r="K223" s="157"/>
    </row>
    <row r="224" spans="1:11" x14ac:dyDescent="0.3">
      <c r="A224" s="127"/>
      <c r="B224" s="109"/>
      <c r="C224" s="161"/>
      <c r="D224" s="161"/>
      <c r="E224" s="161"/>
      <c r="F224" s="118"/>
      <c r="G224" s="119"/>
      <c r="H224" s="165"/>
      <c r="I224" s="119"/>
      <c r="J224" s="119"/>
      <c r="K224" s="157"/>
    </row>
    <row r="225" spans="1:11" x14ac:dyDescent="0.3">
      <c r="A225" s="127"/>
      <c r="B225" s="109"/>
      <c r="C225" s="161"/>
      <c r="D225" s="161"/>
      <c r="E225" s="161"/>
      <c r="F225" s="118"/>
      <c r="G225" s="119"/>
      <c r="H225" s="165"/>
      <c r="I225" s="119"/>
      <c r="J225" s="119"/>
      <c r="K225" s="157"/>
    </row>
    <row r="226" spans="1:11" x14ac:dyDescent="0.3">
      <c r="A226" s="127"/>
      <c r="B226" s="109"/>
      <c r="C226" s="161"/>
      <c r="D226" s="161"/>
      <c r="E226" s="161"/>
      <c r="F226" s="118"/>
      <c r="G226" s="119"/>
      <c r="H226" s="165"/>
      <c r="I226" s="119"/>
      <c r="J226" s="119"/>
      <c r="K226" s="157"/>
    </row>
    <row r="227" spans="1:11" x14ac:dyDescent="0.3">
      <c r="A227" s="127"/>
      <c r="B227" s="109"/>
      <c r="C227" s="161"/>
      <c r="D227" s="161"/>
      <c r="E227" s="161"/>
      <c r="F227" s="118"/>
      <c r="G227" s="119"/>
      <c r="H227" s="165"/>
      <c r="I227" s="119"/>
      <c r="J227" s="119"/>
      <c r="K227" s="157"/>
    </row>
    <row r="228" spans="1:11" x14ac:dyDescent="0.3">
      <c r="A228" s="127"/>
      <c r="B228" s="109"/>
      <c r="C228" s="161"/>
      <c r="D228" s="161"/>
      <c r="E228" s="161"/>
      <c r="F228" s="118"/>
      <c r="G228" s="119"/>
      <c r="H228" s="165"/>
      <c r="I228" s="119"/>
      <c r="J228" s="119"/>
      <c r="K228" s="157"/>
    </row>
    <row r="229" spans="1:11" x14ac:dyDescent="0.3">
      <c r="A229" s="127"/>
      <c r="B229" s="109"/>
      <c r="C229" s="161"/>
      <c r="D229" s="161"/>
      <c r="E229" s="161"/>
      <c r="F229" s="118"/>
      <c r="G229" s="119"/>
      <c r="H229" s="165"/>
      <c r="I229" s="119"/>
      <c r="J229" s="119"/>
      <c r="K229" s="157"/>
    </row>
    <row r="230" spans="1:11" x14ac:dyDescent="0.3">
      <c r="A230" s="127"/>
      <c r="B230" s="109"/>
      <c r="C230" s="161"/>
      <c r="D230" s="161"/>
      <c r="E230" s="161"/>
      <c r="F230" s="118"/>
      <c r="G230" s="119"/>
      <c r="H230" s="165"/>
      <c r="I230" s="119"/>
      <c r="J230" s="119"/>
      <c r="K230" s="157"/>
    </row>
    <row r="231" spans="1:11" x14ac:dyDescent="0.3">
      <c r="A231" s="127"/>
      <c r="B231" s="109"/>
      <c r="C231" s="161"/>
      <c r="D231" s="161"/>
      <c r="E231" s="161"/>
      <c r="F231" s="118"/>
      <c r="G231" s="119"/>
      <c r="H231" s="165"/>
      <c r="I231" s="119"/>
      <c r="J231" s="119"/>
      <c r="K231" s="157"/>
    </row>
    <row r="232" spans="1:11" x14ac:dyDescent="0.3">
      <c r="A232" s="127"/>
      <c r="B232" s="109"/>
      <c r="C232" s="161"/>
      <c r="D232" s="161"/>
      <c r="E232" s="161"/>
      <c r="F232" s="118"/>
      <c r="G232" s="119"/>
      <c r="H232" s="165"/>
      <c r="I232" s="119"/>
      <c r="J232" s="119"/>
      <c r="K232" s="157"/>
    </row>
    <row r="233" spans="1:11" x14ac:dyDescent="0.3">
      <c r="A233" s="127"/>
      <c r="B233" s="109"/>
      <c r="C233" s="161"/>
      <c r="D233" s="161"/>
      <c r="E233" s="161"/>
      <c r="F233" s="118"/>
      <c r="G233" s="119"/>
      <c r="H233" s="165"/>
      <c r="I233" s="119"/>
      <c r="J233" s="119"/>
      <c r="K233" s="157"/>
    </row>
    <row r="234" spans="1:11" x14ac:dyDescent="0.3">
      <c r="A234" s="127"/>
      <c r="B234" s="109"/>
      <c r="C234" s="161"/>
      <c r="D234" s="161"/>
      <c r="E234" s="161"/>
      <c r="F234" s="118"/>
      <c r="G234" s="119"/>
      <c r="H234" s="165"/>
      <c r="I234" s="119"/>
      <c r="J234" s="119"/>
      <c r="K234" s="157"/>
    </row>
    <row r="235" spans="1:11" x14ac:dyDescent="0.3">
      <c r="A235" s="127"/>
      <c r="B235" s="109"/>
      <c r="C235" s="161"/>
      <c r="D235" s="161"/>
      <c r="E235" s="161"/>
      <c r="F235" s="118"/>
      <c r="G235" s="119"/>
      <c r="H235" s="165"/>
      <c r="I235" s="119"/>
      <c r="J235" s="119"/>
      <c r="K235" s="157"/>
    </row>
    <row r="236" spans="1:11" x14ac:dyDescent="0.3">
      <c r="A236" s="127"/>
      <c r="B236" s="109"/>
      <c r="C236" s="161"/>
      <c r="D236" s="161"/>
      <c r="E236" s="161"/>
      <c r="F236" s="118"/>
      <c r="G236" s="119"/>
      <c r="H236" s="165"/>
      <c r="I236" s="119"/>
      <c r="J236" s="119"/>
      <c r="K236" s="157"/>
    </row>
    <row r="237" spans="1:11" x14ac:dyDescent="0.3">
      <c r="A237" s="127"/>
      <c r="B237" s="109"/>
      <c r="C237" s="161"/>
      <c r="D237" s="161"/>
      <c r="E237" s="161"/>
      <c r="F237" s="118"/>
      <c r="G237" s="119"/>
      <c r="H237" s="165"/>
      <c r="I237" s="119"/>
      <c r="J237" s="119"/>
      <c r="K237" s="157"/>
    </row>
    <row r="238" spans="1:11" x14ac:dyDescent="0.3">
      <c r="A238" s="127"/>
      <c r="B238" s="109"/>
      <c r="C238" s="161"/>
      <c r="D238" s="161"/>
      <c r="E238" s="161"/>
      <c r="F238" s="118"/>
      <c r="G238" s="119"/>
      <c r="H238" s="165"/>
      <c r="I238" s="119"/>
      <c r="J238" s="119"/>
      <c r="K238" s="157"/>
    </row>
    <row r="239" spans="1:11" x14ac:dyDescent="0.3">
      <c r="A239" s="127"/>
      <c r="B239" s="109"/>
      <c r="C239" s="161"/>
      <c r="D239" s="161"/>
      <c r="E239" s="161"/>
      <c r="F239" s="118"/>
      <c r="G239" s="119"/>
      <c r="H239" s="165"/>
      <c r="I239" s="119"/>
      <c r="J239" s="119"/>
      <c r="K239" s="157"/>
    </row>
    <row r="240" spans="1:11" x14ac:dyDescent="0.3">
      <c r="A240" s="127"/>
      <c r="B240" s="109"/>
      <c r="C240" s="161"/>
      <c r="D240" s="161"/>
      <c r="E240" s="161"/>
      <c r="F240" s="118"/>
      <c r="G240" s="119"/>
      <c r="H240" s="165"/>
      <c r="I240" s="119"/>
      <c r="J240" s="119"/>
      <c r="K240" s="157"/>
    </row>
    <row r="241" spans="1:11" x14ac:dyDescent="0.3">
      <c r="A241" s="127"/>
      <c r="B241" s="109"/>
      <c r="C241" s="161"/>
      <c r="D241" s="161"/>
      <c r="E241" s="161"/>
      <c r="F241" s="118"/>
      <c r="G241" s="119"/>
      <c r="H241" s="165"/>
      <c r="I241" s="119"/>
      <c r="J241" s="119"/>
      <c r="K241" s="157"/>
    </row>
    <row r="242" spans="1:11" x14ac:dyDescent="0.3">
      <c r="A242" s="127"/>
      <c r="B242" s="109"/>
      <c r="C242" s="161"/>
      <c r="D242" s="161"/>
      <c r="E242" s="161"/>
      <c r="F242" s="118"/>
      <c r="G242" s="119"/>
      <c r="H242" s="165"/>
      <c r="I242" s="119"/>
      <c r="J242" s="119"/>
      <c r="K242" s="157"/>
    </row>
    <row r="243" spans="1:11" x14ac:dyDescent="0.3">
      <c r="A243" s="127"/>
      <c r="B243" s="109"/>
      <c r="C243" s="161"/>
      <c r="D243" s="161"/>
      <c r="E243" s="161"/>
      <c r="F243" s="118"/>
      <c r="G243" s="119"/>
      <c r="H243" s="165"/>
      <c r="I243" s="119"/>
      <c r="J243" s="119"/>
      <c r="K243" s="157"/>
    </row>
    <row r="244" spans="1:11" x14ac:dyDescent="0.3">
      <c r="A244" s="127"/>
      <c r="B244" s="109"/>
      <c r="C244" s="161"/>
      <c r="D244" s="161"/>
      <c r="E244" s="161"/>
      <c r="F244" s="118"/>
      <c r="G244" s="119"/>
      <c r="H244" s="165"/>
      <c r="I244" s="119"/>
      <c r="J244" s="119"/>
      <c r="K244" s="157"/>
    </row>
    <row r="245" spans="1:11" x14ac:dyDescent="0.3">
      <c r="A245" s="127"/>
      <c r="B245" s="109"/>
      <c r="C245" s="161"/>
      <c r="D245" s="161"/>
      <c r="E245" s="161"/>
      <c r="F245" s="118"/>
      <c r="G245" s="119"/>
      <c r="H245" s="165"/>
      <c r="I245" s="119"/>
      <c r="J245" s="119"/>
      <c r="K245" s="157"/>
    </row>
    <row r="246" spans="1:11" x14ac:dyDescent="0.3">
      <c r="A246" s="127"/>
      <c r="B246" s="109"/>
      <c r="C246" s="161"/>
      <c r="D246" s="161"/>
      <c r="E246" s="161"/>
      <c r="F246" s="118"/>
      <c r="G246" s="119"/>
      <c r="H246" s="165"/>
      <c r="I246" s="119"/>
      <c r="J246" s="119"/>
      <c r="K246" s="157"/>
    </row>
    <row r="247" spans="1:11" x14ac:dyDescent="0.3">
      <c r="A247" s="127"/>
      <c r="B247" s="109"/>
      <c r="C247" s="161"/>
      <c r="D247" s="161"/>
      <c r="E247" s="161"/>
      <c r="F247" s="118"/>
      <c r="G247" s="119"/>
      <c r="H247" s="165"/>
      <c r="I247" s="119"/>
      <c r="J247" s="119"/>
      <c r="K247" s="157"/>
    </row>
    <row r="248" spans="1:11" x14ac:dyDescent="0.3">
      <c r="A248" s="127"/>
      <c r="B248" s="109"/>
      <c r="C248" s="161"/>
      <c r="D248" s="161"/>
      <c r="E248" s="161"/>
      <c r="F248" s="118"/>
      <c r="G248" s="119"/>
      <c r="H248" s="165"/>
      <c r="I248" s="119"/>
      <c r="J248" s="119"/>
      <c r="K248" s="157"/>
    </row>
    <row r="249" spans="1:11" x14ac:dyDescent="0.3">
      <c r="A249" s="127"/>
      <c r="B249" s="109"/>
      <c r="C249" s="161"/>
      <c r="D249" s="161"/>
      <c r="E249" s="161"/>
      <c r="F249" s="118"/>
      <c r="G249" s="119"/>
      <c r="H249" s="165"/>
      <c r="I249" s="119"/>
      <c r="J249" s="119"/>
      <c r="K249" s="157"/>
    </row>
    <row r="250" spans="1:11" x14ac:dyDescent="0.3">
      <c r="A250" s="127"/>
      <c r="B250" s="109"/>
      <c r="C250" s="161"/>
      <c r="D250" s="161"/>
      <c r="E250" s="161"/>
      <c r="F250" s="118"/>
      <c r="G250" s="119"/>
      <c r="H250" s="165"/>
      <c r="I250" s="119"/>
      <c r="J250" s="119"/>
      <c r="K250" s="157"/>
    </row>
    <row r="251" spans="1:11" x14ac:dyDescent="0.3">
      <c r="A251" s="127"/>
      <c r="B251" s="109"/>
      <c r="C251" s="161"/>
      <c r="D251" s="161"/>
      <c r="E251" s="161"/>
      <c r="F251" s="118"/>
      <c r="G251" s="119"/>
      <c r="H251" s="165"/>
      <c r="I251" s="119"/>
      <c r="J251" s="119"/>
      <c r="K251" s="157"/>
    </row>
    <row r="252" spans="1:11" x14ac:dyDescent="0.3">
      <c r="A252" s="127"/>
      <c r="B252" s="109"/>
      <c r="C252" s="161"/>
      <c r="D252" s="161"/>
      <c r="E252" s="161"/>
      <c r="F252" s="118"/>
      <c r="G252" s="119"/>
      <c r="H252" s="165"/>
      <c r="I252" s="119"/>
      <c r="J252" s="119"/>
      <c r="K252" s="157"/>
    </row>
    <row r="253" spans="1:11" x14ac:dyDescent="0.3">
      <c r="A253" s="127"/>
      <c r="B253" s="109"/>
      <c r="C253" s="161"/>
      <c r="D253" s="161"/>
      <c r="E253" s="161"/>
      <c r="F253" s="118"/>
      <c r="G253" s="119"/>
      <c r="H253" s="165"/>
      <c r="I253" s="119"/>
      <c r="J253" s="119"/>
      <c r="K253" s="157"/>
    </row>
    <row r="254" spans="1:11" x14ac:dyDescent="0.3">
      <c r="A254" s="127"/>
      <c r="B254" s="109"/>
      <c r="C254" s="161"/>
      <c r="D254" s="161"/>
      <c r="E254" s="161"/>
      <c r="F254" s="118"/>
      <c r="G254" s="119"/>
      <c r="H254" s="165"/>
      <c r="I254" s="119"/>
      <c r="J254" s="119"/>
      <c r="K254" s="157"/>
    </row>
    <row r="255" spans="1:11" x14ac:dyDescent="0.3">
      <c r="A255" s="127"/>
      <c r="B255" s="109"/>
      <c r="C255" s="161"/>
      <c r="D255" s="161"/>
      <c r="E255" s="161"/>
      <c r="F255" s="118"/>
      <c r="G255" s="119"/>
      <c r="H255" s="165"/>
      <c r="I255" s="119"/>
      <c r="J255" s="119"/>
      <c r="K255" s="157"/>
    </row>
    <row r="256" spans="1:11" x14ac:dyDescent="0.3">
      <c r="A256" s="127"/>
      <c r="B256" s="109"/>
      <c r="C256" s="161"/>
      <c r="D256" s="161"/>
      <c r="E256" s="161"/>
      <c r="F256" s="118"/>
      <c r="G256" s="119"/>
      <c r="H256" s="165"/>
      <c r="I256" s="119"/>
      <c r="J256" s="119"/>
      <c r="K256" s="157"/>
    </row>
    <row r="257" spans="1:11" x14ac:dyDescent="0.3">
      <c r="A257" s="127"/>
      <c r="B257" s="109"/>
      <c r="C257" s="161"/>
      <c r="D257" s="161"/>
      <c r="E257" s="161"/>
      <c r="F257" s="118"/>
      <c r="G257" s="119"/>
      <c r="H257" s="165"/>
      <c r="I257" s="119"/>
      <c r="J257" s="119"/>
      <c r="K257" s="157"/>
    </row>
    <row r="258" spans="1:11" x14ac:dyDescent="0.3">
      <c r="A258" s="127"/>
      <c r="B258" s="109"/>
      <c r="C258" s="161"/>
      <c r="D258" s="161"/>
      <c r="E258" s="161"/>
      <c r="F258" s="118"/>
      <c r="G258" s="119"/>
      <c r="H258" s="165"/>
      <c r="I258" s="119"/>
      <c r="J258" s="119"/>
      <c r="K258" s="157"/>
    </row>
    <row r="259" spans="1:11" x14ac:dyDescent="0.3">
      <c r="A259" s="127"/>
      <c r="B259" s="109"/>
      <c r="C259" s="161"/>
      <c r="D259" s="161"/>
      <c r="E259" s="161"/>
      <c r="F259" s="118"/>
      <c r="G259" s="119"/>
      <c r="H259" s="165"/>
      <c r="I259" s="119"/>
      <c r="J259" s="119"/>
      <c r="K259" s="157"/>
    </row>
    <row r="260" spans="1:11" x14ac:dyDescent="0.3">
      <c r="A260" s="127"/>
      <c r="B260" s="109"/>
      <c r="C260" s="161"/>
      <c r="D260" s="161"/>
      <c r="E260" s="161"/>
      <c r="F260" s="118"/>
      <c r="G260" s="119"/>
      <c r="H260" s="165"/>
      <c r="I260" s="119"/>
      <c r="J260" s="119"/>
      <c r="K260" s="157"/>
    </row>
    <row r="261" spans="1:11" x14ac:dyDescent="0.3">
      <c r="A261" s="127"/>
      <c r="B261" s="109"/>
      <c r="C261" s="161"/>
      <c r="D261" s="161"/>
      <c r="E261" s="161"/>
      <c r="F261" s="118"/>
      <c r="G261" s="119"/>
      <c r="H261" s="165"/>
      <c r="I261" s="119"/>
      <c r="J261" s="119"/>
      <c r="K261" s="157"/>
    </row>
    <row r="262" spans="1:11" x14ac:dyDescent="0.3">
      <c r="A262" s="127"/>
      <c r="B262" s="109"/>
      <c r="C262" s="161"/>
      <c r="D262" s="161"/>
      <c r="E262" s="161"/>
      <c r="F262" s="118"/>
      <c r="G262" s="119"/>
      <c r="H262" s="165"/>
      <c r="I262" s="119"/>
      <c r="J262" s="119"/>
      <c r="K262" s="157"/>
    </row>
    <row r="263" spans="1:11" x14ac:dyDescent="0.3">
      <c r="A263" s="127"/>
      <c r="B263" s="109"/>
      <c r="C263" s="161"/>
      <c r="D263" s="161"/>
      <c r="E263" s="161"/>
      <c r="F263" s="118"/>
      <c r="G263" s="119"/>
      <c r="H263" s="165"/>
      <c r="I263" s="119"/>
      <c r="J263" s="119"/>
      <c r="K263" s="157"/>
    </row>
    <row r="264" spans="1:11" x14ac:dyDescent="0.3">
      <c r="A264" s="127"/>
      <c r="B264" s="109"/>
      <c r="C264" s="161"/>
      <c r="D264" s="161"/>
      <c r="E264" s="161"/>
      <c r="F264" s="118"/>
      <c r="G264" s="119"/>
      <c r="H264" s="165"/>
      <c r="I264" s="119"/>
      <c r="J264" s="119"/>
      <c r="K264" s="157"/>
    </row>
    <row r="265" spans="1:11" x14ac:dyDescent="0.3">
      <c r="A265" s="127"/>
      <c r="B265" s="109"/>
      <c r="C265" s="161"/>
      <c r="D265" s="161"/>
      <c r="E265" s="161"/>
      <c r="F265" s="118"/>
      <c r="G265" s="119"/>
      <c r="H265" s="165"/>
      <c r="I265" s="119"/>
      <c r="J265" s="119"/>
      <c r="K265" s="157"/>
    </row>
    <row r="266" spans="1:11" x14ac:dyDescent="0.3">
      <c r="A266" s="127"/>
      <c r="B266" s="109"/>
      <c r="C266" s="161"/>
      <c r="D266" s="161"/>
      <c r="E266" s="161"/>
      <c r="F266" s="118"/>
      <c r="G266" s="119"/>
      <c r="H266" s="165"/>
      <c r="I266" s="119"/>
      <c r="J266" s="119"/>
      <c r="K266" s="157"/>
    </row>
    <row r="267" spans="1:11" x14ac:dyDescent="0.3">
      <c r="A267" s="127"/>
      <c r="B267" s="109"/>
      <c r="C267" s="161"/>
      <c r="D267" s="161"/>
      <c r="E267" s="161"/>
      <c r="F267" s="118"/>
      <c r="G267" s="119"/>
      <c r="H267" s="165"/>
      <c r="I267" s="119"/>
      <c r="J267" s="119"/>
      <c r="K267" s="157"/>
    </row>
    <row r="268" spans="1:11" x14ac:dyDescent="0.3">
      <c r="A268" s="127"/>
      <c r="B268" s="109"/>
      <c r="C268" s="161"/>
      <c r="D268" s="161"/>
      <c r="E268" s="161"/>
      <c r="F268" s="118"/>
      <c r="G268" s="119"/>
      <c r="H268" s="165"/>
      <c r="I268" s="119"/>
      <c r="J268" s="119"/>
      <c r="K268" s="157"/>
    </row>
    <row r="269" spans="1:11" x14ac:dyDescent="0.3">
      <c r="A269" s="127"/>
      <c r="B269" s="109"/>
      <c r="C269" s="161"/>
      <c r="D269" s="161"/>
      <c r="E269" s="161"/>
      <c r="F269" s="118"/>
      <c r="G269" s="119"/>
      <c r="H269" s="165"/>
      <c r="I269" s="119"/>
      <c r="J269" s="119"/>
      <c r="K269" s="157"/>
    </row>
    <row r="270" spans="1:11" x14ac:dyDescent="0.3">
      <c r="A270" s="127"/>
      <c r="B270" s="109"/>
      <c r="C270" s="161"/>
      <c r="D270" s="161"/>
      <c r="E270" s="161"/>
      <c r="F270" s="118"/>
      <c r="G270" s="119"/>
      <c r="H270" s="165"/>
      <c r="I270" s="119"/>
      <c r="J270" s="119"/>
      <c r="K270" s="157"/>
    </row>
    <row r="271" spans="1:11" x14ac:dyDescent="0.3">
      <c r="A271" s="127"/>
      <c r="B271" s="109"/>
      <c r="C271" s="161"/>
      <c r="D271" s="161"/>
      <c r="E271" s="161"/>
      <c r="F271" s="118"/>
      <c r="G271" s="119"/>
      <c r="H271" s="165"/>
      <c r="I271" s="119"/>
      <c r="J271" s="119"/>
      <c r="K271" s="157"/>
    </row>
    <row r="272" spans="1:11" x14ac:dyDescent="0.3">
      <c r="A272" s="127"/>
      <c r="B272" s="109"/>
      <c r="C272" s="161"/>
      <c r="D272" s="161"/>
      <c r="E272" s="161"/>
      <c r="F272" s="118"/>
      <c r="G272" s="119"/>
      <c r="H272" s="165"/>
      <c r="I272" s="119"/>
      <c r="J272" s="119"/>
      <c r="K272" s="157"/>
    </row>
    <row r="273" spans="1:11" x14ac:dyDescent="0.3">
      <c r="A273" s="127"/>
      <c r="B273" s="109"/>
      <c r="C273" s="161"/>
      <c r="D273" s="161"/>
      <c r="E273" s="161"/>
      <c r="F273" s="118"/>
      <c r="G273" s="119"/>
      <c r="H273" s="165"/>
      <c r="I273" s="119"/>
      <c r="J273" s="119"/>
      <c r="K273" s="157"/>
    </row>
    <row r="274" spans="1:11" x14ac:dyDescent="0.3">
      <c r="A274" s="127"/>
      <c r="B274" s="109"/>
      <c r="C274" s="161"/>
      <c r="D274" s="161"/>
      <c r="E274" s="161"/>
      <c r="F274" s="118"/>
      <c r="G274" s="119"/>
      <c r="H274" s="165"/>
      <c r="I274" s="119"/>
      <c r="J274" s="119"/>
      <c r="K274" s="157"/>
    </row>
    <row r="275" spans="1:11" x14ac:dyDescent="0.3">
      <c r="A275" s="127"/>
      <c r="B275" s="109"/>
      <c r="C275" s="161"/>
      <c r="D275" s="161"/>
      <c r="E275" s="161"/>
      <c r="F275" s="118"/>
      <c r="G275" s="119"/>
      <c r="H275" s="165"/>
      <c r="I275" s="119"/>
      <c r="J275" s="119"/>
      <c r="K275" s="157"/>
    </row>
    <row r="276" spans="1:11" x14ac:dyDescent="0.3">
      <c r="A276" s="127"/>
      <c r="B276" s="109"/>
      <c r="C276" s="161"/>
      <c r="D276" s="161"/>
      <c r="E276" s="161"/>
      <c r="F276" s="118"/>
      <c r="G276" s="119"/>
      <c r="H276" s="165"/>
      <c r="I276" s="119"/>
      <c r="J276" s="119"/>
      <c r="K276" s="157"/>
    </row>
    <row r="277" spans="1:11" x14ac:dyDescent="0.3">
      <c r="A277" s="127"/>
      <c r="B277" s="109"/>
      <c r="C277" s="161"/>
      <c r="D277" s="161"/>
      <c r="E277" s="161"/>
      <c r="F277" s="118"/>
      <c r="G277" s="119"/>
      <c r="H277" s="165"/>
      <c r="I277" s="119"/>
      <c r="J277" s="119"/>
      <c r="K277" s="157"/>
    </row>
    <row r="278" spans="1:11" x14ac:dyDescent="0.3">
      <c r="A278" s="127"/>
      <c r="B278" s="109"/>
      <c r="C278" s="161"/>
      <c r="D278" s="161"/>
      <c r="E278" s="161"/>
      <c r="F278" s="118"/>
      <c r="G278" s="119"/>
      <c r="H278" s="165"/>
      <c r="I278" s="119"/>
      <c r="J278" s="119"/>
      <c r="K278" s="157"/>
    </row>
    <row r="279" spans="1:11" x14ac:dyDescent="0.3">
      <c r="A279" s="127"/>
      <c r="B279" s="109"/>
      <c r="C279" s="161"/>
      <c r="D279" s="161"/>
      <c r="E279" s="161"/>
      <c r="F279" s="118"/>
      <c r="G279" s="119"/>
      <c r="H279" s="165"/>
      <c r="I279" s="119"/>
      <c r="J279" s="119"/>
      <c r="K279" s="157"/>
    </row>
    <row r="280" spans="1:11" x14ac:dyDescent="0.3">
      <c r="A280" s="127"/>
      <c r="B280" s="109"/>
      <c r="C280" s="161"/>
      <c r="D280" s="161"/>
      <c r="E280" s="161"/>
      <c r="F280" s="118"/>
      <c r="G280" s="119"/>
      <c r="H280" s="165"/>
      <c r="I280" s="119"/>
      <c r="J280" s="119"/>
      <c r="K280" s="157"/>
    </row>
    <row r="281" spans="1:11" x14ac:dyDescent="0.3">
      <c r="A281" s="127"/>
      <c r="B281" s="109"/>
      <c r="C281" s="161"/>
      <c r="D281" s="161"/>
      <c r="E281" s="161"/>
      <c r="F281" s="118"/>
      <c r="G281" s="119"/>
      <c r="H281" s="165"/>
      <c r="I281" s="119"/>
      <c r="J281" s="119"/>
      <c r="K281" s="157"/>
    </row>
    <row r="282" spans="1:11" x14ac:dyDescent="0.3">
      <c r="A282" s="127"/>
      <c r="B282" s="109"/>
      <c r="C282" s="161"/>
      <c r="D282" s="161"/>
      <c r="E282" s="161"/>
      <c r="F282" s="118"/>
      <c r="G282" s="119"/>
      <c r="H282" s="165"/>
      <c r="I282" s="119"/>
      <c r="J282" s="119"/>
      <c r="K282" s="157"/>
    </row>
    <row r="283" spans="1:11" x14ac:dyDescent="0.3">
      <c r="A283" s="127"/>
      <c r="B283" s="109"/>
      <c r="C283" s="161"/>
      <c r="D283" s="161"/>
      <c r="E283" s="161"/>
      <c r="F283" s="118"/>
      <c r="G283" s="119"/>
      <c r="H283" s="165"/>
      <c r="I283" s="119"/>
      <c r="J283" s="119"/>
      <c r="K283" s="157"/>
    </row>
    <row r="284" spans="1:11" x14ac:dyDescent="0.3">
      <c r="A284" s="127"/>
      <c r="B284" s="109"/>
      <c r="C284" s="161"/>
      <c r="D284" s="161"/>
      <c r="E284" s="161"/>
      <c r="F284" s="118"/>
      <c r="G284" s="119"/>
      <c r="H284" s="165"/>
      <c r="I284" s="119"/>
      <c r="J284" s="119"/>
      <c r="K284" s="157"/>
    </row>
    <row r="285" spans="1:11" x14ac:dyDescent="0.3">
      <c r="A285" s="127"/>
      <c r="B285" s="109"/>
      <c r="C285" s="161"/>
      <c r="D285" s="161"/>
      <c r="E285" s="161"/>
      <c r="F285" s="118"/>
      <c r="G285" s="119"/>
      <c r="H285" s="165"/>
      <c r="I285" s="119"/>
      <c r="J285" s="119"/>
      <c r="K285" s="157"/>
    </row>
    <row r="286" spans="1:11" x14ac:dyDescent="0.3">
      <c r="A286" s="127"/>
      <c r="B286" s="109"/>
      <c r="C286" s="161"/>
      <c r="D286" s="161"/>
      <c r="E286" s="161"/>
      <c r="F286" s="118"/>
      <c r="G286" s="119"/>
      <c r="H286" s="165"/>
      <c r="I286" s="119"/>
      <c r="J286" s="119"/>
      <c r="K286" s="157"/>
    </row>
    <row r="287" spans="1:11" x14ac:dyDescent="0.3">
      <c r="A287" s="127"/>
      <c r="B287" s="109"/>
      <c r="C287" s="161"/>
      <c r="D287" s="161"/>
      <c r="E287" s="161"/>
      <c r="F287" s="118"/>
      <c r="G287" s="119"/>
      <c r="H287" s="165"/>
      <c r="I287" s="119"/>
      <c r="J287" s="119"/>
      <c r="K287" s="157"/>
    </row>
    <row r="288" spans="1:11" x14ac:dyDescent="0.3">
      <c r="A288" s="127"/>
      <c r="B288" s="109"/>
      <c r="C288" s="161"/>
      <c r="D288" s="161"/>
      <c r="E288" s="161"/>
      <c r="F288" s="118"/>
      <c r="G288" s="119"/>
      <c r="H288" s="165"/>
      <c r="I288" s="119"/>
      <c r="J288" s="119"/>
      <c r="K288" s="157"/>
    </row>
    <row r="289" spans="1:11" x14ac:dyDescent="0.3">
      <c r="A289" s="127"/>
      <c r="B289" s="109"/>
      <c r="C289" s="161"/>
      <c r="D289" s="161"/>
      <c r="E289" s="161"/>
      <c r="F289" s="118"/>
      <c r="G289" s="119"/>
      <c r="H289" s="165"/>
      <c r="I289" s="119"/>
      <c r="J289" s="119"/>
      <c r="K289" s="157"/>
    </row>
    <row r="290" spans="1:11" x14ac:dyDescent="0.3">
      <c r="A290" s="127"/>
      <c r="B290" s="109"/>
      <c r="C290" s="161"/>
      <c r="D290" s="161"/>
      <c r="E290" s="161"/>
      <c r="F290" s="118"/>
      <c r="G290" s="119"/>
      <c r="H290" s="165"/>
      <c r="I290" s="119"/>
      <c r="J290" s="119"/>
      <c r="K290" s="157"/>
    </row>
    <row r="291" spans="1:11" x14ac:dyDescent="0.3">
      <c r="A291" s="127"/>
      <c r="B291" s="109"/>
      <c r="C291" s="161"/>
      <c r="D291" s="161"/>
      <c r="E291" s="161"/>
      <c r="F291" s="118"/>
      <c r="G291" s="119"/>
      <c r="H291" s="165"/>
      <c r="I291" s="119"/>
      <c r="J291" s="119"/>
      <c r="K291" s="157"/>
    </row>
    <row r="292" spans="1:11" x14ac:dyDescent="0.3">
      <c r="A292" s="127"/>
      <c r="B292" s="109"/>
      <c r="C292" s="161"/>
      <c r="D292" s="161"/>
      <c r="E292" s="161"/>
      <c r="F292" s="118"/>
      <c r="G292" s="119"/>
      <c r="H292" s="165"/>
      <c r="I292" s="119"/>
      <c r="J292" s="119"/>
      <c r="K292" s="157"/>
    </row>
    <row r="293" spans="1:11" x14ac:dyDescent="0.3">
      <c r="A293" s="127"/>
      <c r="B293" s="109"/>
      <c r="C293" s="161"/>
      <c r="D293" s="161"/>
      <c r="E293" s="161"/>
      <c r="F293" s="118"/>
      <c r="G293" s="119"/>
      <c r="H293" s="165"/>
      <c r="I293" s="119"/>
      <c r="J293" s="119"/>
      <c r="K293" s="157"/>
    </row>
    <row r="294" spans="1:11" x14ac:dyDescent="0.3">
      <c r="A294" s="127"/>
      <c r="B294" s="109"/>
      <c r="C294" s="161"/>
      <c r="D294" s="161"/>
      <c r="E294" s="161"/>
      <c r="F294" s="118"/>
      <c r="G294" s="119"/>
      <c r="H294" s="165"/>
      <c r="I294" s="119"/>
      <c r="J294" s="119"/>
      <c r="K294" s="157"/>
    </row>
    <row r="295" spans="1:11" x14ac:dyDescent="0.3">
      <c r="A295" s="127"/>
      <c r="B295" s="109"/>
      <c r="C295" s="161"/>
      <c r="D295" s="161"/>
      <c r="E295" s="161"/>
      <c r="F295" s="118"/>
      <c r="G295" s="119"/>
      <c r="H295" s="165"/>
      <c r="I295" s="119"/>
      <c r="J295" s="119"/>
      <c r="K295" s="157"/>
    </row>
    <row r="296" spans="1:11" x14ac:dyDescent="0.3">
      <c r="A296" s="127"/>
      <c r="B296" s="109"/>
      <c r="C296" s="161"/>
      <c r="D296" s="161"/>
      <c r="E296" s="161"/>
      <c r="F296" s="118"/>
      <c r="G296" s="119"/>
      <c r="H296" s="165"/>
      <c r="I296" s="119"/>
      <c r="J296" s="119"/>
      <c r="K296" s="157"/>
    </row>
    <row r="297" spans="1:11" x14ac:dyDescent="0.3">
      <c r="A297" s="127"/>
      <c r="B297" s="109"/>
      <c r="C297" s="161"/>
      <c r="D297" s="161"/>
      <c r="E297" s="161"/>
      <c r="F297" s="118"/>
      <c r="G297" s="119"/>
      <c r="H297" s="165"/>
      <c r="I297" s="119"/>
      <c r="J297" s="119"/>
      <c r="K297" s="157"/>
    </row>
    <row r="298" spans="1:11" x14ac:dyDescent="0.3">
      <c r="A298" s="127"/>
      <c r="B298" s="109"/>
      <c r="C298" s="161"/>
      <c r="D298" s="161"/>
      <c r="E298" s="161"/>
      <c r="F298" s="118"/>
      <c r="G298" s="119"/>
      <c r="H298" s="165"/>
      <c r="I298" s="119"/>
      <c r="J298" s="119"/>
      <c r="K298" s="157"/>
    </row>
    <row r="299" spans="1:11" x14ac:dyDescent="0.3">
      <c r="A299" s="127"/>
      <c r="B299" s="109"/>
      <c r="C299" s="161"/>
      <c r="D299" s="161"/>
      <c r="E299" s="161"/>
      <c r="F299" s="118"/>
      <c r="G299" s="119"/>
      <c r="H299" s="165"/>
      <c r="I299" s="119"/>
      <c r="J299" s="119"/>
      <c r="K299" s="157"/>
    </row>
    <row r="300" spans="1:11" x14ac:dyDescent="0.3">
      <c r="A300" s="127"/>
      <c r="B300" s="109"/>
      <c r="C300" s="161"/>
      <c r="D300" s="161"/>
      <c r="E300" s="161"/>
      <c r="F300" s="118"/>
      <c r="G300" s="119"/>
      <c r="H300" s="165"/>
      <c r="I300" s="119"/>
      <c r="J300" s="119"/>
      <c r="K300" s="157"/>
    </row>
    <row r="301" spans="1:11" x14ac:dyDescent="0.3">
      <c r="A301" s="127"/>
      <c r="B301" s="109"/>
      <c r="C301" s="161"/>
      <c r="D301" s="161"/>
      <c r="E301" s="161"/>
      <c r="F301" s="118"/>
      <c r="G301" s="119"/>
      <c r="H301" s="165"/>
      <c r="I301" s="119"/>
      <c r="J301" s="119"/>
      <c r="K301" s="157"/>
    </row>
    <row r="302" spans="1:11" x14ac:dyDescent="0.3">
      <c r="A302" s="127"/>
      <c r="B302" s="109"/>
      <c r="C302" s="161"/>
      <c r="D302" s="161"/>
      <c r="E302" s="161"/>
      <c r="F302" s="118"/>
      <c r="G302" s="119"/>
      <c r="H302" s="165"/>
      <c r="I302" s="119"/>
      <c r="J302" s="119"/>
      <c r="K302" s="157"/>
    </row>
    <row r="303" spans="1:11" x14ac:dyDescent="0.3">
      <c r="A303" s="127"/>
      <c r="B303" s="109"/>
      <c r="C303" s="161"/>
      <c r="D303" s="161"/>
      <c r="E303" s="161"/>
      <c r="F303" s="118"/>
      <c r="G303" s="119"/>
      <c r="H303" s="165"/>
      <c r="I303" s="119"/>
      <c r="J303" s="119"/>
      <c r="K303" s="157"/>
    </row>
    <row r="304" spans="1:11" x14ac:dyDescent="0.3">
      <c r="A304" s="127"/>
      <c r="B304" s="109"/>
      <c r="C304" s="161"/>
      <c r="D304" s="161"/>
      <c r="E304" s="161"/>
      <c r="F304" s="118"/>
      <c r="G304" s="119"/>
      <c r="H304" s="165"/>
      <c r="I304" s="119"/>
      <c r="J304" s="119"/>
      <c r="K304" s="157"/>
    </row>
    <row r="305" spans="1:11" x14ac:dyDescent="0.3">
      <c r="A305" s="127"/>
      <c r="B305" s="109"/>
      <c r="C305" s="161"/>
      <c r="D305" s="161"/>
      <c r="E305" s="161"/>
      <c r="F305" s="118"/>
      <c r="G305" s="119"/>
      <c r="H305" s="165"/>
      <c r="I305" s="119"/>
      <c r="J305" s="119"/>
      <c r="K305" s="157"/>
    </row>
    <row r="306" spans="1:11" x14ac:dyDescent="0.3">
      <c r="A306" s="127"/>
      <c r="B306" s="109"/>
      <c r="C306" s="161"/>
      <c r="D306" s="161"/>
      <c r="E306" s="161"/>
      <c r="F306" s="118"/>
      <c r="G306" s="119"/>
      <c r="H306" s="165"/>
      <c r="I306" s="119"/>
      <c r="J306" s="119"/>
      <c r="K306" s="157"/>
    </row>
    <row r="307" spans="1:11" x14ac:dyDescent="0.3">
      <c r="A307" s="127"/>
      <c r="B307" s="109"/>
      <c r="C307" s="161"/>
      <c r="D307" s="161"/>
      <c r="E307" s="161"/>
      <c r="F307" s="118"/>
      <c r="G307" s="119"/>
      <c r="H307" s="165"/>
      <c r="I307" s="119"/>
      <c r="J307" s="119"/>
      <c r="K307" s="157"/>
    </row>
    <row r="308" spans="1:11" x14ac:dyDescent="0.3">
      <c r="A308" s="127"/>
      <c r="B308" s="109"/>
      <c r="C308" s="161"/>
      <c r="D308" s="161"/>
      <c r="E308" s="161"/>
      <c r="F308" s="118"/>
      <c r="G308" s="119"/>
      <c r="H308" s="165"/>
      <c r="I308" s="119"/>
      <c r="J308" s="119"/>
      <c r="K308" s="157"/>
    </row>
    <row r="309" spans="1:11" x14ac:dyDescent="0.3">
      <c r="A309" s="127"/>
      <c r="B309" s="109"/>
      <c r="C309" s="161"/>
      <c r="D309" s="161"/>
      <c r="E309" s="161"/>
      <c r="F309" s="118"/>
      <c r="G309" s="119"/>
      <c r="H309" s="165"/>
      <c r="I309" s="119"/>
      <c r="J309" s="119"/>
      <c r="K309" s="157"/>
    </row>
    <row r="310" spans="1:11" x14ac:dyDescent="0.3">
      <c r="A310" s="127"/>
      <c r="B310" s="109"/>
      <c r="C310" s="161"/>
      <c r="D310" s="161"/>
      <c r="E310" s="161"/>
      <c r="F310" s="118"/>
      <c r="G310" s="119"/>
      <c r="H310" s="165"/>
      <c r="I310" s="119"/>
      <c r="J310" s="119"/>
      <c r="K310" s="157"/>
    </row>
    <row r="311" spans="1:11" x14ac:dyDescent="0.3">
      <c r="A311" s="127"/>
      <c r="B311" s="109"/>
      <c r="C311" s="161"/>
      <c r="D311" s="161"/>
      <c r="E311" s="161"/>
      <c r="F311" s="118"/>
      <c r="G311" s="119"/>
      <c r="H311" s="165"/>
      <c r="I311" s="119"/>
      <c r="J311" s="119"/>
      <c r="K311" s="157"/>
    </row>
    <row r="312" spans="1:11" x14ac:dyDescent="0.3">
      <c r="A312" s="127"/>
      <c r="B312" s="109"/>
      <c r="C312" s="161"/>
      <c r="D312" s="161"/>
      <c r="E312" s="161"/>
      <c r="F312" s="118"/>
      <c r="G312" s="119"/>
      <c r="H312" s="165"/>
      <c r="I312" s="119"/>
      <c r="J312" s="119"/>
      <c r="K312" s="157"/>
    </row>
    <row r="313" spans="1:11" x14ac:dyDescent="0.3">
      <c r="A313" s="127"/>
      <c r="B313" s="109"/>
      <c r="C313" s="161"/>
      <c r="D313" s="161"/>
      <c r="E313" s="161"/>
      <c r="F313" s="118"/>
      <c r="G313" s="119"/>
      <c r="H313" s="165"/>
      <c r="I313" s="119"/>
      <c r="J313" s="119"/>
      <c r="K313" s="157"/>
    </row>
    <row r="314" spans="1:11" x14ac:dyDescent="0.3">
      <c r="A314" s="127"/>
      <c r="B314" s="109"/>
      <c r="C314" s="161"/>
      <c r="D314" s="161"/>
      <c r="E314" s="161"/>
      <c r="F314" s="118"/>
      <c r="G314" s="119"/>
      <c r="H314" s="165"/>
      <c r="I314" s="119"/>
      <c r="J314" s="119"/>
      <c r="K314" s="157"/>
    </row>
    <row r="315" spans="1:11" x14ac:dyDescent="0.3">
      <c r="A315" s="127"/>
      <c r="B315" s="109"/>
      <c r="C315" s="161"/>
      <c r="D315" s="161"/>
      <c r="E315" s="161"/>
      <c r="F315" s="118"/>
      <c r="G315" s="119"/>
      <c r="H315" s="165"/>
      <c r="I315" s="119"/>
      <c r="J315" s="119"/>
      <c r="K315" s="157"/>
    </row>
    <row r="316" spans="1:11" x14ac:dyDescent="0.3">
      <c r="A316" s="127"/>
      <c r="B316" s="109"/>
      <c r="C316" s="161"/>
      <c r="D316" s="161"/>
      <c r="E316" s="161"/>
      <c r="F316" s="118"/>
      <c r="G316" s="119"/>
      <c r="H316" s="165"/>
      <c r="I316" s="119"/>
      <c r="J316" s="119"/>
      <c r="K316" s="157"/>
    </row>
    <row r="317" spans="1:11" x14ac:dyDescent="0.3">
      <c r="A317" s="127"/>
      <c r="B317" s="109"/>
      <c r="C317" s="161"/>
      <c r="D317" s="161"/>
      <c r="E317" s="161"/>
      <c r="F317" s="118"/>
      <c r="G317" s="119"/>
      <c r="H317" s="165"/>
      <c r="I317" s="119"/>
      <c r="J317" s="119"/>
      <c r="K317" s="157"/>
    </row>
    <row r="318" spans="1:11" x14ac:dyDescent="0.3">
      <c r="A318" s="127"/>
      <c r="B318" s="109"/>
      <c r="C318" s="161"/>
      <c r="D318" s="161"/>
      <c r="E318" s="161"/>
      <c r="F318" s="118"/>
      <c r="G318" s="119"/>
      <c r="H318" s="165"/>
      <c r="I318" s="119"/>
      <c r="J318" s="119"/>
      <c r="K318" s="157"/>
    </row>
    <row r="319" spans="1:11" x14ac:dyDescent="0.3">
      <c r="A319" s="127"/>
      <c r="B319" s="109"/>
      <c r="C319" s="161"/>
      <c r="D319" s="161"/>
      <c r="E319" s="161"/>
      <c r="F319" s="118"/>
      <c r="G319" s="119"/>
      <c r="H319" s="165"/>
      <c r="I319" s="119"/>
      <c r="J319" s="119"/>
      <c r="K319" s="157"/>
    </row>
    <row r="320" spans="1:11" x14ac:dyDescent="0.3">
      <c r="A320" s="127"/>
      <c r="B320" s="109"/>
      <c r="C320" s="161"/>
      <c r="D320" s="161"/>
      <c r="E320" s="161"/>
      <c r="F320" s="118"/>
      <c r="G320" s="119"/>
      <c r="H320" s="165"/>
      <c r="I320" s="119"/>
      <c r="J320" s="119"/>
      <c r="K320" s="157"/>
    </row>
    <row r="321" spans="1:11" x14ac:dyDescent="0.3">
      <c r="A321" s="127"/>
      <c r="B321" s="109"/>
      <c r="C321" s="161"/>
      <c r="D321" s="161"/>
      <c r="E321" s="161"/>
      <c r="F321" s="118"/>
      <c r="G321" s="119"/>
      <c r="H321" s="165"/>
      <c r="I321" s="119"/>
      <c r="J321" s="119"/>
      <c r="K321" s="157"/>
    </row>
    <row r="322" spans="1:11" x14ac:dyDescent="0.3">
      <c r="A322" s="127"/>
      <c r="B322" s="109"/>
      <c r="C322" s="161"/>
      <c r="D322" s="161"/>
      <c r="E322" s="161"/>
      <c r="F322" s="118"/>
      <c r="G322" s="119"/>
      <c r="H322" s="165"/>
      <c r="I322" s="119"/>
      <c r="J322" s="119"/>
      <c r="K322" s="157"/>
    </row>
    <row r="323" spans="1:11" x14ac:dyDescent="0.3">
      <c r="A323" s="127"/>
      <c r="B323" s="109"/>
      <c r="C323" s="161"/>
      <c r="D323" s="161"/>
      <c r="E323" s="161"/>
      <c r="F323" s="118"/>
      <c r="G323" s="119"/>
      <c r="H323" s="165"/>
      <c r="I323" s="119"/>
      <c r="J323" s="119"/>
      <c r="K323" s="157"/>
    </row>
    <row r="324" spans="1:11" x14ac:dyDescent="0.3">
      <c r="A324" s="127"/>
      <c r="B324" s="109"/>
      <c r="C324" s="161"/>
      <c r="D324" s="161"/>
      <c r="E324" s="161"/>
      <c r="F324" s="118"/>
      <c r="G324" s="119"/>
      <c r="H324" s="165"/>
      <c r="I324" s="119"/>
      <c r="J324" s="119"/>
      <c r="K324" s="157"/>
    </row>
    <row r="325" spans="1:11" x14ac:dyDescent="0.3">
      <c r="A325" s="127"/>
      <c r="B325" s="109"/>
      <c r="C325" s="161"/>
      <c r="D325" s="161"/>
      <c r="E325" s="161"/>
      <c r="F325" s="118"/>
      <c r="G325" s="119"/>
      <c r="H325" s="165"/>
      <c r="I325" s="119"/>
      <c r="J325" s="119"/>
      <c r="K325" s="157"/>
    </row>
    <row r="326" spans="1:11" x14ac:dyDescent="0.3">
      <c r="A326" s="127"/>
      <c r="B326" s="109"/>
      <c r="C326" s="161"/>
      <c r="D326" s="161"/>
      <c r="E326" s="161"/>
      <c r="F326" s="118"/>
      <c r="G326" s="119"/>
      <c r="H326" s="165"/>
      <c r="I326" s="119"/>
      <c r="J326" s="119"/>
      <c r="K326" s="157"/>
    </row>
    <row r="327" spans="1:11" x14ac:dyDescent="0.3">
      <c r="A327" s="127"/>
      <c r="B327" s="109"/>
      <c r="C327" s="161"/>
      <c r="D327" s="161"/>
      <c r="E327" s="161"/>
      <c r="F327" s="118"/>
      <c r="G327" s="119"/>
      <c r="H327" s="165"/>
      <c r="I327" s="119"/>
      <c r="J327" s="119"/>
      <c r="K327" s="157"/>
    </row>
    <row r="328" spans="1:11" x14ac:dyDescent="0.3">
      <c r="A328" s="127"/>
      <c r="B328" s="109"/>
      <c r="C328" s="161"/>
      <c r="D328" s="161"/>
      <c r="E328" s="161"/>
      <c r="F328" s="118"/>
      <c r="G328" s="119"/>
      <c r="H328" s="165"/>
      <c r="I328" s="119"/>
      <c r="J328" s="119"/>
      <c r="K328" s="157"/>
    </row>
    <row r="329" spans="1:11" x14ac:dyDescent="0.3">
      <c r="A329" s="127"/>
      <c r="B329" s="109"/>
      <c r="C329" s="161"/>
      <c r="D329" s="161"/>
      <c r="E329" s="161"/>
      <c r="F329" s="118"/>
      <c r="G329" s="119"/>
      <c r="H329" s="165"/>
      <c r="I329" s="119"/>
      <c r="J329" s="119"/>
      <c r="K329" s="157"/>
    </row>
    <row r="330" spans="1:11" x14ac:dyDescent="0.3">
      <c r="A330" s="127"/>
      <c r="B330" s="109"/>
      <c r="C330" s="161"/>
      <c r="D330" s="161"/>
      <c r="E330" s="161"/>
      <c r="F330" s="118"/>
      <c r="G330" s="119"/>
      <c r="H330" s="165"/>
      <c r="I330" s="119"/>
      <c r="J330" s="119"/>
      <c r="K330" s="157"/>
    </row>
    <row r="331" spans="1:11" x14ac:dyDescent="0.3">
      <c r="A331" s="127"/>
      <c r="B331" s="109"/>
      <c r="C331" s="161"/>
      <c r="D331" s="161"/>
      <c r="E331" s="161"/>
      <c r="F331" s="118"/>
      <c r="G331" s="119"/>
      <c r="H331" s="165"/>
      <c r="I331" s="119"/>
      <c r="J331" s="119"/>
      <c r="K331" s="157"/>
    </row>
    <row r="332" spans="1:11" x14ac:dyDescent="0.3">
      <c r="A332" s="127"/>
      <c r="B332" s="109"/>
      <c r="C332" s="161"/>
      <c r="D332" s="161"/>
      <c r="E332" s="161"/>
      <c r="F332" s="118"/>
      <c r="G332" s="119"/>
      <c r="H332" s="165"/>
      <c r="I332" s="119"/>
      <c r="J332" s="119"/>
      <c r="K332" s="157"/>
    </row>
    <row r="333" spans="1:11" x14ac:dyDescent="0.3">
      <c r="A333" s="127"/>
      <c r="B333" s="109"/>
      <c r="C333" s="161"/>
      <c r="D333" s="161"/>
      <c r="E333" s="161"/>
      <c r="F333" s="118"/>
      <c r="G333" s="119"/>
      <c r="H333" s="165"/>
      <c r="I333" s="119"/>
      <c r="J333" s="119"/>
      <c r="K333" s="157"/>
    </row>
    <row r="334" spans="1:11" x14ac:dyDescent="0.3">
      <c r="A334" s="127"/>
      <c r="B334" s="109"/>
      <c r="C334" s="161"/>
      <c r="D334" s="161"/>
      <c r="E334" s="161"/>
      <c r="F334" s="118"/>
      <c r="G334" s="119"/>
      <c r="H334" s="165"/>
      <c r="I334" s="119"/>
      <c r="J334" s="119"/>
      <c r="K334" s="157"/>
    </row>
    <row r="335" spans="1:11" x14ac:dyDescent="0.3">
      <c r="A335" s="127"/>
      <c r="B335" s="109"/>
      <c r="C335" s="161"/>
      <c r="D335" s="161"/>
      <c r="E335" s="161"/>
      <c r="F335" s="118"/>
      <c r="G335" s="119"/>
      <c r="H335" s="165"/>
      <c r="I335" s="119"/>
      <c r="J335" s="119"/>
      <c r="K335" s="157"/>
    </row>
    <row r="336" spans="1:11" x14ac:dyDescent="0.3">
      <c r="A336" s="127"/>
      <c r="B336" s="109"/>
      <c r="C336" s="161"/>
      <c r="D336" s="161"/>
      <c r="E336" s="161"/>
      <c r="F336" s="118"/>
      <c r="G336" s="119"/>
      <c r="H336" s="165"/>
      <c r="I336" s="119"/>
      <c r="J336" s="119"/>
      <c r="K336" s="157"/>
    </row>
    <row r="337" spans="1:11" x14ac:dyDescent="0.3">
      <c r="A337" s="127"/>
      <c r="B337" s="109"/>
      <c r="C337" s="161"/>
      <c r="D337" s="161"/>
      <c r="E337" s="161"/>
      <c r="F337" s="118"/>
      <c r="G337" s="119"/>
      <c r="H337" s="165"/>
      <c r="I337" s="119"/>
      <c r="J337" s="119"/>
      <c r="K337" s="157"/>
    </row>
    <row r="338" spans="1:11" x14ac:dyDescent="0.3">
      <c r="A338" s="127"/>
      <c r="B338" s="109"/>
      <c r="C338" s="161"/>
      <c r="D338" s="161"/>
      <c r="E338" s="161"/>
      <c r="F338" s="118"/>
      <c r="G338" s="119"/>
      <c r="H338" s="165"/>
      <c r="I338" s="119"/>
      <c r="J338" s="119"/>
      <c r="K338" s="157"/>
    </row>
    <row r="339" spans="1:11" x14ac:dyDescent="0.3">
      <c r="A339" s="127"/>
      <c r="B339" s="109"/>
      <c r="C339" s="161"/>
      <c r="D339" s="161"/>
      <c r="E339" s="161"/>
      <c r="F339" s="118"/>
      <c r="G339" s="119"/>
      <c r="H339" s="165"/>
      <c r="I339" s="119"/>
      <c r="J339" s="119"/>
      <c r="K339" s="157"/>
    </row>
    <row r="340" spans="1:11" x14ac:dyDescent="0.3">
      <c r="A340" s="127"/>
      <c r="B340" s="109"/>
      <c r="C340" s="161"/>
      <c r="D340" s="161"/>
      <c r="E340" s="161"/>
      <c r="F340" s="118"/>
      <c r="G340" s="119"/>
      <c r="H340" s="165"/>
      <c r="I340" s="119"/>
      <c r="J340" s="119"/>
      <c r="K340" s="157"/>
    </row>
    <row r="341" spans="1:11" x14ac:dyDescent="0.3">
      <c r="A341" s="127"/>
      <c r="B341" s="109"/>
      <c r="C341" s="161"/>
      <c r="D341" s="161"/>
      <c r="E341" s="161"/>
      <c r="F341" s="118"/>
      <c r="G341" s="119"/>
      <c r="H341" s="165"/>
      <c r="I341" s="119"/>
      <c r="J341" s="119"/>
      <c r="K341" s="157"/>
    </row>
    <row r="342" spans="1:11" x14ac:dyDescent="0.3">
      <c r="A342" s="127"/>
      <c r="B342" s="109"/>
      <c r="C342" s="161"/>
      <c r="D342" s="161"/>
      <c r="E342" s="161"/>
      <c r="F342" s="118"/>
      <c r="G342" s="119"/>
      <c r="H342" s="165"/>
      <c r="I342" s="119"/>
      <c r="J342" s="119"/>
      <c r="K342" s="157"/>
    </row>
    <row r="343" spans="1:11" x14ac:dyDescent="0.3">
      <c r="A343" s="127"/>
      <c r="B343" s="109"/>
      <c r="C343" s="161"/>
      <c r="D343" s="161"/>
      <c r="E343" s="161"/>
      <c r="F343" s="118"/>
      <c r="G343" s="119"/>
      <c r="H343" s="165"/>
      <c r="I343" s="119"/>
      <c r="J343" s="119"/>
      <c r="K343" s="157"/>
    </row>
    <row r="344" spans="1:11" x14ac:dyDescent="0.3">
      <c r="A344" s="127"/>
      <c r="B344" s="109"/>
      <c r="C344" s="161"/>
      <c r="D344" s="161"/>
      <c r="E344" s="161"/>
      <c r="F344" s="118"/>
      <c r="G344" s="119"/>
      <c r="H344" s="165"/>
      <c r="I344" s="119"/>
      <c r="J344" s="119"/>
      <c r="K344" s="157"/>
    </row>
    <row r="345" spans="1:11" x14ac:dyDescent="0.3">
      <c r="A345" s="127"/>
      <c r="B345" s="109"/>
      <c r="C345" s="161"/>
      <c r="D345" s="161"/>
      <c r="E345" s="161"/>
      <c r="F345" s="118"/>
      <c r="G345" s="119"/>
      <c r="H345" s="165"/>
      <c r="I345" s="119"/>
      <c r="J345" s="119"/>
      <c r="K345" s="157"/>
    </row>
    <row r="346" spans="1:11" x14ac:dyDescent="0.3">
      <c r="A346" s="127"/>
      <c r="B346" s="109"/>
      <c r="C346" s="161"/>
      <c r="D346" s="161"/>
      <c r="E346" s="161"/>
      <c r="F346" s="118"/>
      <c r="G346" s="119"/>
      <c r="H346" s="165"/>
      <c r="I346" s="119"/>
      <c r="J346" s="119"/>
      <c r="K346" s="157"/>
    </row>
    <row r="347" spans="1:11" x14ac:dyDescent="0.3">
      <c r="A347" s="127"/>
      <c r="B347" s="109"/>
      <c r="C347" s="161"/>
      <c r="D347" s="161"/>
      <c r="E347" s="161"/>
      <c r="F347" s="118"/>
      <c r="G347" s="119"/>
      <c r="H347" s="165"/>
      <c r="I347" s="119"/>
      <c r="J347" s="119"/>
      <c r="K347" s="157"/>
    </row>
    <row r="348" spans="1:11" x14ac:dyDescent="0.3">
      <c r="A348" s="127"/>
      <c r="B348" s="109"/>
      <c r="C348" s="161"/>
      <c r="D348" s="161"/>
      <c r="E348" s="161"/>
      <c r="F348" s="118"/>
      <c r="G348" s="119"/>
      <c r="H348" s="165"/>
      <c r="I348" s="119"/>
      <c r="J348" s="119"/>
      <c r="K348" s="157"/>
    </row>
    <row r="349" spans="1:11" x14ac:dyDescent="0.3">
      <c r="A349" s="127"/>
      <c r="B349" s="109"/>
      <c r="C349" s="161"/>
      <c r="D349" s="161"/>
      <c r="E349" s="161"/>
      <c r="F349" s="118"/>
      <c r="G349" s="119"/>
      <c r="H349" s="165"/>
      <c r="I349" s="119"/>
      <c r="J349" s="119"/>
      <c r="K349" s="157"/>
    </row>
    <row r="350" spans="1:11" x14ac:dyDescent="0.3">
      <c r="A350" s="127"/>
      <c r="B350" s="109"/>
      <c r="C350" s="161"/>
      <c r="D350" s="161"/>
      <c r="E350" s="161"/>
      <c r="F350" s="118"/>
      <c r="G350" s="119"/>
      <c r="H350" s="165"/>
      <c r="I350" s="119"/>
      <c r="J350" s="119"/>
      <c r="K350" s="157"/>
    </row>
    <row r="351" spans="1:11" x14ac:dyDescent="0.3">
      <c r="A351" s="127"/>
      <c r="B351" s="109"/>
      <c r="C351" s="161"/>
      <c r="D351" s="161"/>
      <c r="E351" s="161"/>
      <c r="F351" s="118"/>
      <c r="G351" s="119"/>
      <c r="H351" s="165"/>
      <c r="I351" s="119"/>
      <c r="J351" s="119"/>
      <c r="K351" s="157"/>
    </row>
    <row r="352" spans="1:11" x14ac:dyDescent="0.3">
      <c r="A352" s="127"/>
      <c r="B352" s="109"/>
      <c r="C352" s="161"/>
      <c r="D352" s="161"/>
      <c r="E352" s="161"/>
      <c r="F352" s="118"/>
      <c r="G352" s="119"/>
      <c r="H352" s="165"/>
      <c r="I352" s="119"/>
      <c r="J352" s="119"/>
      <c r="K352" s="157"/>
    </row>
    <row r="353" spans="1:11" x14ac:dyDescent="0.3">
      <c r="A353" s="127"/>
      <c r="B353" s="109"/>
      <c r="C353" s="161"/>
      <c r="D353" s="161"/>
      <c r="E353" s="161"/>
      <c r="F353" s="118"/>
      <c r="G353" s="119"/>
      <c r="H353" s="165"/>
      <c r="I353" s="119"/>
      <c r="J353" s="119"/>
      <c r="K353" s="157"/>
    </row>
    <row r="354" spans="1:11" x14ac:dyDescent="0.3">
      <c r="A354" s="127"/>
      <c r="B354" s="109"/>
      <c r="C354" s="161"/>
      <c r="D354" s="161"/>
      <c r="E354" s="161"/>
      <c r="F354" s="118"/>
      <c r="G354" s="119"/>
      <c r="H354" s="165"/>
      <c r="I354" s="119"/>
      <c r="J354" s="119"/>
      <c r="K354" s="157"/>
    </row>
    <row r="355" spans="1:11" x14ac:dyDescent="0.3">
      <c r="A355" s="127"/>
      <c r="B355" s="109"/>
      <c r="C355" s="161"/>
      <c r="D355" s="161"/>
      <c r="E355" s="161"/>
      <c r="F355" s="118"/>
      <c r="G355" s="119"/>
      <c r="H355" s="165"/>
      <c r="I355" s="119"/>
      <c r="J355" s="119"/>
      <c r="K355" s="157"/>
    </row>
    <row r="356" spans="1:11" x14ac:dyDescent="0.3">
      <c r="A356" s="127"/>
      <c r="B356" s="109"/>
      <c r="C356" s="161"/>
      <c r="D356" s="161"/>
      <c r="E356" s="161"/>
      <c r="F356" s="118"/>
      <c r="G356" s="119"/>
      <c r="H356" s="165"/>
      <c r="I356" s="119"/>
      <c r="J356" s="119"/>
      <c r="K356" s="157"/>
    </row>
    <row r="357" spans="1:11" x14ac:dyDescent="0.3">
      <c r="A357" s="127"/>
      <c r="B357" s="109"/>
      <c r="C357" s="161"/>
      <c r="D357" s="161"/>
      <c r="E357" s="161"/>
      <c r="F357" s="118"/>
      <c r="G357" s="119"/>
      <c r="H357" s="165"/>
      <c r="I357" s="119"/>
      <c r="J357" s="119"/>
      <c r="K357" s="157"/>
    </row>
    <row r="358" spans="1:11" x14ac:dyDescent="0.3">
      <c r="A358" s="127"/>
      <c r="B358" s="109"/>
      <c r="C358" s="161"/>
      <c r="D358" s="161"/>
      <c r="E358" s="161"/>
      <c r="F358" s="118"/>
      <c r="G358" s="119"/>
      <c r="H358" s="165"/>
      <c r="I358" s="119"/>
      <c r="J358" s="119"/>
      <c r="K358" s="157"/>
    </row>
    <row r="359" spans="1:11" x14ac:dyDescent="0.3">
      <c r="A359" s="127"/>
      <c r="B359" s="109"/>
      <c r="C359" s="161"/>
      <c r="D359" s="161"/>
      <c r="E359" s="161"/>
      <c r="F359" s="118"/>
      <c r="G359" s="119"/>
      <c r="H359" s="165"/>
      <c r="I359" s="119"/>
      <c r="J359" s="119"/>
      <c r="K359" s="157"/>
    </row>
    <row r="360" spans="1:11" x14ac:dyDescent="0.3">
      <c r="A360" s="127"/>
      <c r="B360" s="109"/>
      <c r="C360" s="161"/>
      <c r="D360" s="161"/>
      <c r="E360" s="161"/>
      <c r="F360" s="118"/>
      <c r="G360" s="119"/>
      <c r="H360" s="165"/>
      <c r="I360" s="119"/>
      <c r="J360" s="119"/>
      <c r="K360" s="157"/>
    </row>
    <row r="361" spans="1:11" x14ac:dyDescent="0.3">
      <c r="A361" s="127"/>
      <c r="B361" s="109"/>
      <c r="C361" s="161"/>
      <c r="D361" s="161"/>
      <c r="E361" s="161"/>
      <c r="F361" s="118"/>
      <c r="G361" s="119"/>
      <c r="H361" s="165"/>
      <c r="I361" s="119"/>
      <c r="J361" s="119"/>
      <c r="K361" s="157"/>
    </row>
    <row r="362" spans="1:11" x14ac:dyDescent="0.3">
      <c r="A362" s="127"/>
      <c r="B362" s="109"/>
      <c r="C362" s="161"/>
      <c r="D362" s="161"/>
      <c r="E362" s="161"/>
      <c r="F362" s="118"/>
      <c r="G362" s="119"/>
      <c r="H362" s="165"/>
      <c r="I362" s="119"/>
      <c r="J362" s="119"/>
      <c r="K362" s="157"/>
    </row>
    <row r="363" spans="1:11" x14ac:dyDescent="0.3">
      <c r="A363" s="127"/>
      <c r="B363" s="109"/>
      <c r="C363" s="161"/>
      <c r="D363" s="161"/>
      <c r="E363" s="161"/>
      <c r="F363" s="118"/>
      <c r="G363" s="119"/>
      <c r="H363" s="165"/>
      <c r="I363" s="119"/>
      <c r="J363" s="119"/>
      <c r="K363" s="157"/>
    </row>
    <row r="364" spans="1:11" x14ac:dyDescent="0.3">
      <c r="A364" s="127"/>
      <c r="B364" s="109"/>
      <c r="C364" s="161"/>
      <c r="D364" s="161"/>
      <c r="E364" s="161"/>
      <c r="F364" s="118"/>
      <c r="G364" s="119"/>
      <c r="H364" s="165"/>
      <c r="I364" s="119"/>
      <c r="J364" s="119"/>
      <c r="K364" s="157"/>
    </row>
    <row r="365" spans="1:11" x14ac:dyDescent="0.3">
      <c r="A365" s="127"/>
      <c r="B365" s="109"/>
      <c r="C365" s="161"/>
      <c r="D365" s="161"/>
      <c r="E365" s="161"/>
      <c r="F365" s="118"/>
      <c r="G365" s="119"/>
      <c r="H365" s="165"/>
      <c r="I365" s="119"/>
      <c r="J365" s="119"/>
      <c r="K365" s="157"/>
    </row>
    <row r="366" spans="1:11" x14ac:dyDescent="0.3">
      <c r="A366" s="127"/>
      <c r="B366" s="109"/>
      <c r="C366" s="161"/>
      <c r="D366" s="161"/>
      <c r="E366" s="161"/>
      <c r="F366" s="118"/>
      <c r="G366" s="119"/>
      <c r="H366" s="165"/>
      <c r="I366" s="119"/>
      <c r="J366" s="119"/>
      <c r="K366" s="157"/>
    </row>
    <row r="367" spans="1:11" x14ac:dyDescent="0.3">
      <c r="A367" s="127"/>
      <c r="B367" s="109"/>
      <c r="C367" s="161"/>
      <c r="D367" s="161"/>
      <c r="E367" s="161"/>
      <c r="F367" s="118"/>
      <c r="G367" s="119"/>
      <c r="H367" s="165"/>
      <c r="I367" s="119"/>
      <c r="J367" s="119"/>
      <c r="K367" s="157"/>
    </row>
    <row r="368" spans="1:11" x14ac:dyDescent="0.3">
      <c r="A368" s="127"/>
      <c r="B368" s="109"/>
      <c r="C368" s="161"/>
      <c r="D368" s="161"/>
      <c r="E368" s="161"/>
      <c r="F368" s="118"/>
      <c r="G368" s="119"/>
      <c r="H368" s="165"/>
      <c r="I368" s="119"/>
      <c r="J368" s="119"/>
      <c r="K368" s="157"/>
    </row>
    <row r="369" spans="1:11" x14ac:dyDescent="0.3">
      <c r="A369" s="127"/>
      <c r="B369" s="109"/>
      <c r="C369" s="161"/>
      <c r="D369" s="161"/>
      <c r="E369" s="161"/>
      <c r="F369" s="118"/>
      <c r="G369" s="119"/>
      <c r="H369" s="165"/>
      <c r="I369" s="119"/>
      <c r="J369" s="119"/>
      <c r="K369" s="157"/>
    </row>
    <row r="370" spans="1:11" x14ac:dyDescent="0.3">
      <c r="A370" s="127"/>
      <c r="B370" s="109"/>
      <c r="C370" s="161"/>
      <c r="D370" s="161"/>
      <c r="E370" s="161"/>
      <c r="F370" s="118"/>
      <c r="G370" s="119"/>
      <c r="H370" s="165"/>
      <c r="I370" s="119"/>
      <c r="J370" s="119"/>
      <c r="K370" s="157"/>
    </row>
    <row r="371" spans="1:11" x14ac:dyDescent="0.3">
      <c r="A371" s="127"/>
      <c r="B371" s="109"/>
      <c r="C371" s="161"/>
      <c r="D371" s="161"/>
      <c r="E371" s="161"/>
      <c r="F371" s="118"/>
      <c r="G371" s="119"/>
      <c r="H371" s="165"/>
      <c r="I371" s="119"/>
      <c r="J371" s="119"/>
      <c r="K371" s="157"/>
    </row>
    <row r="372" spans="1:11" x14ac:dyDescent="0.3">
      <c r="A372" s="127"/>
      <c r="B372" s="109"/>
      <c r="C372" s="161"/>
      <c r="D372" s="161"/>
      <c r="E372" s="161"/>
      <c r="F372" s="118"/>
      <c r="G372" s="119"/>
      <c r="H372" s="165"/>
      <c r="I372" s="119"/>
      <c r="J372" s="119"/>
      <c r="K372" s="157"/>
    </row>
    <row r="373" spans="1:11" x14ac:dyDescent="0.3">
      <c r="A373" s="127"/>
      <c r="B373" s="109"/>
      <c r="C373" s="161"/>
      <c r="D373" s="161"/>
      <c r="E373" s="161"/>
      <c r="F373" s="118"/>
      <c r="G373" s="119"/>
      <c r="H373" s="165"/>
      <c r="I373" s="119"/>
      <c r="J373" s="119"/>
      <c r="K373" s="157"/>
    </row>
    <row r="374" spans="1:11" x14ac:dyDescent="0.3">
      <c r="A374" s="127"/>
      <c r="B374" s="109"/>
      <c r="C374" s="161"/>
      <c r="D374" s="161"/>
      <c r="E374" s="161"/>
      <c r="F374" s="118"/>
      <c r="G374" s="119"/>
      <c r="H374" s="165"/>
      <c r="I374" s="119"/>
      <c r="J374" s="119"/>
      <c r="K374" s="157"/>
    </row>
    <row r="375" spans="1:11" x14ac:dyDescent="0.3">
      <c r="A375" s="127"/>
      <c r="B375" s="109"/>
      <c r="C375" s="161"/>
      <c r="D375" s="161"/>
      <c r="E375" s="161"/>
      <c r="F375" s="118"/>
      <c r="G375" s="119"/>
      <c r="H375" s="165"/>
      <c r="I375" s="119"/>
      <c r="J375" s="119"/>
      <c r="K375" s="157"/>
    </row>
    <row r="376" spans="1:11" x14ac:dyDescent="0.3">
      <c r="A376" s="127"/>
      <c r="B376" s="109"/>
      <c r="C376" s="161"/>
      <c r="D376" s="161"/>
      <c r="E376" s="161"/>
      <c r="F376" s="118"/>
      <c r="G376" s="119"/>
      <c r="H376" s="165"/>
      <c r="I376" s="119"/>
      <c r="J376" s="119"/>
      <c r="K376" s="157"/>
    </row>
    <row r="377" spans="1:11" x14ac:dyDescent="0.3">
      <c r="A377" s="127"/>
      <c r="B377" s="109"/>
      <c r="C377" s="161"/>
      <c r="D377" s="161"/>
      <c r="E377" s="161"/>
      <c r="F377" s="118"/>
      <c r="G377" s="119"/>
      <c r="H377" s="165"/>
      <c r="I377" s="119"/>
      <c r="J377" s="119"/>
      <c r="K377" s="157"/>
    </row>
    <row r="378" spans="1:11" x14ac:dyDescent="0.3">
      <c r="A378" s="127"/>
      <c r="B378" s="109"/>
      <c r="C378" s="161"/>
      <c r="D378" s="161"/>
      <c r="E378" s="161"/>
      <c r="F378" s="118"/>
      <c r="G378" s="119"/>
      <c r="H378" s="165"/>
      <c r="I378" s="119"/>
      <c r="J378" s="119"/>
      <c r="K378" s="157"/>
    </row>
    <row r="379" spans="1:11" x14ac:dyDescent="0.3">
      <c r="A379" s="127"/>
      <c r="B379" s="109"/>
      <c r="C379" s="161"/>
      <c r="D379" s="161"/>
      <c r="E379" s="161"/>
      <c r="F379" s="118"/>
      <c r="G379" s="119"/>
      <c r="H379" s="165"/>
      <c r="I379" s="119"/>
      <c r="J379" s="119"/>
      <c r="K379" s="157"/>
    </row>
    <row r="380" spans="1:11" x14ac:dyDescent="0.3">
      <c r="A380" s="127"/>
      <c r="B380" s="109"/>
      <c r="C380" s="161"/>
      <c r="D380" s="161"/>
      <c r="E380" s="161"/>
      <c r="F380" s="118"/>
      <c r="G380" s="119"/>
      <c r="H380" s="165"/>
      <c r="I380" s="119"/>
      <c r="J380" s="119"/>
      <c r="K380" s="157"/>
    </row>
    <row r="381" spans="1:11" x14ac:dyDescent="0.3">
      <c r="A381" s="127"/>
      <c r="B381" s="109"/>
      <c r="C381" s="161"/>
      <c r="D381" s="161"/>
      <c r="E381" s="161"/>
      <c r="F381" s="118"/>
      <c r="G381" s="119"/>
      <c r="H381" s="165"/>
      <c r="I381" s="119"/>
      <c r="J381" s="119"/>
      <c r="K381" s="157"/>
    </row>
    <row r="382" spans="1:11" x14ac:dyDescent="0.3">
      <c r="A382" s="127"/>
      <c r="B382" s="109"/>
      <c r="C382" s="161"/>
      <c r="D382" s="161"/>
      <c r="E382" s="161"/>
      <c r="F382" s="118"/>
      <c r="G382" s="119"/>
      <c r="H382" s="165"/>
      <c r="I382" s="119"/>
      <c r="J382" s="119"/>
      <c r="K382" s="157"/>
    </row>
    <row r="383" spans="1:11" x14ac:dyDescent="0.3">
      <c r="A383" s="127"/>
      <c r="B383" s="109"/>
      <c r="C383" s="161"/>
      <c r="D383" s="161"/>
      <c r="E383" s="161"/>
      <c r="F383" s="118"/>
      <c r="G383" s="119"/>
      <c r="H383" s="165"/>
      <c r="I383" s="119"/>
      <c r="J383" s="119"/>
      <c r="K383" s="157"/>
    </row>
    <row r="384" spans="1:11" x14ac:dyDescent="0.3">
      <c r="A384" s="127"/>
      <c r="B384" s="109"/>
      <c r="C384" s="161"/>
      <c r="D384" s="161"/>
      <c r="E384" s="161"/>
      <c r="F384" s="118"/>
      <c r="G384" s="119"/>
      <c r="H384" s="165"/>
      <c r="I384" s="119"/>
      <c r="J384" s="119"/>
      <c r="K384" s="157"/>
    </row>
    <row r="385" spans="1:11" x14ac:dyDescent="0.3">
      <c r="A385" s="127"/>
      <c r="B385" s="109"/>
      <c r="C385" s="161"/>
      <c r="D385" s="161"/>
      <c r="E385" s="161"/>
      <c r="F385" s="118"/>
      <c r="G385" s="119"/>
      <c r="H385" s="165"/>
      <c r="I385" s="119"/>
      <c r="J385" s="119"/>
      <c r="K385" s="157"/>
    </row>
    <row r="386" spans="1:11" x14ac:dyDescent="0.3">
      <c r="A386" s="127"/>
      <c r="B386" s="109"/>
      <c r="C386" s="161"/>
      <c r="D386" s="161"/>
      <c r="E386" s="161"/>
      <c r="F386" s="118"/>
      <c r="G386" s="119"/>
      <c r="H386" s="165"/>
      <c r="I386" s="119"/>
      <c r="J386" s="119"/>
      <c r="K386" s="157"/>
    </row>
    <row r="387" spans="1:11" x14ac:dyDescent="0.3">
      <c r="A387" s="127"/>
      <c r="B387" s="109"/>
      <c r="C387" s="161"/>
      <c r="D387" s="161"/>
      <c r="E387" s="161"/>
      <c r="F387" s="118"/>
      <c r="G387" s="119"/>
      <c r="H387" s="165"/>
      <c r="I387" s="119"/>
      <c r="J387" s="119"/>
      <c r="K387" s="157"/>
    </row>
    <row r="388" spans="1:11" x14ac:dyDescent="0.3">
      <c r="A388" s="127"/>
      <c r="B388" s="109"/>
      <c r="C388" s="161"/>
      <c r="D388" s="161"/>
      <c r="E388" s="161"/>
      <c r="F388" s="118"/>
      <c r="G388" s="119"/>
      <c r="H388" s="165"/>
      <c r="I388" s="119"/>
      <c r="J388" s="119"/>
      <c r="K388" s="157"/>
    </row>
    <row r="389" spans="1:11" x14ac:dyDescent="0.3">
      <c r="A389" s="127"/>
      <c r="B389" s="109"/>
      <c r="C389" s="161"/>
      <c r="D389" s="161"/>
      <c r="E389" s="161"/>
      <c r="F389" s="118"/>
      <c r="G389" s="119"/>
      <c r="H389" s="165"/>
      <c r="I389" s="119"/>
      <c r="J389" s="119"/>
      <c r="K389" s="157"/>
    </row>
    <row r="390" spans="1:11" x14ac:dyDescent="0.3">
      <c r="A390" s="127"/>
      <c r="B390" s="109"/>
      <c r="C390" s="161"/>
      <c r="D390" s="161"/>
      <c r="E390" s="161"/>
      <c r="F390" s="118"/>
      <c r="G390" s="119"/>
      <c r="H390" s="165"/>
      <c r="I390" s="119"/>
      <c r="J390" s="119"/>
      <c r="K390" s="157"/>
    </row>
    <row r="391" spans="1:11" x14ac:dyDescent="0.3">
      <c r="A391" s="127"/>
      <c r="B391" s="109"/>
      <c r="C391" s="161"/>
      <c r="D391" s="161"/>
      <c r="E391" s="161"/>
      <c r="F391" s="118"/>
      <c r="G391" s="119"/>
      <c r="H391" s="165"/>
      <c r="I391" s="119"/>
      <c r="J391" s="119"/>
      <c r="K391" s="157"/>
    </row>
    <row r="392" spans="1:11" x14ac:dyDescent="0.3">
      <c r="A392" s="127"/>
      <c r="B392" s="109"/>
      <c r="C392" s="161"/>
      <c r="D392" s="161"/>
      <c r="E392" s="161"/>
      <c r="F392" s="118"/>
      <c r="G392" s="119"/>
      <c r="H392" s="165"/>
      <c r="I392" s="119"/>
      <c r="J392" s="119"/>
      <c r="K392" s="157"/>
    </row>
    <row r="393" spans="1:11" x14ac:dyDescent="0.3">
      <c r="A393" s="127"/>
      <c r="B393" s="109"/>
      <c r="C393" s="161"/>
      <c r="D393" s="161"/>
      <c r="E393" s="161"/>
      <c r="F393" s="118"/>
      <c r="G393" s="119"/>
      <c r="H393" s="165"/>
      <c r="I393" s="119"/>
      <c r="J393" s="119"/>
      <c r="K393" s="157"/>
    </row>
    <row r="394" spans="1:11" x14ac:dyDescent="0.3">
      <c r="A394" s="127"/>
      <c r="B394" s="109"/>
      <c r="C394" s="161"/>
      <c r="D394" s="161"/>
      <c r="E394" s="161"/>
      <c r="F394" s="118"/>
      <c r="G394" s="119"/>
      <c r="H394" s="165"/>
      <c r="I394" s="119"/>
      <c r="J394" s="119"/>
      <c r="K394" s="157"/>
    </row>
    <row r="395" spans="1:11" x14ac:dyDescent="0.3">
      <c r="A395" s="127"/>
      <c r="B395" s="109"/>
      <c r="C395" s="161"/>
      <c r="D395" s="161"/>
      <c r="E395" s="161"/>
      <c r="F395" s="118"/>
      <c r="G395" s="119"/>
      <c r="H395" s="165"/>
      <c r="I395" s="119"/>
      <c r="J395" s="119"/>
      <c r="K395" s="157"/>
    </row>
    <row r="396" spans="1:11" x14ac:dyDescent="0.3">
      <c r="A396" s="127"/>
      <c r="B396" s="109"/>
      <c r="C396" s="161"/>
      <c r="D396" s="161"/>
      <c r="E396" s="161"/>
      <c r="F396" s="118"/>
      <c r="G396" s="119"/>
      <c r="H396" s="165"/>
      <c r="I396" s="119"/>
      <c r="J396" s="119"/>
      <c r="K396" s="157"/>
    </row>
    <row r="397" spans="1:11" x14ac:dyDescent="0.3">
      <c r="A397" s="127"/>
      <c r="B397" s="109"/>
      <c r="C397" s="161"/>
      <c r="D397" s="161"/>
      <c r="E397" s="161"/>
      <c r="F397" s="118"/>
      <c r="G397" s="119"/>
      <c r="H397" s="165"/>
      <c r="I397" s="119"/>
      <c r="J397" s="119"/>
      <c r="K397" s="157"/>
    </row>
    <row r="398" spans="1:11" x14ac:dyDescent="0.3">
      <c r="A398" s="127"/>
      <c r="B398" s="109"/>
      <c r="C398" s="161"/>
      <c r="D398" s="161"/>
      <c r="E398" s="161"/>
      <c r="F398" s="118"/>
      <c r="G398" s="119"/>
      <c r="H398" s="165"/>
      <c r="I398" s="119"/>
      <c r="J398" s="119"/>
      <c r="K398" s="157"/>
    </row>
    <row r="399" spans="1:11" x14ac:dyDescent="0.3">
      <c r="A399" s="127"/>
      <c r="B399" s="109"/>
      <c r="C399" s="161"/>
      <c r="D399" s="161"/>
      <c r="E399" s="161"/>
      <c r="F399" s="118"/>
      <c r="G399" s="119"/>
      <c r="H399" s="165"/>
      <c r="I399" s="119"/>
      <c r="J399" s="119"/>
      <c r="K399" s="157"/>
    </row>
    <row r="400" spans="1:11" x14ac:dyDescent="0.3">
      <c r="A400" s="127"/>
      <c r="B400" s="109"/>
      <c r="C400" s="161"/>
      <c r="D400" s="161"/>
      <c r="E400" s="161"/>
      <c r="F400" s="118"/>
      <c r="G400" s="119"/>
      <c r="H400" s="165"/>
      <c r="I400" s="119"/>
      <c r="J400" s="119"/>
      <c r="K400" s="157"/>
    </row>
    <row r="401" spans="1:11" x14ac:dyDescent="0.3">
      <c r="A401" s="127"/>
      <c r="B401" s="109"/>
      <c r="C401" s="161"/>
      <c r="D401" s="161"/>
      <c r="E401" s="161"/>
      <c r="F401" s="118"/>
      <c r="G401" s="119"/>
      <c r="H401" s="165"/>
      <c r="I401" s="119"/>
      <c r="J401" s="119"/>
      <c r="K401" s="157"/>
    </row>
    <row r="402" spans="1:11" x14ac:dyDescent="0.3">
      <c r="A402" s="127"/>
      <c r="B402" s="109"/>
      <c r="C402" s="161"/>
      <c r="D402" s="161"/>
      <c r="E402" s="161"/>
      <c r="F402" s="118"/>
      <c r="G402" s="119"/>
      <c r="H402" s="165"/>
      <c r="I402" s="119"/>
      <c r="J402" s="119"/>
      <c r="K402" s="157"/>
    </row>
    <row r="403" spans="1:11" x14ac:dyDescent="0.3">
      <c r="A403" s="127"/>
      <c r="B403" s="109"/>
      <c r="C403" s="161"/>
      <c r="D403" s="161"/>
      <c r="E403" s="161"/>
      <c r="F403" s="118"/>
      <c r="G403" s="119"/>
      <c r="H403" s="165"/>
      <c r="I403" s="119"/>
      <c r="J403" s="119"/>
      <c r="K403" s="157"/>
    </row>
    <row r="404" spans="1:11" x14ac:dyDescent="0.3">
      <c r="A404" s="127"/>
      <c r="B404" s="109"/>
      <c r="C404" s="161"/>
      <c r="D404" s="161"/>
      <c r="E404" s="161"/>
      <c r="F404" s="118"/>
      <c r="G404" s="119"/>
      <c r="H404" s="165"/>
      <c r="I404" s="119"/>
      <c r="J404" s="119"/>
      <c r="K404" s="157"/>
    </row>
    <row r="405" spans="1:11" x14ac:dyDescent="0.3">
      <c r="A405" s="127"/>
      <c r="B405" s="109"/>
      <c r="C405" s="161"/>
      <c r="D405" s="161"/>
      <c r="E405" s="161"/>
      <c r="F405" s="118"/>
      <c r="G405" s="119"/>
      <c r="H405" s="165"/>
      <c r="I405" s="119"/>
      <c r="J405" s="119"/>
      <c r="K405" s="157"/>
    </row>
    <row r="406" spans="1:11" x14ac:dyDescent="0.3">
      <c r="A406" s="127"/>
      <c r="B406" s="109"/>
      <c r="C406" s="161"/>
      <c r="D406" s="161"/>
      <c r="E406" s="161"/>
      <c r="F406" s="118"/>
      <c r="G406" s="119"/>
      <c r="H406" s="165"/>
      <c r="I406" s="119"/>
      <c r="J406" s="119"/>
      <c r="K406" s="157"/>
    </row>
    <row r="407" spans="1:11" x14ac:dyDescent="0.3">
      <c r="A407" s="127"/>
      <c r="B407" s="109"/>
      <c r="C407" s="161"/>
      <c r="D407" s="161"/>
      <c r="E407" s="161"/>
      <c r="F407" s="118"/>
      <c r="G407" s="119"/>
      <c r="H407" s="165"/>
      <c r="I407" s="119"/>
      <c r="J407" s="119"/>
      <c r="K407" s="157"/>
    </row>
    <row r="408" spans="1:11" x14ac:dyDescent="0.3">
      <c r="A408" s="127"/>
      <c r="B408" s="109"/>
      <c r="C408" s="161"/>
      <c r="D408" s="161"/>
      <c r="E408" s="161"/>
      <c r="F408" s="118"/>
      <c r="G408" s="119"/>
      <c r="H408" s="165"/>
      <c r="I408" s="119"/>
      <c r="J408" s="119"/>
      <c r="K408" s="157"/>
    </row>
    <row r="409" spans="1:11" x14ac:dyDescent="0.3">
      <c r="A409" s="127"/>
      <c r="B409" s="109"/>
      <c r="C409" s="161"/>
      <c r="D409" s="161"/>
      <c r="E409" s="161"/>
      <c r="F409" s="118"/>
      <c r="G409" s="119"/>
      <c r="H409" s="165"/>
      <c r="I409" s="119"/>
      <c r="J409" s="119"/>
      <c r="K409" s="157"/>
    </row>
    <row r="410" spans="1:11" x14ac:dyDescent="0.3">
      <c r="A410" s="127"/>
      <c r="B410" s="109"/>
      <c r="C410" s="161"/>
      <c r="D410" s="161"/>
      <c r="E410" s="161"/>
      <c r="F410" s="118"/>
      <c r="G410" s="119"/>
      <c r="H410" s="165"/>
      <c r="I410" s="119"/>
      <c r="J410" s="119"/>
      <c r="K410" s="157"/>
    </row>
    <row r="411" spans="1:11" x14ac:dyDescent="0.3">
      <c r="A411" s="127"/>
      <c r="B411" s="109"/>
      <c r="C411" s="161"/>
      <c r="D411" s="161"/>
      <c r="E411" s="161"/>
      <c r="F411" s="118"/>
      <c r="G411" s="119"/>
      <c r="H411" s="165"/>
      <c r="I411" s="119"/>
      <c r="J411" s="119"/>
      <c r="K411" s="157"/>
    </row>
    <row r="412" spans="1:11" x14ac:dyDescent="0.3">
      <c r="A412" s="127"/>
      <c r="B412" s="109"/>
      <c r="C412" s="161"/>
      <c r="D412" s="161"/>
      <c r="E412" s="161"/>
      <c r="F412" s="118"/>
      <c r="G412" s="119"/>
      <c r="H412" s="165"/>
      <c r="I412" s="119"/>
      <c r="J412" s="119"/>
      <c r="K412" s="157"/>
    </row>
    <row r="413" spans="1:11" x14ac:dyDescent="0.3">
      <c r="A413" s="127"/>
      <c r="B413" s="109"/>
      <c r="C413" s="161"/>
      <c r="D413" s="161"/>
      <c r="E413" s="161"/>
      <c r="F413" s="118"/>
      <c r="G413" s="119"/>
      <c r="H413" s="165"/>
      <c r="I413" s="119"/>
      <c r="J413" s="119"/>
      <c r="K413" s="157"/>
    </row>
    <row r="414" spans="1:11" x14ac:dyDescent="0.3">
      <c r="A414" s="127"/>
      <c r="B414" s="109"/>
      <c r="C414" s="161"/>
      <c r="D414" s="161"/>
      <c r="E414" s="161"/>
      <c r="F414" s="118"/>
      <c r="G414" s="119"/>
      <c r="H414" s="165"/>
      <c r="I414" s="119"/>
      <c r="J414" s="119"/>
      <c r="K414" s="157"/>
    </row>
    <row r="415" spans="1:11" x14ac:dyDescent="0.3">
      <c r="A415" s="127"/>
      <c r="B415" s="109"/>
      <c r="C415" s="161"/>
      <c r="D415" s="161"/>
      <c r="E415" s="161"/>
      <c r="F415" s="118"/>
      <c r="G415" s="119"/>
      <c r="H415" s="165"/>
      <c r="I415" s="119"/>
      <c r="J415" s="119"/>
      <c r="K415" s="157"/>
    </row>
    <row r="416" spans="1:11" x14ac:dyDescent="0.3">
      <c r="A416" s="127"/>
      <c r="B416" s="109"/>
      <c r="C416" s="161"/>
      <c r="D416" s="161"/>
      <c r="E416" s="161"/>
      <c r="F416" s="118"/>
      <c r="G416" s="119"/>
      <c r="H416" s="165"/>
      <c r="I416" s="119"/>
      <c r="J416" s="119"/>
      <c r="K416" s="157"/>
    </row>
    <row r="417" spans="1:11" x14ac:dyDescent="0.3">
      <c r="A417" s="127"/>
      <c r="B417" s="109"/>
      <c r="C417" s="161"/>
      <c r="D417" s="161"/>
      <c r="E417" s="161"/>
      <c r="F417" s="118"/>
      <c r="G417" s="119"/>
      <c r="H417" s="165"/>
      <c r="I417" s="119"/>
      <c r="J417" s="119"/>
      <c r="K417" s="157"/>
    </row>
    <row r="418" spans="1:11" x14ac:dyDescent="0.3">
      <c r="A418" s="127"/>
      <c r="B418" s="109"/>
      <c r="C418" s="161"/>
      <c r="D418" s="161"/>
      <c r="E418" s="161"/>
      <c r="F418" s="118"/>
      <c r="G418" s="119"/>
      <c r="H418" s="165"/>
      <c r="I418" s="119"/>
      <c r="J418" s="119"/>
      <c r="K418" s="157"/>
    </row>
    <row r="419" spans="1:11" x14ac:dyDescent="0.3">
      <c r="A419" s="127"/>
      <c r="B419" s="109"/>
      <c r="C419" s="161"/>
      <c r="D419" s="161"/>
      <c r="E419" s="161"/>
      <c r="F419" s="118"/>
      <c r="G419" s="119"/>
      <c r="H419" s="165"/>
      <c r="I419" s="119"/>
      <c r="J419" s="119"/>
      <c r="K419" s="157"/>
    </row>
    <row r="420" spans="1:11" x14ac:dyDescent="0.3">
      <c r="A420" s="127"/>
      <c r="B420" s="109"/>
      <c r="C420" s="161"/>
      <c r="D420" s="161"/>
      <c r="E420" s="161"/>
      <c r="F420" s="118"/>
      <c r="G420" s="119"/>
      <c r="H420" s="165"/>
      <c r="I420" s="119"/>
      <c r="J420" s="119"/>
      <c r="K420" s="157"/>
    </row>
    <row r="421" spans="1:11" x14ac:dyDescent="0.3">
      <c r="A421" s="127"/>
      <c r="B421" s="109"/>
      <c r="C421" s="161"/>
      <c r="D421" s="161"/>
      <c r="E421" s="161"/>
      <c r="F421" s="118"/>
      <c r="G421" s="119"/>
      <c r="H421" s="165"/>
      <c r="I421" s="119"/>
      <c r="J421" s="119"/>
      <c r="K421" s="157"/>
    </row>
    <row r="422" spans="1:11" x14ac:dyDescent="0.3">
      <c r="A422" s="127"/>
      <c r="B422" s="109"/>
      <c r="C422" s="161"/>
      <c r="D422" s="161"/>
      <c r="E422" s="161"/>
      <c r="F422" s="118"/>
      <c r="G422" s="119"/>
      <c r="H422" s="165"/>
      <c r="I422" s="119"/>
      <c r="J422" s="119"/>
      <c r="K422" s="157"/>
    </row>
    <row r="423" spans="1:11" x14ac:dyDescent="0.3">
      <c r="A423" s="127"/>
      <c r="B423" s="109"/>
      <c r="C423" s="161"/>
      <c r="D423" s="161"/>
      <c r="E423" s="161"/>
      <c r="F423" s="118"/>
      <c r="G423" s="119"/>
      <c r="H423" s="165"/>
      <c r="I423" s="119"/>
      <c r="J423" s="119"/>
      <c r="K423" s="157"/>
    </row>
    <row r="424" spans="1:11" x14ac:dyDescent="0.3">
      <c r="A424" s="127"/>
      <c r="B424" s="109"/>
      <c r="C424" s="161"/>
      <c r="D424" s="161"/>
      <c r="E424" s="161"/>
      <c r="F424" s="118"/>
      <c r="G424" s="119"/>
      <c r="H424" s="165"/>
      <c r="I424" s="119"/>
      <c r="J424" s="119"/>
      <c r="K424" s="157"/>
    </row>
    <row r="425" spans="1:11" x14ac:dyDescent="0.3">
      <c r="A425" s="127"/>
      <c r="B425" s="109"/>
      <c r="C425" s="161"/>
      <c r="D425" s="161"/>
      <c r="E425" s="161"/>
      <c r="F425" s="118"/>
      <c r="G425" s="119"/>
      <c r="H425" s="165"/>
      <c r="I425" s="119"/>
      <c r="J425" s="119"/>
      <c r="K425" s="157"/>
    </row>
    <row r="426" spans="1:11" x14ac:dyDescent="0.3">
      <c r="A426" s="127"/>
      <c r="B426" s="109"/>
      <c r="C426" s="161"/>
      <c r="D426" s="161"/>
      <c r="E426" s="161"/>
      <c r="F426" s="118"/>
      <c r="G426" s="119"/>
      <c r="H426" s="165"/>
      <c r="I426" s="119"/>
      <c r="J426" s="119"/>
      <c r="K426" s="157"/>
    </row>
    <row r="427" spans="1:11" x14ac:dyDescent="0.3">
      <c r="A427" s="127"/>
      <c r="B427" s="109"/>
      <c r="C427" s="161"/>
      <c r="D427" s="161"/>
      <c r="E427" s="161"/>
      <c r="F427" s="118"/>
      <c r="G427" s="119"/>
      <c r="H427" s="165"/>
      <c r="I427" s="119"/>
      <c r="J427" s="119"/>
      <c r="K427" s="157"/>
    </row>
    <row r="428" spans="1:11" x14ac:dyDescent="0.3">
      <c r="A428" s="127"/>
      <c r="B428" s="109"/>
      <c r="C428" s="161"/>
      <c r="D428" s="161"/>
      <c r="E428" s="161"/>
      <c r="F428" s="118"/>
      <c r="G428" s="119"/>
      <c r="H428" s="165"/>
      <c r="I428" s="119"/>
      <c r="J428" s="119"/>
      <c r="K428" s="157"/>
    </row>
    <row r="429" spans="1:11" x14ac:dyDescent="0.3">
      <c r="A429" s="127"/>
      <c r="B429" s="109"/>
      <c r="C429" s="161"/>
      <c r="D429" s="161"/>
      <c r="E429" s="161"/>
      <c r="F429" s="118"/>
      <c r="G429" s="119"/>
      <c r="H429" s="165"/>
      <c r="I429" s="119"/>
      <c r="J429" s="119"/>
      <c r="K429" s="157"/>
    </row>
    <row r="430" spans="1:11" x14ac:dyDescent="0.3">
      <c r="A430" s="127"/>
      <c r="B430" s="109"/>
      <c r="C430" s="161"/>
      <c r="D430" s="161"/>
      <c r="E430" s="161"/>
      <c r="F430" s="118"/>
      <c r="G430" s="119"/>
      <c r="H430" s="165"/>
      <c r="I430" s="119"/>
      <c r="J430" s="119"/>
      <c r="K430" s="157"/>
    </row>
    <row r="431" spans="1:11" x14ac:dyDescent="0.3">
      <c r="A431" s="127"/>
      <c r="B431" s="109"/>
      <c r="C431" s="161"/>
      <c r="D431" s="161"/>
      <c r="E431" s="161"/>
      <c r="F431" s="118"/>
      <c r="G431" s="119"/>
      <c r="H431" s="165"/>
      <c r="I431" s="119"/>
      <c r="J431" s="119"/>
      <c r="K431" s="157"/>
    </row>
    <row r="432" spans="1:11" x14ac:dyDescent="0.3">
      <c r="A432" s="127"/>
      <c r="B432" s="109"/>
      <c r="C432" s="161"/>
      <c r="D432" s="161"/>
      <c r="E432" s="161"/>
      <c r="F432" s="118"/>
      <c r="G432" s="119"/>
      <c r="H432" s="165"/>
      <c r="I432" s="119"/>
      <c r="J432" s="119"/>
      <c r="K432" s="157"/>
    </row>
    <row r="433" spans="1:11" x14ac:dyDescent="0.3">
      <c r="A433" s="127"/>
      <c r="B433" s="109"/>
      <c r="C433" s="161"/>
      <c r="D433" s="161"/>
      <c r="E433" s="161"/>
      <c r="F433" s="118"/>
      <c r="G433" s="119"/>
      <c r="H433" s="165"/>
      <c r="I433" s="119"/>
      <c r="J433" s="119"/>
      <c r="K433" s="157"/>
    </row>
    <row r="434" spans="1:11" x14ac:dyDescent="0.3">
      <c r="A434" s="127"/>
      <c r="B434" s="109"/>
      <c r="C434" s="161"/>
      <c r="D434" s="161"/>
      <c r="E434" s="161"/>
      <c r="F434" s="118"/>
      <c r="G434" s="119"/>
      <c r="H434" s="165"/>
      <c r="I434" s="119"/>
      <c r="J434" s="119"/>
      <c r="K434" s="157"/>
    </row>
    <row r="435" spans="1:11" x14ac:dyDescent="0.3">
      <c r="A435" s="127"/>
      <c r="B435" s="109"/>
      <c r="C435" s="161"/>
      <c r="D435" s="161"/>
      <c r="E435" s="161"/>
      <c r="F435" s="118"/>
      <c r="G435" s="119"/>
      <c r="H435" s="165"/>
      <c r="I435" s="119"/>
      <c r="J435" s="119"/>
      <c r="K435" s="157"/>
    </row>
    <row r="436" spans="1:11" x14ac:dyDescent="0.3">
      <c r="A436" s="127"/>
      <c r="B436" s="109"/>
      <c r="C436" s="161"/>
      <c r="D436" s="161"/>
      <c r="E436" s="161"/>
      <c r="F436" s="118"/>
      <c r="G436" s="119"/>
      <c r="H436" s="165"/>
      <c r="I436" s="119"/>
      <c r="J436" s="119"/>
      <c r="K436" s="157"/>
    </row>
    <row r="437" spans="1:11" x14ac:dyDescent="0.3">
      <c r="A437" s="127"/>
      <c r="B437" s="109"/>
      <c r="C437" s="161"/>
      <c r="D437" s="161"/>
      <c r="E437" s="161"/>
      <c r="F437" s="118"/>
      <c r="G437" s="119"/>
      <c r="H437" s="165"/>
      <c r="I437" s="119"/>
      <c r="J437" s="119"/>
      <c r="K437" s="157"/>
    </row>
    <row r="438" spans="1:11" x14ac:dyDescent="0.3">
      <c r="A438" s="127"/>
      <c r="B438" s="109"/>
      <c r="C438" s="161"/>
      <c r="D438" s="161"/>
      <c r="E438" s="161"/>
      <c r="F438" s="118"/>
      <c r="G438" s="119"/>
      <c r="H438" s="165"/>
      <c r="I438" s="119"/>
      <c r="J438" s="119"/>
      <c r="K438" s="157"/>
    </row>
    <row r="439" spans="1:11" x14ac:dyDescent="0.3">
      <c r="A439" s="127"/>
      <c r="B439" s="109"/>
      <c r="C439" s="161"/>
      <c r="D439" s="161"/>
      <c r="E439" s="161"/>
      <c r="F439" s="118"/>
      <c r="G439" s="119"/>
      <c r="H439" s="165"/>
      <c r="I439" s="119"/>
      <c r="J439" s="119"/>
      <c r="K439" s="157"/>
    </row>
    <row r="440" spans="1:11" x14ac:dyDescent="0.3">
      <c r="A440" s="127"/>
      <c r="B440" s="109"/>
      <c r="C440" s="161"/>
      <c r="D440" s="161"/>
      <c r="E440" s="161"/>
      <c r="F440" s="118"/>
      <c r="G440" s="119"/>
      <c r="H440" s="165"/>
      <c r="I440" s="119"/>
      <c r="J440" s="119"/>
      <c r="K440" s="157"/>
    </row>
    <row r="441" spans="1:11" x14ac:dyDescent="0.3">
      <c r="A441" s="127"/>
      <c r="B441" s="109"/>
      <c r="C441" s="161"/>
      <c r="D441" s="161"/>
      <c r="E441" s="161"/>
      <c r="F441" s="118"/>
      <c r="G441" s="119"/>
      <c r="H441" s="165"/>
      <c r="I441" s="119"/>
      <c r="J441" s="119"/>
      <c r="K441" s="157"/>
    </row>
    <row r="442" spans="1:11" x14ac:dyDescent="0.3">
      <c r="A442" s="127"/>
      <c r="B442" s="109"/>
      <c r="C442" s="161"/>
      <c r="D442" s="161"/>
      <c r="E442" s="161"/>
      <c r="F442" s="118"/>
      <c r="G442" s="119"/>
      <c r="H442" s="165"/>
      <c r="I442" s="119"/>
      <c r="J442" s="119"/>
      <c r="K442" s="157"/>
    </row>
    <row r="443" spans="1:11" x14ac:dyDescent="0.3">
      <c r="A443" s="127"/>
      <c r="B443" s="109"/>
      <c r="C443" s="161"/>
      <c r="D443" s="161"/>
      <c r="E443" s="161"/>
      <c r="F443" s="118"/>
      <c r="G443" s="119"/>
      <c r="H443" s="165"/>
      <c r="I443" s="119"/>
      <c r="J443" s="119"/>
      <c r="K443" s="157"/>
    </row>
    <row r="444" spans="1:11" x14ac:dyDescent="0.3">
      <c r="A444" s="127"/>
      <c r="B444" s="109"/>
      <c r="C444" s="161"/>
      <c r="D444" s="161"/>
      <c r="E444" s="161"/>
      <c r="F444" s="118"/>
      <c r="G444" s="119"/>
      <c r="H444" s="165"/>
      <c r="I444" s="119"/>
      <c r="J444" s="119"/>
      <c r="K444" s="157"/>
    </row>
    <row r="445" spans="1:11" x14ac:dyDescent="0.3">
      <c r="A445" s="127"/>
      <c r="B445" s="109"/>
      <c r="C445" s="161"/>
      <c r="D445" s="161"/>
      <c r="E445" s="161"/>
      <c r="F445" s="118"/>
      <c r="G445" s="119"/>
      <c r="H445" s="165"/>
      <c r="I445" s="119"/>
      <c r="J445" s="119"/>
      <c r="K445" s="157"/>
    </row>
    <row r="446" spans="1:11" x14ac:dyDescent="0.3">
      <c r="A446" s="127"/>
      <c r="B446" s="109"/>
      <c r="C446" s="161"/>
      <c r="D446" s="161"/>
      <c r="E446" s="161"/>
      <c r="F446" s="118"/>
      <c r="G446" s="119"/>
      <c r="H446" s="165"/>
      <c r="I446" s="119"/>
      <c r="J446" s="119"/>
      <c r="K446" s="157"/>
    </row>
    <row r="447" spans="1:11" x14ac:dyDescent="0.3">
      <c r="A447" s="127"/>
      <c r="B447" s="109"/>
      <c r="C447" s="161"/>
      <c r="D447" s="161"/>
      <c r="E447" s="161"/>
      <c r="F447" s="118"/>
      <c r="G447" s="119"/>
      <c r="H447" s="165"/>
      <c r="I447" s="119"/>
      <c r="J447" s="119"/>
      <c r="K447" s="157"/>
    </row>
    <row r="448" spans="1:11" x14ac:dyDescent="0.3">
      <c r="A448" s="127"/>
      <c r="B448" s="109"/>
      <c r="C448" s="161"/>
      <c r="D448" s="161"/>
      <c r="E448" s="161"/>
      <c r="F448" s="118"/>
      <c r="G448" s="119"/>
      <c r="H448" s="165"/>
      <c r="I448" s="119"/>
      <c r="J448" s="119"/>
      <c r="K448" s="157"/>
    </row>
    <row r="449" spans="1:11" x14ac:dyDescent="0.3">
      <c r="A449" s="127"/>
      <c r="B449" s="109"/>
      <c r="C449" s="161"/>
      <c r="D449" s="161"/>
      <c r="E449" s="161"/>
      <c r="F449" s="118"/>
      <c r="G449" s="119"/>
      <c r="H449" s="165"/>
      <c r="I449" s="119"/>
      <c r="J449" s="119"/>
      <c r="K449" s="157"/>
    </row>
    <row r="450" spans="1:11" x14ac:dyDescent="0.3">
      <c r="A450" s="127"/>
      <c r="B450" s="109"/>
      <c r="C450" s="161"/>
      <c r="D450" s="161"/>
      <c r="E450" s="161"/>
      <c r="F450" s="118"/>
      <c r="G450" s="119"/>
      <c r="H450" s="165"/>
      <c r="I450" s="119"/>
      <c r="J450" s="119"/>
      <c r="K450" s="157"/>
    </row>
    <row r="451" spans="1:11" x14ac:dyDescent="0.3">
      <c r="A451" s="127"/>
      <c r="B451" s="109"/>
      <c r="C451" s="161"/>
      <c r="D451" s="161"/>
      <c r="E451" s="161"/>
      <c r="F451" s="118"/>
      <c r="G451" s="119"/>
      <c r="H451" s="165"/>
      <c r="I451" s="119"/>
      <c r="J451" s="119"/>
      <c r="K451" s="157"/>
    </row>
    <row r="452" spans="1:11" x14ac:dyDescent="0.3">
      <c r="A452" s="127"/>
      <c r="B452" s="109"/>
      <c r="C452" s="161"/>
      <c r="D452" s="161"/>
      <c r="E452" s="161"/>
      <c r="F452" s="118"/>
      <c r="G452" s="119"/>
      <c r="H452" s="165"/>
      <c r="I452" s="119"/>
      <c r="J452" s="119"/>
      <c r="K452" s="157"/>
    </row>
    <row r="453" spans="1:11" x14ac:dyDescent="0.3">
      <c r="A453" s="127"/>
      <c r="B453" s="109"/>
      <c r="C453" s="161"/>
      <c r="D453" s="161"/>
      <c r="E453" s="161"/>
      <c r="F453" s="118"/>
      <c r="G453" s="119"/>
      <c r="H453" s="165"/>
      <c r="I453" s="119"/>
      <c r="J453" s="119"/>
      <c r="K453" s="157"/>
    </row>
    <row r="454" spans="1:11" x14ac:dyDescent="0.3">
      <c r="A454" s="127"/>
      <c r="B454" s="109"/>
      <c r="C454" s="161"/>
      <c r="D454" s="161"/>
      <c r="E454" s="161"/>
      <c r="F454" s="118"/>
      <c r="G454" s="119"/>
      <c r="H454" s="165"/>
      <c r="I454" s="119"/>
      <c r="J454" s="119"/>
      <c r="K454" s="157"/>
    </row>
    <row r="455" spans="1:11" x14ac:dyDescent="0.3">
      <c r="A455" s="127"/>
      <c r="B455" s="109"/>
      <c r="C455" s="161"/>
      <c r="D455" s="161"/>
      <c r="E455" s="161"/>
      <c r="F455" s="118"/>
      <c r="G455" s="119"/>
      <c r="H455" s="165"/>
      <c r="I455" s="119"/>
      <c r="J455" s="119"/>
      <c r="K455" s="157"/>
    </row>
    <row r="456" spans="1:11" x14ac:dyDescent="0.3">
      <c r="A456" s="127"/>
      <c r="B456" s="109"/>
      <c r="C456" s="161"/>
      <c r="D456" s="161"/>
      <c r="E456" s="161"/>
      <c r="F456" s="118"/>
      <c r="G456" s="119"/>
      <c r="H456" s="165"/>
      <c r="I456" s="119"/>
      <c r="J456" s="119"/>
      <c r="K456" s="157"/>
    </row>
    <row r="457" spans="1:11" x14ac:dyDescent="0.3">
      <c r="A457" s="127"/>
      <c r="B457" s="109"/>
      <c r="C457" s="161"/>
      <c r="D457" s="161"/>
      <c r="E457" s="161"/>
      <c r="F457" s="118"/>
      <c r="G457" s="119"/>
      <c r="H457" s="165"/>
      <c r="I457" s="119"/>
      <c r="J457" s="119"/>
      <c r="K457" s="157"/>
    </row>
    <row r="458" spans="1:11" x14ac:dyDescent="0.3">
      <c r="A458" s="127"/>
      <c r="B458" s="109"/>
      <c r="C458" s="161"/>
      <c r="D458" s="161"/>
      <c r="E458" s="161"/>
      <c r="F458" s="118"/>
      <c r="G458" s="119"/>
      <c r="H458" s="165"/>
      <c r="I458" s="119"/>
      <c r="J458" s="119"/>
      <c r="K458" s="157"/>
    </row>
    <row r="459" spans="1:11" x14ac:dyDescent="0.3">
      <c r="A459" s="127"/>
      <c r="B459" s="109"/>
      <c r="C459" s="161"/>
      <c r="D459" s="161"/>
      <c r="E459" s="161"/>
      <c r="F459" s="118"/>
      <c r="G459" s="119"/>
      <c r="H459" s="165"/>
      <c r="I459" s="119"/>
      <c r="J459" s="119"/>
      <c r="K459" s="157"/>
    </row>
    <row r="460" spans="1:11" x14ac:dyDescent="0.3">
      <c r="A460" s="127"/>
      <c r="B460" s="109"/>
      <c r="C460" s="161"/>
      <c r="D460" s="161"/>
      <c r="E460" s="161"/>
      <c r="F460" s="118"/>
      <c r="G460" s="119"/>
      <c r="H460" s="165"/>
      <c r="I460" s="119"/>
      <c r="J460" s="119"/>
      <c r="K460" s="157"/>
    </row>
    <row r="461" spans="1:11" x14ac:dyDescent="0.3">
      <c r="A461" s="127"/>
      <c r="B461" s="109"/>
      <c r="C461" s="161"/>
      <c r="D461" s="161"/>
      <c r="E461" s="161"/>
      <c r="F461" s="118"/>
      <c r="G461" s="119"/>
      <c r="H461" s="165"/>
      <c r="I461" s="119"/>
      <c r="J461" s="119"/>
      <c r="K461" s="157"/>
    </row>
    <row r="462" spans="1:11" x14ac:dyDescent="0.3">
      <c r="A462" s="127"/>
      <c r="B462" s="109"/>
      <c r="C462" s="161"/>
      <c r="D462" s="161"/>
      <c r="E462" s="161"/>
      <c r="F462" s="118"/>
      <c r="G462" s="119"/>
      <c r="H462" s="165"/>
      <c r="I462" s="119"/>
      <c r="J462" s="119"/>
      <c r="K462" s="157"/>
    </row>
    <row r="463" spans="1:11" x14ac:dyDescent="0.3">
      <c r="A463" s="127"/>
      <c r="B463" s="109"/>
      <c r="C463" s="161"/>
      <c r="D463" s="161"/>
      <c r="E463" s="161"/>
      <c r="F463" s="118"/>
      <c r="G463" s="119"/>
      <c r="H463" s="165"/>
      <c r="I463" s="119"/>
      <c r="J463" s="119"/>
      <c r="K463" s="157"/>
    </row>
    <row r="464" spans="1:11" x14ac:dyDescent="0.3">
      <c r="A464" s="127"/>
      <c r="B464" s="109"/>
      <c r="C464" s="161"/>
      <c r="D464" s="161"/>
      <c r="E464" s="161"/>
      <c r="F464" s="118"/>
      <c r="G464" s="119"/>
      <c r="H464" s="165"/>
      <c r="I464" s="119"/>
      <c r="J464" s="119"/>
      <c r="K464" s="157"/>
    </row>
    <row r="465" spans="1:11" x14ac:dyDescent="0.3">
      <c r="A465" s="127"/>
      <c r="B465" s="109"/>
      <c r="C465" s="161"/>
      <c r="D465" s="161"/>
      <c r="E465" s="161"/>
      <c r="F465" s="118"/>
      <c r="G465" s="119"/>
      <c r="H465" s="165"/>
      <c r="I465" s="119"/>
      <c r="J465" s="119"/>
      <c r="K465" s="157"/>
    </row>
    <row r="466" spans="1:11" x14ac:dyDescent="0.3">
      <c r="A466" s="127"/>
      <c r="B466" s="109"/>
      <c r="C466" s="161"/>
      <c r="D466" s="161"/>
      <c r="E466" s="161"/>
      <c r="F466" s="118"/>
      <c r="G466" s="119"/>
      <c r="H466" s="165"/>
      <c r="I466" s="119"/>
      <c r="J466" s="119"/>
      <c r="K466" s="157"/>
    </row>
    <row r="467" spans="1:11" x14ac:dyDescent="0.3">
      <c r="A467" s="127"/>
      <c r="B467" s="109"/>
      <c r="C467" s="161"/>
      <c r="D467" s="161"/>
      <c r="E467" s="161"/>
      <c r="F467" s="118"/>
      <c r="G467" s="119"/>
      <c r="H467" s="165"/>
      <c r="I467" s="119"/>
      <c r="J467" s="119"/>
      <c r="K467" s="157"/>
    </row>
    <row r="468" spans="1:11" x14ac:dyDescent="0.3">
      <c r="A468" s="127"/>
      <c r="B468" s="109"/>
      <c r="C468" s="161"/>
      <c r="D468" s="161"/>
      <c r="E468" s="161"/>
      <c r="F468" s="118"/>
      <c r="G468" s="119"/>
      <c r="H468" s="165"/>
      <c r="I468" s="119"/>
      <c r="J468" s="119"/>
      <c r="K468" s="157"/>
    </row>
    <row r="469" spans="1:11" x14ac:dyDescent="0.3">
      <c r="A469" s="127"/>
      <c r="B469" s="109"/>
      <c r="C469" s="161"/>
      <c r="D469" s="161"/>
      <c r="E469" s="161"/>
      <c r="F469" s="118"/>
      <c r="G469" s="119"/>
      <c r="H469" s="165"/>
      <c r="I469" s="119"/>
      <c r="J469" s="119"/>
      <c r="K469" s="157"/>
    </row>
    <row r="470" spans="1:11" x14ac:dyDescent="0.3">
      <c r="A470" s="127"/>
      <c r="B470" s="109"/>
      <c r="C470" s="161"/>
      <c r="D470" s="161"/>
      <c r="E470" s="161"/>
      <c r="F470" s="118"/>
      <c r="G470" s="119"/>
      <c r="H470" s="165"/>
      <c r="I470" s="119"/>
      <c r="J470" s="119"/>
      <c r="K470" s="157"/>
    </row>
    <row r="471" spans="1:11" x14ac:dyDescent="0.3">
      <c r="A471" s="127"/>
      <c r="B471" s="109"/>
      <c r="C471" s="161"/>
      <c r="D471" s="161"/>
      <c r="E471" s="161"/>
      <c r="F471" s="118"/>
      <c r="G471" s="119"/>
      <c r="H471" s="165"/>
      <c r="I471" s="119"/>
      <c r="J471" s="119"/>
      <c r="K471" s="157"/>
    </row>
    <row r="472" spans="1:11" x14ac:dyDescent="0.3">
      <c r="A472" s="127"/>
      <c r="B472" s="109"/>
      <c r="C472" s="161"/>
      <c r="D472" s="161"/>
      <c r="E472" s="161"/>
      <c r="F472" s="118"/>
      <c r="G472" s="119"/>
      <c r="H472" s="165"/>
      <c r="I472" s="119"/>
      <c r="J472" s="119"/>
      <c r="K472" s="157"/>
    </row>
    <row r="473" spans="1:11" x14ac:dyDescent="0.3">
      <c r="A473" s="127"/>
      <c r="B473" s="109"/>
      <c r="C473" s="161"/>
      <c r="D473" s="161"/>
      <c r="E473" s="161"/>
      <c r="F473" s="118"/>
      <c r="G473" s="119"/>
      <c r="H473" s="165"/>
      <c r="I473" s="119"/>
      <c r="J473" s="119"/>
      <c r="K473" s="157"/>
    </row>
    <row r="474" spans="1:11" x14ac:dyDescent="0.3">
      <c r="A474" s="127"/>
      <c r="B474" s="109"/>
      <c r="C474" s="161"/>
      <c r="D474" s="161"/>
      <c r="E474" s="161"/>
      <c r="F474" s="118"/>
      <c r="G474" s="119"/>
      <c r="H474" s="165"/>
      <c r="I474" s="119"/>
      <c r="J474" s="119"/>
      <c r="K474" s="157"/>
    </row>
    <row r="475" spans="1:11" x14ac:dyDescent="0.3">
      <c r="A475" s="127"/>
      <c r="B475" s="109"/>
      <c r="C475" s="161"/>
      <c r="D475" s="161"/>
      <c r="E475" s="161"/>
      <c r="F475" s="118"/>
      <c r="G475" s="119"/>
      <c r="H475" s="165"/>
      <c r="I475" s="119"/>
      <c r="J475" s="119"/>
      <c r="K475" s="157"/>
    </row>
    <row r="476" spans="1:11" x14ac:dyDescent="0.3">
      <c r="A476" s="127"/>
      <c r="B476" s="109"/>
      <c r="C476" s="161"/>
      <c r="D476" s="161"/>
      <c r="E476" s="161"/>
      <c r="F476" s="118"/>
      <c r="G476" s="119"/>
      <c r="H476" s="165"/>
      <c r="I476" s="119"/>
      <c r="J476" s="119"/>
      <c r="K476" s="157"/>
    </row>
    <row r="477" spans="1:11" x14ac:dyDescent="0.3">
      <c r="A477" s="127"/>
      <c r="B477" s="109"/>
      <c r="C477" s="161"/>
      <c r="D477" s="161"/>
      <c r="E477" s="161"/>
      <c r="F477" s="118"/>
      <c r="G477" s="119"/>
      <c r="H477" s="165"/>
      <c r="I477" s="119"/>
      <c r="J477" s="119"/>
      <c r="K477" s="157"/>
    </row>
    <row r="478" spans="1:11" x14ac:dyDescent="0.3">
      <c r="A478" s="127"/>
      <c r="B478" s="109"/>
      <c r="C478" s="161"/>
      <c r="D478" s="161"/>
      <c r="E478" s="161"/>
      <c r="F478" s="118"/>
      <c r="G478" s="119"/>
      <c r="H478" s="165"/>
      <c r="I478" s="119"/>
      <c r="J478" s="119"/>
      <c r="K478" s="157"/>
    </row>
    <row r="479" spans="1:11" x14ac:dyDescent="0.3">
      <c r="A479" s="127"/>
      <c r="B479" s="109"/>
      <c r="C479" s="161"/>
      <c r="D479" s="161"/>
      <c r="E479" s="161"/>
      <c r="F479" s="118"/>
      <c r="G479" s="119"/>
      <c r="H479" s="165"/>
      <c r="I479" s="119"/>
      <c r="J479" s="119"/>
      <c r="K479" s="157"/>
    </row>
    <row r="480" spans="1:11" x14ac:dyDescent="0.3">
      <c r="A480" s="127"/>
      <c r="B480" s="109"/>
      <c r="C480" s="161"/>
      <c r="D480" s="161"/>
      <c r="E480" s="161"/>
      <c r="F480" s="118"/>
      <c r="G480" s="119"/>
      <c r="H480" s="165"/>
      <c r="I480" s="119"/>
      <c r="J480" s="119"/>
      <c r="K480" s="157"/>
    </row>
    <row r="481" spans="1:11" x14ac:dyDescent="0.3">
      <c r="A481" s="127"/>
      <c r="B481" s="109"/>
      <c r="C481" s="161"/>
      <c r="D481" s="161"/>
      <c r="E481" s="161"/>
      <c r="F481" s="118"/>
      <c r="G481" s="119"/>
      <c r="H481" s="165"/>
      <c r="I481" s="119"/>
      <c r="J481" s="119"/>
      <c r="K481" s="157"/>
    </row>
    <row r="482" spans="1:11" x14ac:dyDescent="0.3">
      <c r="A482" s="127"/>
      <c r="B482" s="109"/>
      <c r="C482" s="161"/>
      <c r="D482" s="161"/>
      <c r="E482" s="161"/>
      <c r="F482" s="118"/>
      <c r="G482" s="119"/>
      <c r="H482" s="165"/>
      <c r="I482" s="119"/>
      <c r="J482" s="119"/>
      <c r="K482" s="157"/>
    </row>
    <row r="483" spans="1:11" x14ac:dyDescent="0.3">
      <c r="A483" s="127"/>
      <c r="B483" s="109"/>
      <c r="C483" s="161"/>
      <c r="D483" s="161"/>
      <c r="E483" s="161"/>
      <c r="F483" s="118"/>
      <c r="G483" s="119"/>
      <c r="H483" s="165"/>
      <c r="I483" s="119"/>
      <c r="J483" s="119"/>
      <c r="K483" s="157"/>
    </row>
    <row r="484" spans="1:11" x14ac:dyDescent="0.3">
      <c r="A484" s="127"/>
      <c r="B484" s="109"/>
      <c r="C484" s="161"/>
      <c r="D484" s="161"/>
      <c r="E484" s="161"/>
      <c r="F484" s="118"/>
      <c r="G484" s="119"/>
      <c r="H484" s="165"/>
      <c r="I484" s="119"/>
      <c r="J484" s="119"/>
      <c r="K484" s="157"/>
    </row>
    <row r="485" spans="1:11" x14ac:dyDescent="0.3">
      <c r="A485" s="127"/>
      <c r="B485" s="109"/>
      <c r="C485" s="161"/>
      <c r="D485" s="161"/>
      <c r="E485" s="161"/>
      <c r="F485" s="118"/>
      <c r="G485" s="119"/>
      <c r="H485" s="165"/>
      <c r="I485" s="119"/>
      <c r="J485" s="119"/>
      <c r="K485" s="157"/>
    </row>
    <row r="486" spans="1:11" x14ac:dyDescent="0.3">
      <c r="A486" s="127"/>
      <c r="B486" s="109"/>
      <c r="C486" s="161"/>
      <c r="D486" s="161"/>
      <c r="E486" s="161"/>
      <c r="F486" s="118"/>
      <c r="G486" s="119"/>
      <c r="H486" s="165"/>
      <c r="I486" s="119"/>
      <c r="J486" s="119"/>
      <c r="K486" s="157"/>
    </row>
    <row r="487" spans="1:11" x14ac:dyDescent="0.3">
      <c r="A487" s="127"/>
      <c r="B487" s="109"/>
      <c r="C487" s="161"/>
      <c r="D487" s="161"/>
      <c r="E487" s="161"/>
      <c r="F487" s="118"/>
      <c r="G487" s="119"/>
      <c r="H487" s="165"/>
      <c r="I487" s="119"/>
      <c r="J487" s="119"/>
      <c r="K487" s="157"/>
    </row>
    <row r="488" spans="1:11" x14ac:dyDescent="0.3">
      <c r="A488" s="127"/>
      <c r="B488" s="109"/>
      <c r="C488" s="161"/>
      <c r="D488" s="161"/>
      <c r="E488" s="161"/>
      <c r="F488" s="118"/>
      <c r="G488" s="119"/>
      <c r="H488" s="165"/>
      <c r="I488" s="119"/>
      <c r="J488" s="119"/>
      <c r="K488" s="157"/>
    </row>
    <row r="489" spans="1:11" x14ac:dyDescent="0.3">
      <c r="A489" s="127"/>
      <c r="B489" s="109"/>
      <c r="C489" s="161"/>
      <c r="D489" s="161"/>
      <c r="E489" s="161"/>
      <c r="F489" s="118"/>
      <c r="G489" s="119"/>
      <c r="H489" s="165"/>
      <c r="I489" s="119"/>
      <c r="J489" s="119"/>
      <c r="K489" s="157"/>
    </row>
    <row r="490" spans="1:11" x14ac:dyDescent="0.3">
      <c r="A490" s="127"/>
      <c r="B490" s="109"/>
      <c r="C490" s="161"/>
      <c r="D490" s="161"/>
      <c r="E490" s="161"/>
      <c r="F490" s="118"/>
      <c r="G490" s="119"/>
      <c r="H490" s="165"/>
      <c r="I490" s="119"/>
      <c r="J490" s="119"/>
      <c r="K490" s="157"/>
    </row>
    <row r="491" spans="1:11" x14ac:dyDescent="0.3">
      <c r="A491" s="127"/>
      <c r="B491" s="109"/>
      <c r="C491" s="161"/>
      <c r="D491" s="161"/>
      <c r="E491" s="161"/>
      <c r="F491" s="118"/>
      <c r="G491" s="119"/>
      <c r="H491" s="165"/>
      <c r="I491" s="119"/>
      <c r="J491" s="119"/>
      <c r="K491" s="157"/>
    </row>
    <row r="492" spans="1:11" x14ac:dyDescent="0.3">
      <c r="A492" s="127"/>
      <c r="B492" s="109"/>
      <c r="C492" s="161"/>
      <c r="D492" s="161"/>
      <c r="E492" s="161"/>
      <c r="F492" s="118"/>
      <c r="G492" s="119"/>
      <c r="H492" s="165"/>
      <c r="I492" s="119"/>
      <c r="J492" s="119"/>
      <c r="K492" s="157"/>
    </row>
    <row r="493" spans="1:11" x14ac:dyDescent="0.3">
      <c r="A493" s="127"/>
      <c r="B493" s="109"/>
      <c r="C493" s="161"/>
      <c r="D493" s="161"/>
      <c r="E493" s="161"/>
      <c r="F493" s="118"/>
      <c r="G493" s="119"/>
      <c r="H493" s="165"/>
      <c r="I493" s="119"/>
      <c r="J493" s="119"/>
      <c r="K493" s="157"/>
    </row>
    <row r="494" spans="1:11" x14ac:dyDescent="0.3">
      <c r="A494" s="127"/>
      <c r="B494" s="109"/>
      <c r="C494" s="161"/>
      <c r="D494" s="161"/>
      <c r="E494" s="161"/>
      <c r="F494" s="118"/>
      <c r="G494" s="119"/>
      <c r="H494" s="165"/>
      <c r="I494" s="119"/>
      <c r="J494" s="119"/>
      <c r="K494" s="157"/>
    </row>
    <row r="495" spans="1:11" x14ac:dyDescent="0.3">
      <c r="A495" s="127"/>
      <c r="B495" s="109"/>
      <c r="C495" s="161"/>
      <c r="D495" s="161"/>
      <c r="E495" s="161"/>
      <c r="F495" s="118"/>
      <c r="G495" s="119"/>
      <c r="H495" s="165"/>
      <c r="I495" s="119"/>
      <c r="J495" s="119"/>
      <c r="K495" s="157"/>
    </row>
    <row r="496" spans="1:11" x14ac:dyDescent="0.3">
      <c r="A496" s="127"/>
      <c r="B496" s="109"/>
      <c r="C496" s="161"/>
      <c r="D496" s="161"/>
      <c r="E496" s="161"/>
      <c r="F496" s="118"/>
      <c r="G496" s="119"/>
      <c r="H496" s="165"/>
      <c r="I496" s="119"/>
      <c r="J496" s="119"/>
      <c r="K496" s="157"/>
    </row>
    <row r="497" spans="1:11" x14ac:dyDescent="0.3">
      <c r="A497" s="127"/>
      <c r="B497" s="109"/>
      <c r="C497" s="161"/>
      <c r="D497" s="161"/>
      <c r="E497" s="161"/>
      <c r="F497" s="118"/>
      <c r="G497" s="119"/>
      <c r="H497" s="165"/>
      <c r="I497" s="119"/>
      <c r="J497" s="119"/>
      <c r="K497" s="157"/>
    </row>
    <row r="498" spans="1:11" x14ac:dyDescent="0.3">
      <c r="A498" s="127"/>
      <c r="B498" s="109"/>
      <c r="C498" s="161"/>
      <c r="D498" s="161"/>
      <c r="E498" s="161"/>
      <c r="F498" s="118"/>
      <c r="G498" s="119"/>
      <c r="H498" s="165"/>
      <c r="I498" s="119"/>
      <c r="J498" s="119"/>
      <c r="K498" s="157"/>
    </row>
    <row r="499" spans="1:11" x14ac:dyDescent="0.3">
      <c r="A499" s="127"/>
      <c r="B499" s="109"/>
      <c r="C499" s="161"/>
      <c r="D499" s="161"/>
      <c r="E499" s="161"/>
      <c r="F499" s="118"/>
      <c r="G499" s="119"/>
      <c r="H499" s="165"/>
      <c r="I499" s="119"/>
      <c r="J499" s="119"/>
      <c r="K499" s="157"/>
    </row>
    <row r="500" spans="1:11" x14ac:dyDescent="0.3">
      <c r="A500" s="127"/>
      <c r="B500" s="109"/>
      <c r="C500" s="161"/>
      <c r="D500" s="161"/>
      <c r="E500" s="161"/>
      <c r="F500" s="118"/>
      <c r="G500" s="119"/>
      <c r="H500" s="165"/>
      <c r="I500" s="119"/>
      <c r="J500" s="119"/>
      <c r="K500" s="157"/>
    </row>
    <row r="501" spans="1:11" x14ac:dyDescent="0.3">
      <c r="A501" s="127"/>
      <c r="B501" s="109"/>
      <c r="C501" s="161"/>
      <c r="D501" s="161"/>
      <c r="E501" s="161"/>
      <c r="F501" s="118"/>
      <c r="G501" s="119"/>
      <c r="H501" s="165"/>
      <c r="I501" s="119"/>
      <c r="J501" s="119"/>
      <c r="K501" s="157"/>
    </row>
    <row r="502" spans="1:11" x14ac:dyDescent="0.3">
      <c r="A502" s="127"/>
      <c r="B502" s="109"/>
      <c r="C502" s="161"/>
      <c r="D502" s="161"/>
      <c r="E502" s="161"/>
      <c r="F502" s="118"/>
      <c r="G502" s="119"/>
      <c r="H502" s="165"/>
      <c r="I502" s="119"/>
      <c r="J502" s="119"/>
      <c r="K502" s="157"/>
    </row>
    <row r="503" spans="1:11" x14ac:dyDescent="0.3">
      <c r="A503" s="127"/>
      <c r="B503" s="109"/>
      <c r="C503" s="161"/>
      <c r="D503" s="161"/>
      <c r="E503" s="161"/>
      <c r="F503" s="118"/>
      <c r="G503" s="119"/>
      <c r="H503" s="165"/>
      <c r="I503" s="119"/>
      <c r="J503" s="119"/>
      <c r="K503" s="157"/>
    </row>
    <row r="504" spans="1:11" x14ac:dyDescent="0.3">
      <c r="A504" s="127"/>
      <c r="B504" s="109"/>
      <c r="C504" s="161"/>
      <c r="D504" s="161"/>
      <c r="E504" s="161"/>
      <c r="F504" s="118"/>
      <c r="G504" s="119"/>
      <c r="H504" s="165"/>
      <c r="I504" s="119"/>
      <c r="J504" s="119"/>
      <c r="K504" s="157"/>
    </row>
    <row r="505" spans="1:11" x14ac:dyDescent="0.3">
      <c r="A505" s="127"/>
      <c r="B505" s="109"/>
      <c r="C505" s="161"/>
      <c r="D505" s="161"/>
      <c r="E505" s="161"/>
      <c r="F505" s="118"/>
      <c r="G505" s="119"/>
      <c r="H505" s="165"/>
      <c r="I505" s="119"/>
      <c r="J505" s="119"/>
      <c r="K505" s="157"/>
    </row>
    <row r="506" spans="1:11" x14ac:dyDescent="0.3">
      <c r="A506" s="127"/>
      <c r="B506" s="109"/>
      <c r="C506" s="161"/>
      <c r="D506" s="161"/>
      <c r="E506" s="161"/>
      <c r="F506" s="118"/>
      <c r="G506" s="119"/>
      <c r="H506" s="165"/>
      <c r="I506" s="119"/>
      <c r="J506" s="119"/>
      <c r="K506" s="157"/>
    </row>
    <row r="507" spans="1:11" x14ac:dyDescent="0.3">
      <c r="A507" s="127"/>
      <c r="B507" s="109"/>
      <c r="C507" s="161"/>
      <c r="D507" s="161"/>
      <c r="E507" s="161"/>
      <c r="F507" s="118"/>
      <c r="G507" s="119"/>
      <c r="H507" s="165"/>
      <c r="I507" s="119"/>
      <c r="J507" s="119"/>
      <c r="K507" s="157"/>
    </row>
    <row r="508" spans="1:11" x14ac:dyDescent="0.3">
      <c r="A508" s="127"/>
      <c r="B508" s="109"/>
      <c r="C508" s="161"/>
      <c r="D508" s="161"/>
      <c r="E508" s="161"/>
      <c r="F508" s="118"/>
      <c r="G508" s="119"/>
      <c r="H508" s="165"/>
      <c r="I508" s="119"/>
      <c r="J508" s="119"/>
      <c r="K508" s="157"/>
    </row>
    <row r="509" spans="1:11" x14ac:dyDescent="0.3">
      <c r="A509" s="127"/>
      <c r="B509" s="109"/>
      <c r="C509" s="161"/>
      <c r="D509" s="161"/>
      <c r="E509" s="161"/>
      <c r="F509" s="118"/>
      <c r="G509" s="119"/>
      <c r="H509" s="165"/>
      <c r="I509" s="119"/>
      <c r="J509" s="119"/>
      <c r="K509" s="157"/>
    </row>
    <row r="510" spans="1:11" x14ac:dyDescent="0.3">
      <c r="A510" s="127"/>
      <c r="B510" s="109"/>
      <c r="C510" s="161"/>
      <c r="D510" s="161"/>
      <c r="E510" s="161"/>
      <c r="F510" s="118"/>
      <c r="G510" s="119"/>
      <c r="H510" s="165"/>
      <c r="I510" s="119"/>
      <c r="J510" s="119"/>
      <c r="K510" s="157"/>
    </row>
    <row r="511" spans="1:11" x14ac:dyDescent="0.3">
      <c r="A511" s="127"/>
      <c r="B511" s="109"/>
      <c r="C511" s="161"/>
      <c r="D511" s="161"/>
      <c r="E511" s="161"/>
      <c r="F511" s="118"/>
      <c r="G511" s="119"/>
      <c r="H511" s="165"/>
      <c r="I511" s="119"/>
      <c r="J511" s="119"/>
      <c r="K511" s="157"/>
    </row>
    <row r="512" spans="1:11" x14ac:dyDescent="0.3">
      <c r="A512" s="127"/>
      <c r="B512" s="109"/>
      <c r="C512" s="161"/>
      <c r="D512" s="161"/>
      <c r="E512" s="161"/>
      <c r="F512" s="118"/>
      <c r="G512" s="119"/>
      <c r="H512" s="165"/>
      <c r="I512" s="119"/>
      <c r="J512" s="119"/>
      <c r="K512" s="157"/>
    </row>
    <row r="513" spans="1:11" x14ac:dyDescent="0.3">
      <c r="A513" s="127"/>
      <c r="B513" s="109"/>
      <c r="C513" s="161"/>
      <c r="D513" s="161"/>
      <c r="E513" s="161"/>
      <c r="F513" s="118"/>
      <c r="G513" s="119"/>
      <c r="H513" s="165"/>
      <c r="I513" s="119"/>
      <c r="J513" s="119"/>
      <c r="K513" s="157"/>
    </row>
    <row r="514" spans="1:11" x14ac:dyDescent="0.3">
      <c r="A514" s="127"/>
      <c r="B514" s="109"/>
      <c r="C514" s="161"/>
      <c r="D514" s="161"/>
      <c r="E514" s="161"/>
      <c r="F514" s="118"/>
      <c r="G514" s="119"/>
      <c r="H514" s="165"/>
      <c r="I514" s="119"/>
      <c r="J514" s="119"/>
      <c r="K514" s="157"/>
    </row>
    <row r="515" spans="1:11" x14ac:dyDescent="0.3">
      <c r="A515" s="127"/>
      <c r="B515" s="109"/>
      <c r="C515" s="161"/>
      <c r="D515" s="161"/>
      <c r="E515" s="161"/>
      <c r="F515" s="118"/>
      <c r="G515" s="119"/>
      <c r="H515" s="165"/>
      <c r="I515" s="119"/>
      <c r="J515" s="119"/>
      <c r="K515" s="157"/>
    </row>
    <row r="516" spans="1:11" x14ac:dyDescent="0.3">
      <c r="A516" s="127"/>
      <c r="B516" s="109"/>
      <c r="C516" s="161"/>
      <c r="D516" s="161"/>
      <c r="E516" s="161"/>
      <c r="F516" s="118"/>
      <c r="G516" s="119"/>
      <c r="H516" s="165"/>
      <c r="I516" s="119"/>
      <c r="J516" s="119"/>
      <c r="K516" s="157"/>
    </row>
    <row r="517" spans="1:11" x14ac:dyDescent="0.3">
      <c r="A517" s="127"/>
      <c r="B517" s="109"/>
      <c r="C517" s="161"/>
      <c r="D517" s="161"/>
      <c r="E517" s="161"/>
      <c r="F517" s="118"/>
      <c r="G517" s="119"/>
      <c r="H517" s="165"/>
      <c r="I517" s="119"/>
      <c r="J517" s="119"/>
      <c r="K517" s="157"/>
    </row>
    <row r="518" spans="1:11" x14ac:dyDescent="0.3">
      <c r="A518" s="127"/>
      <c r="B518" s="109"/>
      <c r="C518" s="161"/>
      <c r="D518" s="161"/>
      <c r="E518" s="161"/>
      <c r="F518" s="118"/>
      <c r="G518" s="119"/>
      <c r="H518" s="165"/>
      <c r="I518" s="119"/>
      <c r="J518" s="119"/>
      <c r="K518" s="157"/>
    </row>
    <row r="519" spans="1:11" x14ac:dyDescent="0.3">
      <c r="A519" s="127"/>
      <c r="B519" s="109"/>
      <c r="C519" s="161"/>
      <c r="D519" s="161"/>
      <c r="E519" s="161"/>
      <c r="F519" s="118"/>
      <c r="G519" s="119"/>
      <c r="H519" s="165"/>
      <c r="I519" s="119"/>
      <c r="J519" s="119"/>
      <c r="K519" s="157"/>
    </row>
    <row r="520" spans="1:11" x14ac:dyDescent="0.3">
      <c r="A520" s="127"/>
      <c r="B520" s="109"/>
      <c r="C520" s="161"/>
      <c r="D520" s="161"/>
      <c r="E520" s="161"/>
      <c r="F520" s="118"/>
      <c r="G520" s="119"/>
      <c r="H520" s="165"/>
      <c r="I520" s="119"/>
      <c r="J520" s="119"/>
      <c r="K520" s="157"/>
    </row>
    <row r="521" spans="1:11" x14ac:dyDescent="0.3">
      <c r="A521" s="127"/>
      <c r="B521" s="109"/>
      <c r="C521" s="161"/>
      <c r="D521" s="161"/>
      <c r="E521" s="161"/>
      <c r="F521" s="118"/>
      <c r="G521" s="119"/>
      <c r="H521" s="165"/>
      <c r="I521" s="119"/>
      <c r="J521" s="119"/>
      <c r="K521" s="157"/>
    </row>
    <row r="522" spans="1:11" x14ac:dyDescent="0.3">
      <c r="A522" s="127"/>
      <c r="B522" s="109"/>
      <c r="C522" s="161"/>
      <c r="D522" s="161"/>
      <c r="E522" s="161"/>
      <c r="F522" s="118"/>
      <c r="G522" s="119"/>
      <c r="H522" s="165"/>
      <c r="I522" s="119"/>
      <c r="J522" s="119"/>
      <c r="K522" s="157"/>
    </row>
    <row r="523" spans="1:11" x14ac:dyDescent="0.3">
      <c r="A523" s="127"/>
      <c r="B523" s="109"/>
      <c r="C523" s="161"/>
      <c r="D523" s="161"/>
      <c r="E523" s="161"/>
      <c r="F523" s="118"/>
      <c r="G523" s="119"/>
      <c r="H523" s="165"/>
      <c r="I523" s="119"/>
      <c r="J523" s="119"/>
      <c r="K523" s="157"/>
    </row>
    <row r="524" spans="1:11" x14ac:dyDescent="0.3">
      <c r="A524" s="127"/>
      <c r="B524" s="109"/>
      <c r="C524" s="161"/>
      <c r="D524" s="161"/>
      <c r="E524" s="161"/>
      <c r="F524" s="118"/>
      <c r="G524" s="119"/>
      <c r="H524" s="165"/>
      <c r="I524" s="119"/>
      <c r="J524" s="119"/>
      <c r="K524" s="157"/>
    </row>
    <row r="525" spans="1:11" x14ac:dyDescent="0.3">
      <c r="A525" s="127"/>
      <c r="B525" s="109"/>
      <c r="C525" s="161"/>
      <c r="D525" s="161"/>
      <c r="E525" s="161"/>
      <c r="F525" s="118"/>
      <c r="G525" s="119"/>
      <c r="H525" s="165"/>
      <c r="I525" s="119"/>
      <c r="J525" s="119"/>
      <c r="K525" s="157"/>
    </row>
    <row r="526" spans="1:11" x14ac:dyDescent="0.3">
      <c r="A526" s="127"/>
      <c r="B526" s="109"/>
      <c r="C526" s="161"/>
      <c r="D526" s="161"/>
      <c r="E526" s="161"/>
      <c r="F526" s="118"/>
      <c r="G526" s="119"/>
      <c r="H526" s="165"/>
      <c r="I526" s="119"/>
      <c r="J526" s="119"/>
      <c r="K526" s="157"/>
    </row>
    <row r="527" spans="1:11" x14ac:dyDescent="0.3">
      <c r="A527" s="127"/>
      <c r="B527" s="109"/>
      <c r="C527" s="161"/>
      <c r="D527" s="161"/>
      <c r="E527" s="161"/>
      <c r="F527" s="118"/>
      <c r="G527" s="119"/>
      <c r="H527" s="165"/>
      <c r="I527" s="119"/>
      <c r="J527" s="119"/>
      <c r="K527" s="157"/>
    </row>
    <row r="528" spans="1:11" x14ac:dyDescent="0.3">
      <c r="A528" s="127"/>
      <c r="B528" s="109"/>
      <c r="C528" s="161"/>
      <c r="D528" s="161"/>
      <c r="E528" s="161"/>
      <c r="F528" s="118"/>
      <c r="G528" s="119"/>
      <c r="H528" s="165"/>
      <c r="I528" s="119"/>
      <c r="J528" s="119"/>
      <c r="K528" s="157"/>
    </row>
    <row r="529" spans="1:11" x14ac:dyDescent="0.3">
      <c r="A529" s="127"/>
      <c r="B529" s="109"/>
      <c r="C529" s="161"/>
      <c r="D529" s="161"/>
      <c r="E529" s="161"/>
      <c r="F529" s="118"/>
      <c r="G529" s="119"/>
      <c r="H529" s="165"/>
      <c r="I529" s="119"/>
      <c r="J529" s="119"/>
      <c r="K529" s="157"/>
    </row>
    <row r="530" spans="1:11" x14ac:dyDescent="0.3">
      <c r="A530" s="127"/>
      <c r="B530" s="109"/>
      <c r="C530" s="161"/>
      <c r="D530" s="161"/>
      <c r="E530" s="161"/>
      <c r="F530" s="118"/>
      <c r="G530" s="119"/>
      <c r="H530" s="165"/>
      <c r="I530" s="119"/>
      <c r="J530" s="119"/>
      <c r="K530" s="157"/>
    </row>
    <row r="531" spans="1:11" x14ac:dyDescent="0.3">
      <c r="A531" s="127"/>
      <c r="B531" s="109"/>
      <c r="C531" s="161"/>
      <c r="D531" s="161"/>
      <c r="E531" s="161"/>
      <c r="F531" s="118"/>
      <c r="G531" s="119"/>
      <c r="H531" s="165"/>
      <c r="I531" s="119"/>
      <c r="J531" s="119"/>
      <c r="K531" s="157"/>
    </row>
    <row r="532" spans="1:11" x14ac:dyDescent="0.3">
      <c r="A532" s="127"/>
      <c r="B532" s="109"/>
      <c r="C532" s="161"/>
      <c r="D532" s="161"/>
      <c r="E532" s="161"/>
      <c r="F532" s="118"/>
      <c r="G532" s="119"/>
      <c r="H532" s="165"/>
      <c r="I532" s="119"/>
      <c r="J532" s="119"/>
      <c r="K532" s="157"/>
    </row>
    <row r="533" spans="1:11" x14ac:dyDescent="0.3">
      <c r="A533" s="127"/>
      <c r="B533" s="109"/>
      <c r="C533" s="161"/>
      <c r="D533" s="161"/>
      <c r="E533" s="161"/>
      <c r="F533" s="118"/>
      <c r="G533" s="119"/>
      <c r="H533" s="165"/>
      <c r="I533" s="119"/>
      <c r="J533" s="119"/>
      <c r="K533" s="157"/>
    </row>
    <row r="534" spans="1:11" x14ac:dyDescent="0.3">
      <c r="A534" s="127"/>
      <c r="B534" s="109"/>
      <c r="C534" s="161"/>
      <c r="D534" s="161"/>
      <c r="E534" s="161"/>
      <c r="F534" s="118"/>
      <c r="G534" s="119"/>
      <c r="H534" s="165"/>
      <c r="I534" s="119"/>
      <c r="J534" s="119"/>
      <c r="K534" s="157"/>
    </row>
    <row r="535" spans="1:11" x14ac:dyDescent="0.3">
      <c r="A535" s="127"/>
      <c r="B535" s="109"/>
      <c r="C535" s="161"/>
      <c r="D535" s="161"/>
      <c r="E535" s="161"/>
      <c r="F535" s="118"/>
      <c r="G535" s="119"/>
      <c r="H535" s="165"/>
      <c r="I535" s="119"/>
      <c r="J535" s="119"/>
      <c r="K535" s="157"/>
    </row>
    <row r="536" spans="1:11" x14ac:dyDescent="0.3">
      <c r="A536" s="127"/>
      <c r="B536" s="109"/>
      <c r="C536" s="161"/>
      <c r="D536" s="161"/>
      <c r="E536" s="161"/>
      <c r="F536" s="118"/>
      <c r="G536" s="119"/>
      <c r="H536" s="165"/>
      <c r="I536" s="119"/>
      <c r="J536" s="119"/>
      <c r="K536" s="157"/>
    </row>
    <row r="537" spans="1:11" x14ac:dyDescent="0.3">
      <c r="A537" s="127"/>
      <c r="B537" s="109"/>
      <c r="C537" s="161"/>
      <c r="D537" s="161"/>
      <c r="E537" s="161"/>
      <c r="F537" s="118"/>
      <c r="G537" s="119"/>
      <c r="H537" s="165"/>
      <c r="I537" s="119"/>
      <c r="J537" s="119"/>
      <c r="K537" s="157"/>
    </row>
    <row r="538" spans="1:11" x14ac:dyDescent="0.3">
      <c r="A538" s="127"/>
      <c r="B538" s="109"/>
      <c r="C538" s="161"/>
      <c r="D538" s="161"/>
      <c r="E538" s="161"/>
      <c r="F538" s="118"/>
      <c r="G538" s="119"/>
      <c r="H538" s="165"/>
      <c r="I538" s="119"/>
      <c r="J538" s="119"/>
      <c r="K538" s="157"/>
    </row>
    <row r="539" spans="1:11" x14ac:dyDescent="0.3">
      <c r="A539" s="127"/>
      <c r="B539" s="109"/>
      <c r="C539" s="161"/>
      <c r="D539" s="161"/>
      <c r="E539" s="161"/>
      <c r="F539" s="118"/>
      <c r="G539" s="119"/>
      <c r="H539" s="165"/>
      <c r="I539" s="119"/>
      <c r="J539" s="119"/>
      <c r="K539" s="157"/>
    </row>
    <row r="540" spans="1:11" x14ac:dyDescent="0.3">
      <c r="A540" s="127"/>
      <c r="B540" s="109"/>
      <c r="C540" s="161"/>
      <c r="D540" s="161"/>
      <c r="E540" s="161"/>
      <c r="F540" s="118"/>
      <c r="G540" s="119"/>
      <c r="H540" s="165"/>
      <c r="I540" s="119"/>
      <c r="J540" s="119"/>
      <c r="K540" s="157"/>
    </row>
    <row r="541" spans="1:11" x14ac:dyDescent="0.3">
      <c r="A541" s="127"/>
      <c r="B541" s="109"/>
      <c r="C541" s="161"/>
      <c r="D541" s="161"/>
      <c r="E541" s="161"/>
      <c r="F541" s="118"/>
      <c r="G541" s="119"/>
      <c r="H541" s="165"/>
      <c r="I541" s="119"/>
      <c r="J541" s="119"/>
      <c r="K541" s="157"/>
    </row>
    <row r="542" spans="1:11" x14ac:dyDescent="0.3">
      <c r="A542" s="127"/>
      <c r="B542" s="109"/>
      <c r="C542" s="161"/>
      <c r="D542" s="161"/>
      <c r="E542" s="161"/>
      <c r="F542" s="118"/>
      <c r="G542" s="119"/>
      <c r="H542" s="165"/>
      <c r="I542" s="119"/>
      <c r="J542" s="119"/>
      <c r="K542" s="157"/>
    </row>
    <row r="543" spans="1:11" x14ac:dyDescent="0.3">
      <c r="A543" s="127"/>
      <c r="B543" s="109"/>
      <c r="C543" s="161"/>
      <c r="D543" s="161"/>
      <c r="E543" s="161"/>
      <c r="F543" s="118"/>
      <c r="G543" s="119"/>
      <c r="H543" s="165"/>
      <c r="I543" s="119"/>
      <c r="J543" s="119"/>
      <c r="K543" s="157"/>
    </row>
    <row r="544" spans="1:11" x14ac:dyDescent="0.3">
      <c r="A544" s="127"/>
      <c r="B544" s="109"/>
      <c r="C544" s="161"/>
      <c r="D544" s="161"/>
      <c r="E544" s="161"/>
      <c r="F544" s="118"/>
      <c r="G544" s="119"/>
      <c r="H544" s="165"/>
      <c r="I544" s="119"/>
      <c r="J544" s="119"/>
      <c r="K544" s="157"/>
    </row>
    <row r="545" spans="1:11" x14ac:dyDescent="0.3">
      <c r="A545" s="127"/>
      <c r="B545" s="109"/>
      <c r="C545" s="161"/>
      <c r="D545" s="161"/>
      <c r="E545" s="161"/>
      <c r="F545" s="118"/>
      <c r="G545" s="119"/>
      <c r="H545" s="165"/>
      <c r="I545" s="119"/>
      <c r="J545" s="119"/>
      <c r="K545" s="157"/>
    </row>
    <row r="546" spans="1:11" x14ac:dyDescent="0.3">
      <c r="A546" s="127"/>
      <c r="B546" s="109"/>
      <c r="C546" s="161"/>
      <c r="D546" s="161"/>
      <c r="E546" s="161"/>
      <c r="F546" s="118"/>
      <c r="G546" s="119"/>
      <c r="H546" s="165"/>
      <c r="I546" s="119"/>
      <c r="J546" s="119"/>
      <c r="K546" s="157"/>
    </row>
    <row r="547" spans="1:11" x14ac:dyDescent="0.3">
      <c r="A547" s="127"/>
      <c r="B547" s="109"/>
      <c r="C547" s="161"/>
      <c r="D547" s="161"/>
      <c r="E547" s="161"/>
      <c r="F547" s="118"/>
      <c r="G547" s="119"/>
      <c r="H547" s="165"/>
      <c r="I547" s="119"/>
      <c r="J547" s="119"/>
      <c r="K547" s="157"/>
    </row>
    <row r="548" spans="1:11" x14ac:dyDescent="0.3">
      <c r="A548" s="127"/>
      <c r="B548" s="109"/>
      <c r="C548" s="161"/>
      <c r="D548" s="161"/>
      <c r="E548" s="161"/>
      <c r="F548" s="118"/>
      <c r="G548" s="119"/>
      <c r="H548" s="165"/>
      <c r="I548" s="119"/>
      <c r="J548" s="119"/>
      <c r="K548" s="157"/>
    </row>
    <row r="549" spans="1:11" x14ac:dyDescent="0.3">
      <c r="A549" s="127"/>
      <c r="B549" s="109"/>
      <c r="C549" s="161"/>
      <c r="D549" s="161"/>
      <c r="E549" s="161"/>
      <c r="F549" s="118"/>
      <c r="G549" s="119"/>
      <c r="H549" s="165"/>
      <c r="I549" s="119"/>
      <c r="J549" s="119"/>
      <c r="K549" s="157"/>
    </row>
    <row r="550" spans="1:11" x14ac:dyDescent="0.3">
      <c r="A550" s="127"/>
      <c r="B550" s="109"/>
      <c r="C550" s="161"/>
      <c r="D550" s="161"/>
      <c r="E550" s="161"/>
      <c r="F550" s="118"/>
      <c r="G550" s="119"/>
      <c r="H550" s="165"/>
      <c r="I550" s="119"/>
      <c r="J550" s="119"/>
      <c r="K550" s="157"/>
    </row>
    <row r="551" spans="1:11" x14ac:dyDescent="0.3">
      <c r="A551" s="127"/>
      <c r="B551" s="109"/>
      <c r="C551" s="161"/>
      <c r="D551" s="161"/>
      <c r="E551" s="161"/>
      <c r="F551" s="118"/>
      <c r="G551" s="119"/>
      <c r="H551" s="165"/>
      <c r="I551" s="119"/>
      <c r="J551" s="119"/>
      <c r="K551" s="157"/>
    </row>
    <row r="552" spans="1:11" x14ac:dyDescent="0.3">
      <c r="A552" s="127"/>
      <c r="B552" s="109"/>
      <c r="C552" s="161"/>
      <c r="D552" s="161"/>
      <c r="E552" s="161"/>
      <c r="F552" s="118"/>
      <c r="G552" s="119"/>
      <c r="H552" s="165"/>
      <c r="I552" s="119"/>
      <c r="J552" s="119"/>
      <c r="K552" s="157"/>
    </row>
    <row r="553" spans="1:11" x14ac:dyDescent="0.3">
      <c r="A553" s="127"/>
      <c r="B553" s="109"/>
      <c r="C553" s="161"/>
      <c r="D553" s="161"/>
      <c r="E553" s="161"/>
      <c r="F553" s="118"/>
      <c r="G553" s="119"/>
      <c r="H553" s="165"/>
      <c r="I553" s="119"/>
      <c r="J553" s="119"/>
      <c r="K553" s="157"/>
    </row>
    <row r="554" spans="1:11" x14ac:dyDescent="0.3">
      <c r="A554" s="127"/>
      <c r="B554" s="109"/>
      <c r="C554" s="161"/>
      <c r="D554" s="161"/>
      <c r="E554" s="161"/>
      <c r="F554" s="118"/>
      <c r="G554" s="119"/>
      <c r="H554" s="165"/>
      <c r="I554" s="119"/>
      <c r="J554" s="119"/>
      <c r="K554" s="157"/>
    </row>
    <row r="555" spans="1:11" x14ac:dyDescent="0.3">
      <c r="A555" s="127"/>
      <c r="B555" s="109"/>
      <c r="C555" s="161"/>
      <c r="D555" s="161"/>
      <c r="E555" s="161"/>
      <c r="F555" s="118"/>
      <c r="G555" s="119"/>
      <c r="H555" s="165"/>
      <c r="I555" s="119"/>
      <c r="J555" s="119"/>
      <c r="K555" s="157"/>
    </row>
    <row r="556" spans="1:11" x14ac:dyDescent="0.3">
      <c r="A556" s="127"/>
      <c r="B556" s="109"/>
      <c r="C556" s="161"/>
      <c r="D556" s="161"/>
      <c r="E556" s="161"/>
      <c r="F556" s="118"/>
      <c r="G556" s="119"/>
      <c r="H556" s="165"/>
      <c r="I556" s="119"/>
      <c r="J556" s="119"/>
      <c r="K556" s="157"/>
    </row>
    <row r="557" spans="1:11" x14ac:dyDescent="0.3">
      <c r="A557" s="127"/>
      <c r="B557" s="109"/>
      <c r="C557" s="161"/>
      <c r="D557" s="161"/>
      <c r="E557" s="161"/>
      <c r="F557" s="118"/>
      <c r="G557" s="119"/>
      <c r="H557" s="165"/>
      <c r="I557" s="119"/>
      <c r="J557" s="119"/>
      <c r="K557" s="157"/>
    </row>
    <row r="558" spans="1:11" x14ac:dyDescent="0.3">
      <c r="A558" s="127"/>
      <c r="B558" s="109"/>
      <c r="C558" s="161"/>
      <c r="D558" s="161"/>
      <c r="E558" s="161"/>
      <c r="F558" s="118"/>
      <c r="G558" s="119"/>
      <c r="H558" s="165"/>
      <c r="I558" s="119"/>
      <c r="J558" s="119"/>
      <c r="K558" s="157"/>
    </row>
    <row r="559" spans="1:11" x14ac:dyDescent="0.3">
      <c r="A559" s="127"/>
      <c r="B559" s="109"/>
      <c r="C559" s="161"/>
      <c r="D559" s="161"/>
      <c r="E559" s="161"/>
      <c r="F559" s="118"/>
      <c r="G559" s="119"/>
      <c r="H559" s="165"/>
      <c r="I559" s="119"/>
      <c r="J559" s="119"/>
      <c r="K559" s="157"/>
    </row>
    <row r="560" spans="1:11" x14ac:dyDescent="0.3">
      <c r="A560" s="127"/>
      <c r="B560" s="109"/>
      <c r="C560" s="161"/>
      <c r="D560" s="161"/>
      <c r="E560" s="161"/>
      <c r="F560" s="118"/>
      <c r="G560" s="119"/>
      <c r="H560" s="165"/>
      <c r="I560" s="119"/>
      <c r="J560" s="119"/>
      <c r="K560" s="157"/>
    </row>
    <row r="561" spans="1:11" x14ac:dyDescent="0.3">
      <c r="A561" s="127"/>
      <c r="B561" s="109"/>
      <c r="C561" s="161"/>
      <c r="D561" s="161"/>
      <c r="E561" s="161"/>
      <c r="F561" s="118"/>
      <c r="G561" s="119"/>
      <c r="H561" s="165"/>
      <c r="I561" s="119"/>
      <c r="J561" s="119"/>
      <c r="K561" s="157"/>
    </row>
    <row r="562" spans="1:11" x14ac:dyDescent="0.3">
      <c r="A562" s="127"/>
      <c r="B562" s="109"/>
      <c r="C562" s="161"/>
      <c r="D562" s="161"/>
      <c r="E562" s="161"/>
      <c r="F562" s="118"/>
      <c r="G562" s="119"/>
      <c r="H562" s="165"/>
      <c r="I562" s="119"/>
      <c r="J562" s="119"/>
      <c r="K562" s="157"/>
    </row>
    <row r="563" spans="1:11" x14ac:dyDescent="0.3">
      <c r="A563" s="127"/>
      <c r="B563" s="109"/>
      <c r="C563" s="161"/>
      <c r="D563" s="161"/>
      <c r="E563" s="161"/>
      <c r="F563" s="118"/>
      <c r="G563" s="119"/>
      <c r="H563" s="165"/>
      <c r="I563" s="119"/>
      <c r="J563" s="119"/>
      <c r="K563" s="157"/>
    </row>
    <row r="564" spans="1:11" x14ac:dyDescent="0.3">
      <c r="A564" s="127"/>
      <c r="B564" s="109"/>
      <c r="C564" s="161"/>
      <c r="D564" s="161"/>
      <c r="E564" s="161"/>
      <c r="F564" s="118"/>
      <c r="G564" s="119"/>
      <c r="H564" s="165"/>
      <c r="I564" s="119"/>
      <c r="J564" s="119"/>
      <c r="K564" s="157"/>
    </row>
    <row r="565" spans="1:11" x14ac:dyDescent="0.3">
      <c r="A565" s="127"/>
      <c r="B565" s="109"/>
      <c r="C565" s="161"/>
      <c r="D565" s="161"/>
      <c r="E565" s="161"/>
      <c r="F565" s="118"/>
      <c r="G565" s="119"/>
      <c r="H565" s="165"/>
      <c r="I565" s="119"/>
      <c r="J565" s="119"/>
      <c r="K565" s="157"/>
    </row>
    <row r="566" spans="1:11" x14ac:dyDescent="0.3">
      <c r="A566" s="127"/>
      <c r="B566" s="109"/>
      <c r="C566" s="161"/>
      <c r="D566" s="161"/>
      <c r="E566" s="161"/>
      <c r="F566" s="118"/>
      <c r="G566" s="119"/>
      <c r="H566" s="165"/>
      <c r="I566" s="119"/>
      <c r="J566" s="119"/>
      <c r="K566" s="157"/>
    </row>
    <row r="567" spans="1:11" x14ac:dyDescent="0.3">
      <c r="A567" s="127"/>
      <c r="B567" s="109"/>
      <c r="C567" s="161"/>
      <c r="D567" s="161"/>
      <c r="E567" s="161"/>
      <c r="F567" s="118"/>
      <c r="G567" s="119"/>
      <c r="H567" s="165"/>
      <c r="I567" s="119"/>
      <c r="J567" s="119"/>
      <c r="K567" s="157"/>
    </row>
    <row r="568" spans="1:11" x14ac:dyDescent="0.3">
      <c r="A568" s="127"/>
      <c r="B568" s="109"/>
      <c r="C568" s="161"/>
      <c r="D568" s="161"/>
      <c r="E568" s="161"/>
      <c r="F568" s="118"/>
      <c r="G568" s="119"/>
      <c r="H568" s="165"/>
      <c r="I568" s="119"/>
      <c r="J568" s="119"/>
      <c r="K568" s="157"/>
    </row>
    <row r="569" spans="1:11" x14ac:dyDescent="0.3">
      <c r="A569" s="127"/>
      <c r="B569" s="109"/>
      <c r="C569" s="161"/>
      <c r="D569" s="161"/>
      <c r="E569" s="161"/>
      <c r="F569" s="118"/>
      <c r="G569" s="119"/>
      <c r="H569" s="165"/>
      <c r="I569" s="119"/>
      <c r="J569" s="119"/>
      <c r="K569" s="157"/>
    </row>
    <row r="570" spans="1:11" x14ac:dyDescent="0.3">
      <c r="A570" s="127"/>
      <c r="B570" s="109"/>
      <c r="C570" s="161"/>
      <c r="D570" s="161"/>
      <c r="E570" s="161"/>
      <c r="F570" s="118"/>
      <c r="G570" s="119"/>
      <c r="H570" s="165"/>
      <c r="I570" s="119"/>
      <c r="J570" s="119"/>
      <c r="K570" s="157"/>
    </row>
    <row r="571" spans="1:11" x14ac:dyDescent="0.3">
      <c r="A571" s="127"/>
      <c r="B571" s="109"/>
      <c r="C571" s="161"/>
      <c r="D571" s="161"/>
      <c r="E571" s="161"/>
      <c r="F571" s="118"/>
      <c r="G571" s="119"/>
      <c r="H571" s="165"/>
      <c r="I571" s="119"/>
      <c r="J571" s="119"/>
      <c r="K571" s="157"/>
    </row>
    <row r="572" spans="1:11" x14ac:dyDescent="0.3">
      <c r="A572" s="127"/>
      <c r="B572" s="109"/>
      <c r="C572" s="161"/>
      <c r="D572" s="161"/>
      <c r="E572" s="161"/>
      <c r="F572" s="118"/>
      <c r="G572" s="119"/>
      <c r="H572" s="165"/>
      <c r="I572" s="119"/>
      <c r="J572" s="119"/>
      <c r="K572" s="157"/>
    </row>
    <row r="573" spans="1:11" x14ac:dyDescent="0.3">
      <c r="A573" s="127"/>
      <c r="B573" s="109"/>
      <c r="C573" s="161"/>
      <c r="D573" s="161"/>
      <c r="E573" s="161"/>
      <c r="F573" s="118"/>
      <c r="G573" s="119"/>
      <c r="H573" s="165"/>
      <c r="I573" s="119"/>
      <c r="J573" s="119"/>
      <c r="K573" s="157"/>
    </row>
    <row r="574" spans="1:11" x14ac:dyDescent="0.3">
      <c r="A574" s="127"/>
      <c r="B574" s="109"/>
      <c r="C574" s="161"/>
      <c r="D574" s="161"/>
      <c r="E574" s="161"/>
      <c r="F574" s="118"/>
      <c r="G574" s="119"/>
      <c r="H574" s="165"/>
      <c r="I574" s="119"/>
      <c r="J574" s="119"/>
      <c r="K574" s="157"/>
    </row>
    <row r="575" spans="1:11" x14ac:dyDescent="0.3">
      <c r="A575" s="127"/>
      <c r="B575" s="109"/>
      <c r="C575" s="161"/>
      <c r="D575" s="161"/>
      <c r="E575" s="161"/>
      <c r="F575" s="118"/>
      <c r="G575" s="119"/>
      <c r="H575" s="165"/>
      <c r="I575" s="119"/>
      <c r="J575" s="119"/>
      <c r="K575" s="157"/>
    </row>
    <row r="576" spans="1:11" x14ac:dyDescent="0.3">
      <c r="A576" s="127"/>
      <c r="B576" s="109"/>
      <c r="C576" s="161"/>
      <c r="D576" s="161"/>
      <c r="E576" s="161"/>
      <c r="F576" s="118"/>
      <c r="G576" s="119"/>
      <c r="H576" s="165"/>
      <c r="I576" s="119"/>
      <c r="J576" s="119"/>
      <c r="K576" s="157"/>
    </row>
    <row r="577" spans="1:11" x14ac:dyDescent="0.3">
      <c r="A577" s="127"/>
      <c r="B577" s="109"/>
      <c r="C577" s="161"/>
      <c r="D577" s="161"/>
      <c r="E577" s="161"/>
      <c r="F577" s="118"/>
      <c r="G577" s="119"/>
      <c r="H577" s="165"/>
      <c r="I577" s="119"/>
      <c r="J577" s="119"/>
      <c r="K577" s="157"/>
    </row>
    <row r="578" spans="1:11" x14ac:dyDescent="0.3">
      <c r="A578" s="127"/>
      <c r="B578" s="109"/>
      <c r="C578" s="161"/>
      <c r="D578" s="161"/>
      <c r="E578" s="161"/>
      <c r="F578" s="118"/>
      <c r="G578" s="119"/>
      <c r="H578" s="165"/>
      <c r="I578" s="119"/>
      <c r="J578" s="119"/>
      <c r="K578" s="157"/>
    </row>
    <row r="579" spans="1:11" x14ac:dyDescent="0.3">
      <c r="A579" s="127"/>
      <c r="B579" s="109"/>
      <c r="C579" s="161"/>
      <c r="D579" s="161"/>
      <c r="E579" s="161"/>
      <c r="F579" s="118"/>
      <c r="G579" s="119"/>
      <c r="H579" s="165"/>
      <c r="I579" s="119"/>
      <c r="J579" s="119"/>
      <c r="K579" s="157"/>
    </row>
    <row r="580" spans="1:11" x14ac:dyDescent="0.3">
      <c r="A580" s="127"/>
      <c r="B580" s="109"/>
      <c r="C580" s="161"/>
      <c r="D580" s="161"/>
      <c r="E580" s="161"/>
      <c r="F580" s="118"/>
      <c r="G580" s="119"/>
      <c r="H580" s="165"/>
      <c r="I580" s="119"/>
      <c r="J580" s="119"/>
      <c r="K580" s="157"/>
    </row>
    <row r="581" spans="1:11" x14ac:dyDescent="0.3">
      <c r="A581" s="127"/>
      <c r="B581" s="109"/>
      <c r="C581" s="161"/>
      <c r="D581" s="161"/>
      <c r="E581" s="161"/>
      <c r="F581" s="118"/>
      <c r="G581" s="119"/>
      <c r="H581" s="165"/>
      <c r="I581" s="119"/>
      <c r="J581" s="119"/>
      <c r="K581" s="157"/>
    </row>
    <row r="582" spans="1:11" x14ac:dyDescent="0.3">
      <c r="A582" s="127"/>
      <c r="B582" s="109"/>
      <c r="C582" s="161"/>
      <c r="D582" s="161"/>
      <c r="E582" s="161"/>
      <c r="F582" s="118"/>
      <c r="G582" s="119"/>
      <c r="H582" s="165"/>
      <c r="I582" s="119"/>
      <c r="J582" s="119"/>
      <c r="K582" s="157"/>
    </row>
    <row r="583" spans="1:11" x14ac:dyDescent="0.3">
      <c r="A583" s="127"/>
      <c r="B583" s="109"/>
      <c r="C583" s="161"/>
      <c r="D583" s="161"/>
      <c r="E583" s="161"/>
      <c r="F583" s="118"/>
      <c r="G583" s="119"/>
      <c r="H583" s="165"/>
      <c r="I583" s="119"/>
      <c r="J583" s="119"/>
      <c r="K583" s="157"/>
    </row>
    <row r="584" spans="1:11" x14ac:dyDescent="0.3">
      <c r="A584" s="127"/>
      <c r="B584" s="109"/>
      <c r="C584" s="161"/>
      <c r="D584" s="161"/>
      <c r="E584" s="161"/>
      <c r="F584" s="118"/>
      <c r="G584" s="119"/>
      <c r="H584" s="165"/>
      <c r="I584" s="119"/>
      <c r="J584" s="119"/>
      <c r="K584" s="157"/>
    </row>
    <row r="585" spans="1:11" x14ac:dyDescent="0.3">
      <c r="A585" s="127"/>
      <c r="B585" s="109"/>
      <c r="C585" s="161"/>
      <c r="D585" s="161"/>
      <c r="E585" s="161"/>
      <c r="F585" s="118"/>
      <c r="G585" s="119"/>
      <c r="H585" s="165"/>
      <c r="I585" s="119"/>
      <c r="J585" s="119"/>
      <c r="K585" s="157"/>
    </row>
    <row r="586" spans="1:11" x14ac:dyDescent="0.3">
      <c r="A586" s="127"/>
      <c r="B586" s="109"/>
      <c r="C586" s="161"/>
      <c r="D586" s="161"/>
      <c r="E586" s="161"/>
      <c r="F586" s="118"/>
      <c r="G586" s="119"/>
      <c r="H586" s="165"/>
      <c r="I586" s="119"/>
      <c r="J586" s="119"/>
      <c r="K586" s="157"/>
    </row>
    <row r="587" spans="1:11" x14ac:dyDescent="0.3">
      <c r="A587" s="127"/>
      <c r="B587" s="109"/>
      <c r="C587" s="161"/>
      <c r="D587" s="161"/>
      <c r="E587" s="161"/>
      <c r="F587" s="118"/>
      <c r="G587" s="119"/>
      <c r="H587" s="165"/>
      <c r="I587" s="119"/>
      <c r="J587" s="119"/>
      <c r="K587" s="157"/>
    </row>
    <row r="588" spans="1:11" x14ac:dyDescent="0.3">
      <c r="A588" s="127"/>
      <c r="B588" s="109"/>
      <c r="C588" s="161"/>
      <c r="D588" s="161"/>
      <c r="E588" s="161"/>
      <c r="F588" s="118"/>
      <c r="G588" s="119"/>
      <c r="H588" s="165"/>
      <c r="I588" s="119"/>
      <c r="J588" s="119"/>
      <c r="K588" s="157"/>
    </row>
    <row r="589" spans="1:11" x14ac:dyDescent="0.3">
      <c r="A589" s="127"/>
      <c r="B589" s="109"/>
      <c r="C589" s="161"/>
      <c r="D589" s="161"/>
      <c r="E589" s="161"/>
      <c r="F589" s="118"/>
      <c r="G589" s="119"/>
      <c r="H589" s="165"/>
      <c r="I589" s="119"/>
      <c r="J589" s="119"/>
      <c r="K589" s="157"/>
    </row>
    <row r="590" spans="1:11" x14ac:dyDescent="0.3">
      <c r="A590" s="127"/>
      <c r="B590" s="109"/>
      <c r="C590" s="161"/>
      <c r="D590" s="161"/>
      <c r="E590" s="161"/>
      <c r="F590" s="118"/>
      <c r="G590" s="119"/>
      <c r="H590" s="165"/>
      <c r="I590" s="119"/>
      <c r="J590" s="119"/>
      <c r="K590" s="157"/>
    </row>
    <row r="591" spans="1:11" x14ac:dyDescent="0.3">
      <c r="A591" s="127"/>
      <c r="B591" s="109"/>
      <c r="C591" s="161"/>
      <c r="D591" s="161"/>
      <c r="E591" s="161"/>
      <c r="F591" s="118"/>
      <c r="G591" s="119"/>
      <c r="H591" s="165"/>
      <c r="I591" s="119"/>
      <c r="J591" s="119"/>
      <c r="K591" s="157"/>
    </row>
    <row r="592" spans="1:11" x14ac:dyDescent="0.3">
      <c r="A592" s="127"/>
      <c r="B592" s="109"/>
      <c r="C592" s="161"/>
      <c r="D592" s="161"/>
      <c r="E592" s="161"/>
      <c r="F592" s="118"/>
      <c r="G592" s="119"/>
      <c r="H592" s="165"/>
      <c r="I592" s="119"/>
      <c r="J592" s="119"/>
      <c r="K592" s="157"/>
    </row>
    <row r="593" spans="1:11" x14ac:dyDescent="0.3">
      <c r="A593" s="127"/>
      <c r="B593" s="109"/>
      <c r="C593" s="161"/>
      <c r="D593" s="161"/>
      <c r="E593" s="161"/>
      <c r="F593" s="118"/>
      <c r="G593" s="119"/>
      <c r="H593" s="165"/>
      <c r="I593" s="119"/>
      <c r="J593" s="119"/>
      <c r="K593" s="157"/>
    </row>
    <row r="594" spans="1:11" x14ac:dyDescent="0.3">
      <c r="A594" s="127"/>
      <c r="B594" s="109"/>
      <c r="C594" s="161"/>
      <c r="D594" s="161"/>
      <c r="E594" s="161"/>
      <c r="F594" s="118"/>
      <c r="G594" s="119"/>
      <c r="H594" s="165"/>
      <c r="I594" s="119"/>
      <c r="J594" s="119"/>
      <c r="K594" s="157"/>
    </row>
    <row r="595" spans="1:11" x14ac:dyDescent="0.3">
      <c r="A595" s="127"/>
      <c r="B595" s="109"/>
      <c r="C595" s="161"/>
      <c r="D595" s="161"/>
      <c r="E595" s="161"/>
      <c r="F595" s="118"/>
      <c r="G595" s="119"/>
      <c r="H595" s="165"/>
      <c r="I595" s="119"/>
      <c r="J595" s="119"/>
      <c r="K595" s="157"/>
    </row>
    <row r="596" spans="1:11" x14ac:dyDescent="0.3">
      <c r="A596" s="127"/>
      <c r="B596" s="109"/>
      <c r="C596" s="161"/>
      <c r="D596" s="161"/>
      <c r="E596" s="161"/>
      <c r="F596" s="118"/>
      <c r="G596" s="119"/>
      <c r="H596" s="165"/>
      <c r="I596" s="119"/>
      <c r="J596" s="119"/>
      <c r="K596" s="157"/>
    </row>
    <row r="597" spans="1:11" x14ac:dyDescent="0.3">
      <c r="A597" s="127"/>
      <c r="B597" s="109"/>
      <c r="C597" s="161"/>
      <c r="D597" s="161"/>
      <c r="E597" s="161"/>
      <c r="F597" s="118"/>
      <c r="G597" s="119"/>
      <c r="H597" s="165"/>
      <c r="I597" s="119"/>
      <c r="J597" s="119"/>
      <c r="K597" s="157"/>
    </row>
    <row r="598" spans="1:11" x14ac:dyDescent="0.3">
      <c r="A598" s="127"/>
      <c r="B598" s="109"/>
      <c r="C598" s="161"/>
      <c r="D598" s="161"/>
      <c r="E598" s="161"/>
      <c r="F598" s="118"/>
      <c r="G598" s="119"/>
      <c r="H598" s="165"/>
      <c r="I598" s="119"/>
      <c r="J598" s="119"/>
      <c r="K598" s="157"/>
    </row>
    <row r="599" spans="1:11" x14ac:dyDescent="0.3">
      <c r="A599" s="127"/>
      <c r="B599" s="109"/>
      <c r="C599" s="161"/>
      <c r="D599" s="161"/>
      <c r="E599" s="161"/>
      <c r="F599" s="118"/>
      <c r="G599" s="119"/>
      <c r="H599" s="165"/>
      <c r="I599" s="119"/>
      <c r="J599" s="119"/>
      <c r="K599" s="157"/>
    </row>
    <row r="600" spans="1:11" x14ac:dyDescent="0.3">
      <c r="A600" s="127"/>
      <c r="B600" s="109"/>
      <c r="C600" s="161"/>
      <c r="D600" s="161"/>
      <c r="E600" s="161"/>
      <c r="F600" s="118"/>
      <c r="G600" s="119"/>
      <c r="H600" s="165"/>
      <c r="I600" s="119"/>
      <c r="J600" s="119"/>
      <c r="K600" s="157"/>
    </row>
    <row r="601" spans="1:11" x14ac:dyDescent="0.3">
      <c r="A601" s="127"/>
      <c r="B601" s="109"/>
      <c r="C601" s="161"/>
      <c r="D601" s="161"/>
      <c r="E601" s="161"/>
      <c r="F601" s="118"/>
      <c r="G601" s="119"/>
      <c r="H601" s="165"/>
      <c r="I601" s="119"/>
      <c r="J601" s="119"/>
      <c r="K601" s="157"/>
    </row>
    <row r="602" spans="1:11" x14ac:dyDescent="0.3">
      <c r="A602" s="127"/>
      <c r="B602" s="109"/>
      <c r="C602" s="161"/>
      <c r="D602" s="161"/>
      <c r="E602" s="161"/>
      <c r="F602" s="118"/>
      <c r="G602" s="119"/>
      <c r="H602" s="165"/>
      <c r="I602" s="119"/>
      <c r="J602" s="119"/>
      <c r="K602" s="157"/>
    </row>
    <row r="603" spans="1:11" x14ac:dyDescent="0.3">
      <c r="A603" s="127"/>
      <c r="B603" s="109"/>
      <c r="C603" s="161"/>
      <c r="D603" s="161"/>
      <c r="E603" s="161"/>
      <c r="F603" s="118"/>
      <c r="G603" s="119"/>
      <c r="H603" s="165"/>
      <c r="I603" s="119"/>
      <c r="J603" s="119"/>
      <c r="K603" s="157"/>
    </row>
    <row r="604" spans="1:11" x14ac:dyDescent="0.3">
      <c r="A604" s="127"/>
      <c r="B604" s="109"/>
      <c r="C604" s="161"/>
      <c r="D604" s="161"/>
      <c r="E604" s="161"/>
      <c r="F604" s="118"/>
      <c r="G604" s="119"/>
      <c r="H604" s="165"/>
      <c r="I604" s="119"/>
      <c r="J604" s="119"/>
      <c r="K604" s="157"/>
    </row>
    <row r="605" spans="1:11" x14ac:dyDescent="0.3">
      <c r="A605" s="127"/>
      <c r="B605" s="109"/>
      <c r="C605" s="161"/>
      <c r="D605" s="161"/>
      <c r="E605" s="161"/>
      <c r="F605" s="118"/>
      <c r="G605" s="119"/>
      <c r="H605" s="165"/>
      <c r="I605" s="119"/>
      <c r="J605" s="119"/>
      <c r="K605" s="157"/>
    </row>
    <row r="606" spans="1:11" x14ac:dyDescent="0.3">
      <c r="A606" s="127"/>
      <c r="B606" s="109"/>
      <c r="C606" s="161"/>
      <c r="D606" s="161"/>
      <c r="E606" s="161"/>
      <c r="F606" s="118"/>
      <c r="G606" s="119"/>
      <c r="H606" s="165"/>
      <c r="I606" s="119"/>
      <c r="J606" s="119"/>
      <c r="K606" s="157"/>
    </row>
    <row r="607" spans="1:11" x14ac:dyDescent="0.3">
      <c r="A607" s="127"/>
      <c r="B607" s="109"/>
      <c r="C607" s="161"/>
      <c r="D607" s="161"/>
      <c r="E607" s="161"/>
      <c r="F607" s="118"/>
      <c r="G607" s="119"/>
      <c r="H607" s="165"/>
      <c r="I607" s="119"/>
      <c r="J607" s="119"/>
      <c r="K607" s="157"/>
    </row>
    <row r="608" spans="1:11" x14ac:dyDescent="0.3">
      <c r="A608" s="127"/>
      <c r="B608" s="109"/>
      <c r="C608" s="161"/>
      <c r="D608" s="161"/>
      <c r="E608" s="161"/>
      <c r="F608" s="118"/>
      <c r="G608" s="119"/>
      <c r="H608" s="165"/>
      <c r="I608" s="119"/>
      <c r="J608" s="119"/>
      <c r="K608" s="157"/>
    </row>
    <row r="609" spans="1:11" x14ac:dyDescent="0.3">
      <c r="A609" s="127"/>
      <c r="B609" s="109"/>
      <c r="C609" s="161"/>
      <c r="D609" s="161"/>
      <c r="E609" s="161"/>
      <c r="F609" s="118"/>
      <c r="G609" s="119"/>
      <c r="H609" s="165"/>
      <c r="I609" s="119"/>
      <c r="J609" s="119"/>
      <c r="K609" s="157"/>
    </row>
    <row r="610" spans="1:11" x14ac:dyDescent="0.3">
      <c r="A610" s="127"/>
      <c r="B610" s="109"/>
      <c r="C610" s="161"/>
      <c r="D610" s="161"/>
      <c r="E610" s="161"/>
      <c r="F610" s="118"/>
      <c r="G610" s="119"/>
      <c r="H610" s="165"/>
      <c r="I610" s="119"/>
      <c r="J610" s="119"/>
      <c r="K610" s="157"/>
    </row>
    <row r="611" spans="1:11" x14ac:dyDescent="0.3">
      <c r="A611" s="127"/>
      <c r="B611" s="109"/>
      <c r="C611" s="161"/>
      <c r="D611" s="161"/>
      <c r="E611" s="161"/>
      <c r="F611" s="118"/>
      <c r="G611" s="119"/>
      <c r="H611" s="165"/>
      <c r="I611" s="119"/>
      <c r="J611" s="119"/>
      <c r="K611" s="157"/>
    </row>
    <row r="612" spans="1:11" x14ac:dyDescent="0.3">
      <c r="A612" s="127"/>
      <c r="B612" s="109"/>
      <c r="C612" s="161"/>
      <c r="D612" s="161"/>
      <c r="E612" s="161"/>
      <c r="F612" s="118"/>
      <c r="G612" s="119"/>
      <c r="H612" s="165"/>
      <c r="I612" s="119"/>
      <c r="J612" s="119"/>
      <c r="K612" s="157"/>
    </row>
    <row r="613" spans="1:11" x14ac:dyDescent="0.3">
      <c r="A613" s="127"/>
      <c r="B613" s="109"/>
      <c r="C613" s="161"/>
      <c r="D613" s="161"/>
      <c r="E613" s="161"/>
      <c r="F613" s="118"/>
      <c r="G613" s="119"/>
      <c r="H613" s="165"/>
      <c r="I613" s="119"/>
      <c r="J613" s="119"/>
      <c r="K613" s="157"/>
    </row>
    <row r="614" spans="1:11" x14ac:dyDescent="0.3">
      <c r="A614" s="127"/>
      <c r="B614" s="109"/>
      <c r="C614" s="161"/>
      <c r="D614" s="161"/>
      <c r="E614" s="161"/>
      <c r="F614" s="118"/>
      <c r="G614" s="119"/>
      <c r="H614" s="165"/>
      <c r="I614" s="119"/>
      <c r="J614" s="119"/>
      <c r="K614" s="157"/>
    </row>
    <row r="615" spans="1:11" x14ac:dyDescent="0.3">
      <c r="A615" s="127"/>
      <c r="B615" s="109"/>
      <c r="C615" s="161"/>
      <c r="D615" s="161"/>
      <c r="E615" s="161"/>
      <c r="F615" s="118"/>
      <c r="G615" s="119"/>
      <c r="H615" s="165"/>
      <c r="I615" s="119"/>
      <c r="J615" s="119"/>
      <c r="K615" s="157"/>
    </row>
    <row r="616" spans="1:11" x14ac:dyDescent="0.3">
      <c r="A616" s="127"/>
      <c r="B616" s="109"/>
      <c r="C616" s="161"/>
      <c r="D616" s="161"/>
      <c r="E616" s="161"/>
      <c r="F616" s="118"/>
      <c r="G616" s="119"/>
      <c r="H616" s="165"/>
      <c r="I616" s="119"/>
      <c r="J616" s="119"/>
      <c r="K616" s="157"/>
    </row>
    <row r="617" spans="1:11" x14ac:dyDescent="0.3">
      <c r="A617" s="127"/>
      <c r="B617" s="109"/>
      <c r="C617" s="161"/>
      <c r="D617" s="161"/>
      <c r="E617" s="161"/>
      <c r="F617" s="118"/>
      <c r="G617" s="119"/>
      <c r="H617" s="165"/>
      <c r="I617" s="119"/>
      <c r="J617" s="119"/>
      <c r="K617" s="157"/>
    </row>
    <row r="618" spans="1:11" x14ac:dyDescent="0.3">
      <c r="A618" s="127"/>
      <c r="B618" s="109"/>
      <c r="C618" s="161"/>
      <c r="D618" s="161"/>
      <c r="E618" s="161"/>
      <c r="F618" s="118"/>
      <c r="G618" s="119"/>
      <c r="H618" s="165"/>
      <c r="I618" s="119"/>
      <c r="J618" s="119"/>
      <c r="K618" s="157"/>
    </row>
    <row r="619" spans="1:11" x14ac:dyDescent="0.3">
      <c r="A619" s="127"/>
      <c r="B619" s="109"/>
      <c r="C619" s="161"/>
      <c r="D619" s="161"/>
      <c r="E619" s="161"/>
      <c r="F619" s="118"/>
      <c r="G619" s="119"/>
      <c r="H619" s="165"/>
      <c r="I619" s="119"/>
      <c r="J619" s="119"/>
      <c r="K619" s="157"/>
    </row>
    <row r="620" spans="1:11" x14ac:dyDescent="0.3">
      <c r="A620" s="127"/>
      <c r="B620" s="109"/>
      <c r="C620" s="161"/>
      <c r="D620" s="161"/>
      <c r="E620" s="161"/>
      <c r="F620" s="118"/>
      <c r="G620" s="119"/>
      <c r="H620" s="165"/>
      <c r="I620" s="119"/>
      <c r="J620" s="119"/>
      <c r="K620" s="157"/>
    </row>
    <row r="621" spans="1:11" x14ac:dyDescent="0.3">
      <c r="A621" s="127"/>
      <c r="B621" s="109"/>
      <c r="C621" s="161"/>
      <c r="D621" s="161"/>
      <c r="E621" s="161"/>
      <c r="F621" s="118"/>
      <c r="G621" s="119"/>
      <c r="H621" s="165"/>
      <c r="I621" s="119"/>
      <c r="J621" s="119"/>
      <c r="K621" s="157"/>
    </row>
    <row r="622" spans="1:11" x14ac:dyDescent="0.3">
      <c r="A622" s="127"/>
      <c r="B622" s="109"/>
      <c r="C622" s="161"/>
      <c r="D622" s="161"/>
      <c r="E622" s="161"/>
      <c r="F622" s="118"/>
      <c r="G622" s="119"/>
      <c r="H622" s="165"/>
      <c r="I622" s="119"/>
      <c r="J622" s="119"/>
      <c r="K622" s="157"/>
    </row>
    <row r="623" spans="1:11" x14ac:dyDescent="0.3">
      <c r="A623" s="127"/>
      <c r="B623" s="109"/>
      <c r="C623" s="161"/>
      <c r="D623" s="161"/>
      <c r="E623" s="161"/>
      <c r="F623" s="118"/>
      <c r="G623" s="119"/>
      <c r="H623" s="165"/>
      <c r="I623" s="119"/>
      <c r="J623" s="119"/>
      <c r="K623" s="157"/>
    </row>
    <row r="624" spans="1:11" x14ac:dyDescent="0.3">
      <c r="A624" s="127"/>
      <c r="B624" s="109"/>
      <c r="C624" s="161"/>
      <c r="D624" s="161"/>
      <c r="E624" s="161"/>
      <c r="F624" s="118"/>
      <c r="G624" s="119"/>
      <c r="H624" s="165"/>
      <c r="I624" s="119"/>
      <c r="J624" s="119"/>
      <c r="K624" s="157"/>
    </row>
    <row r="625" spans="1:11" x14ac:dyDescent="0.3">
      <c r="A625" s="127"/>
      <c r="B625" s="109"/>
      <c r="C625" s="161"/>
      <c r="D625" s="161"/>
      <c r="E625" s="161"/>
      <c r="F625" s="118"/>
      <c r="G625" s="119"/>
      <c r="H625" s="165"/>
      <c r="I625" s="119"/>
      <c r="J625" s="119"/>
      <c r="K625" s="157"/>
    </row>
    <row r="626" spans="1:11" x14ac:dyDescent="0.3">
      <c r="A626" s="127"/>
      <c r="B626" s="109"/>
      <c r="C626" s="161"/>
      <c r="D626" s="161"/>
      <c r="E626" s="161"/>
      <c r="F626" s="118"/>
      <c r="G626" s="119"/>
      <c r="H626" s="165"/>
      <c r="I626" s="119"/>
      <c r="J626" s="119"/>
      <c r="K626" s="157"/>
    </row>
    <row r="627" spans="1:11" x14ac:dyDescent="0.3">
      <c r="A627" s="127"/>
      <c r="B627" s="109"/>
      <c r="C627" s="161"/>
      <c r="D627" s="161"/>
      <c r="E627" s="161"/>
      <c r="F627" s="118"/>
      <c r="G627" s="119"/>
      <c r="H627" s="165"/>
      <c r="I627" s="119"/>
      <c r="J627" s="119"/>
      <c r="K627" s="157"/>
    </row>
    <row r="628" spans="1:11" x14ac:dyDescent="0.3">
      <c r="A628" s="127"/>
      <c r="B628" s="109"/>
      <c r="C628" s="161"/>
      <c r="D628" s="161"/>
      <c r="E628" s="161"/>
      <c r="F628" s="118"/>
      <c r="G628" s="119"/>
      <c r="H628" s="165"/>
      <c r="I628" s="119"/>
      <c r="J628" s="119"/>
      <c r="K628" s="157"/>
    </row>
    <row r="629" spans="1:11" x14ac:dyDescent="0.3">
      <c r="A629" s="127"/>
      <c r="B629" s="109"/>
      <c r="C629" s="161"/>
      <c r="D629" s="161"/>
      <c r="E629" s="161"/>
      <c r="F629" s="118"/>
      <c r="G629" s="119"/>
      <c r="H629" s="165"/>
      <c r="I629" s="119"/>
      <c r="J629" s="119"/>
      <c r="K629" s="157"/>
    </row>
    <row r="630" spans="1:11" x14ac:dyDescent="0.3">
      <c r="A630" s="127"/>
      <c r="B630" s="109"/>
      <c r="C630" s="161"/>
      <c r="D630" s="161"/>
      <c r="E630" s="161"/>
      <c r="F630" s="118"/>
      <c r="G630" s="119"/>
      <c r="H630" s="165"/>
      <c r="I630" s="119"/>
      <c r="J630" s="119"/>
      <c r="K630" s="157"/>
    </row>
    <row r="631" spans="1:11" x14ac:dyDescent="0.3">
      <c r="A631" s="127"/>
      <c r="B631" s="109"/>
      <c r="C631" s="161"/>
      <c r="D631" s="161"/>
      <c r="E631" s="161"/>
      <c r="F631" s="118"/>
      <c r="G631" s="119"/>
      <c r="H631" s="165"/>
      <c r="I631" s="119"/>
      <c r="J631" s="119"/>
      <c r="K631" s="157"/>
    </row>
    <row r="632" spans="1:11" x14ac:dyDescent="0.3">
      <c r="A632" s="127"/>
      <c r="B632" s="109"/>
      <c r="C632" s="161"/>
      <c r="D632" s="161"/>
      <c r="E632" s="161"/>
      <c r="F632" s="118"/>
      <c r="G632" s="119"/>
      <c r="H632" s="165"/>
      <c r="I632" s="119"/>
      <c r="J632" s="119"/>
      <c r="K632" s="157"/>
    </row>
    <row r="633" spans="1:11" x14ac:dyDescent="0.3">
      <c r="A633" s="127"/>
      <c r="B633" s="109"/>
      <c r="C633" s="161"/>
      <c r="D633" s="161"/>
      <c r="E633" s="161"/>
      <c r="F633" s="118"/>
      <c r="G633" s="119"/>
      <c r="H633" s="165"/>
      <c r="I633" s="119"/>
      <c r="J633" s="119"/>
      <c r="K633" s="157"/>
    </row>
    <row r="634" spans="1:11" x14ac:dyDescent="0.3">
      <c r="A634" s="127"/>
      <c r="B634" s="109"/>
      <c r="C634" s="161"/>
      <c r="D634" s="161"/>
      <c r="E634" s="161"/>
      <c r="F634" s="118"/>
      <c r="G634" s="119"/>
      <c r="H634" s="165"/>
      <c r="I634" s="119"/>
      <c r="J634" s="119"/>
      <c r="K634" s="157"/>
    </row>
    <row r="635" spans="1:11" x14ac:dyDescent="0.3">
      <c r="A635" s="127"/>
      <c r="B635" s="109"/>
      <c r="C635" s="161"/>
      <c r="D635" s="161"/>
      <c r="E635" s="161"/>
      <c r="F635" s="118"/>
      <c r="G635" s="119"/>
      <c r="H635" s="165"/>
      <c r="I635" s="119"/>
      <c r="J635" s="119"/>
      <c r="K635" s="157"/>
    </row>
    <row r="636" spans="1:11" x14ac:dyDescent="0.3">
      <c r="A636" s="127"/>
      <c r="B636" s="109"/>
      <c r="C636" s="161"/>
      <c r="D636" s="161"/>
      <c r="E636" s="161"/>
      <c r="F636" s="118"/>
      <c r="G636" s="119"/>
      <c r="H636" s="165"/>
      <c r="I636" s="119"/>
      <c r="J636" s="119"/>
      <c r="K636" s="157"/>
    </row>
    <row r="637" spans="1:11" x14ac:dyDescent="0.3">
      <c r="A637" s="127"/>
      <c r="B637" s="109"/>
      <c r="C637" s="161"/>
      <c r="D637" s="161"/>
      <c r="E637" s="161"/>
      <c r="F637" s="118"/>
      <c r="G637" s="119"/>
      <c r="H637" s="165"/>
      <c r="I637" s="119"/>
      <c r="J637" s="119"/>
      <c r="K637" s="157"/>
    </row>
    <row r="638" spans="1:11" x14ac:dyDescent="0.3">
      <c r="A638" s="127"/>
      <c r="B638" s="109"/>
      <c r="C638" s="161"/>
      <c r="D638" s="161"/>
      <c r="E638" s="161"/>
      <c r="F638" s="118"/>
      <c r="G638" s="119"/>
      <c r="H638" s="165"/>
      <c r="I638" s="119"/>
      <c r="J638" s="119"/>
      <c r="K638" s="157"/>
    </row>
    <row r="639" spans="1:11" x14ac:dyDescent="0.3">
      <c r="A639" s="127"/>
      <c r="B639" s="109"/>
      <c r="C639" s="161"/>
      <c r="D639" s="161"/>
      <c r="E639" s="161"/>
      <c r="F639" s="118"/>
      <c r="G639" s="119"/>
      <c r="H639" s="165"/>
      <c r="I639" s="119"/>
      <c r="J639" s="119"/>
      <c r="K639" s="157"/>
    </row>
    <row r="640" spans="1:11" x14ac:dyDescent="0.3">
      <c r="A640" s="127"/>
      <c r="B640" s="109"/>
      <c r="C640" s="161"/>
      <c r="D640" s="161"/>
      <c r="E640" s="161"/>
      <c r="F640" s="118"/>
      <c r="G640" s="119"/>
      <c r="H640" s="165"/>
      <c r="I640" s="119"/>
      <c r="J640" s="119"/>
      <c r="K640" s="157"/>
    </row>
    <row r="641" spans="1:11" x14ac:dyDescent="0.3">
      <c r="A641" s="127"/>
      <c r="B641" s="109"/>
      <c r="C641" s="161"/>
      <c r="D641" s="161"/>
      <c r="E641" s="161"/>
      <c r="F641" s="118"/>
      <c r="G641" s="119"/>
      <c r="H641" s="165"/>
      <c r="I641" s="119"/>
      <c r="J641" s="119"/>
      <c r="K641" s="157"/>
    </row>
    <row r="642" spans="1:11" x14ac:dyDescent="0.3">
      <c r="A642" s="127"/>
      <c r="B642" s="109"/>
      <c r="C642" s="161"/>
      <c r="D642" s="161"/>
      <c r="E642" s="161"/>
      <c r="F642" s="118"/>
      <c r="G642" s="119"/>
      <c r="H642" s="165"/>
      <c r="I642" s="119"/>
      <c r="J642" s="119"/>
      <c r="K642" s="157"/>
    </row>
    <row r="643" spans="1:11" x14ac:dyDescent="0.3">
      <c r="A643" s="127"/>
      <c r="B643" s="109"/>
      <c r="C643" s="161"/>
      <c r="D643" s="161"/>
      <c r="E643" s="161"/>
      <c r="F643" s="118"/>
      <c r="G643" s="119"/>
      <c r="H643" s="165"/>
      <c r="I643" s="119"/>
      <c r="J643" s="119"/>
      <c r="K643" s="157"/>
    </row>
    <row r="644" spans="1:11" x14ac:dyDescent="0.3">
      <c r="A644" s="127"/>
      <c r="B644" s="109"/>
      <c r="C644" s="161"/>
      <c r="D644" s="161"/>
      <c r="E644" s="161"/>
      <c r="F644" s="118"/>
      <c r="G644" s="119"/>
      <c r="H644" s="165"/>
      <c r="I644" s="119"/>
      <c r="J644" s="119"/>
      <c r="K644" s="157"/>
    </row>
    <row r="645" spans="1:11" x14ac:dyDescent="0.3">
      <c r="A645" s="127"/>
      <c r="B645" s="109"/>
      <c r="C645" s="161"/>
      <c r="D645" s="161"/>
      <c r="E645" s="161"/>
      <c r="F645" s="118"/>
      <c r="G645" s="119"/>
      <c r="H645" s="165"/>
      <c r="I645" s="119"/>
      <c r="J645" s="119"/>
      <c r="K645" s="157"/>
    </row>
    <row r="646" spans="1:11" x14ac:dyDescent="0.3">
      <c r="A646" s="127"/>
      <c r="B646" s="109"/>
      <c r="C646" s="161"/>
      <c r="D646" s="161"/>
      <c r="E646" s="161"/>
      <c r="F646" s="118"/>
      <c r="G646" s="119"/>
      <c r="H646" s="165"/>
      <c r="I646" s="119"/>
      <c r="J646" s="119"/>
      <c r="K646" s="157"/>
    </row>
    <row r="647" spans="1:11" x14ac:dyDescent="0.3">
      <c r="A647" s="127"/>
      <c r="B647" s="109"/>
      <c r="C647" s="161"/>
      <c r="D647" s="161"/>
      <c r="E647" s="161"/>
      <c r="F647" s="118"/>
      <c r="G647" s="119"/>
      <c r="H647" s="165"/>
      <c r="I647" s="119"/>
      <c r="J647" s="119"/>
      <c r="K647" s="157"/>
    </row>
    <row r="648" spans="1:11" x14ac:dyDescent="0.3">
      <c r="A648" s="127"/>
      <c r="B648" s="109"/>
      <c r="C648" s="161"/>
      <c r="D648" s="161"/>
      <c r="E648" s="161"/>
      <c r="F648" s="118"/>
      <c r="G648" s="119"/>
      <c r="H648" s="165"/>
      <c r="I648" s="119"/>
      <c r="J648" s="119"/>
      <c r="K648" s="157"/>
    </row>
    <row r="649" spans="1:11" x14ac:dyDescent="0.3">
      <c r="A649" s="127"/>
      <c r="B649" s="109"/>
      <c r="C649" s="161"/>
      <c r="D649" s="161"/>
      <c r="E649" s="161"/>
      <c r="F649" s="118"/>
      <c r="G649" s="119"/>
      <c r="H649" s="165"/>
      <c r="I649" s="119"/>
      <c r="J649" s="119"/>
      <c r="K649" s="157"/>
    </row>
    <row r="650" spans="1:11" x14ac:dyDescent="0.3">
      <c r="A650" s="127"/>
      <c r="B650" s="109"/>
      <c r="C650" s="161"/>
      <c r="D650" s="161"/>
      <c r="E650" s="161"/>
      <c r="F650" s="118"/>
      <c r="G650" s="119"/>
      <c r="H650" s="165"/>
      <c r="I650" s="119"/>
      <c r="J650" s="119"/>
      <c r="K650" s="157"/>
    </row>
    <row r="651" spans="1:11" x14ac:dyDescent="0.3">
      <c r="A651" s="127"/>
      <c r="B651" s="109"/>
      <c r="C651" s="161"/>
      <c r="D651" s="161"/>
      <c r="E651" s="161"/>
      <c r="F651" s="118"/>
      <c r="G651" s="119"/>
      <c r="H651" s="165"/>
      <c r="I651" s="119"/>
      <c r="J651" s="119"/>
      <c r="K651" s="157"/>
    </row>
    <row r="652" spans="1:11" x14ac:dyDescent="0.3">
      <c r="A652" s="127"/>
      <c r="B652" s="109"/>
      <c r="C652" s="161"/>
      <c r="D652" s="161"/>
      <c r="E652" s="161"/>
      <c r="F652" s="118"/>
      <c r="G652" s="119"/>
      <c r="H652" s="165"/>
      <c r="I652" s="119"/>
      <c r="J652" s="119"/>
      <c r="K652" s="157"/>
    </row>
    <row r="653" spans="1:11" x14ac:dyDescent="0.3">
      <c r="A653" s="127"/>
      <c r="B653" s="109"/>
      <c r="C653" s="161"/>
      <c r="D653" s="161"/>
      <c r="E653" s="161"/>
      <c r="F653" s="118"/>
      <c r="G653" s="119"/>
      <c r="H653" s="165"/>
      <c r="I653" s="119"/>
      <c r="J653" s="119"/>
      <c r="K653" s="157"/>
    </row>
    <row r="654" spans="1:11" x14ac:dyDescent="0.3">
      <c r="A654" s="127"/>
      <c r="B654" s="109"/>
      <c r="C654" s="161"/>
      <c r="D654" s="161"/>
      <c r="E654" s="161"/>
      <c r="F654" s="118"/>
      <c r="G654" s="119"/>
      <c r="H654" s="165"/>
      <c r="I654" s="119"/>
      <c r="J654" s="119"/>
      <c r="K654" s="157"/>
    </row>
    <row r="655" spans="1:11" x14ac:dyDescent="0.3">
      <c r="A655" s="127"/>
      <c r="B655" s="109"/>
      <c r="C655" s="161"/>
      <c r="D655" s="161"/>
      <c r="E655" s="161"/>
      <c r="F655" s="118"/>
      <c r="G655" s="119"/>
      <c r="H655" s="165"/>
      <c r="I655" s="119"/>
      <c r="J655" s="119"/>
      <c r="K655" s="157"/>
    </row>
    <row r="656" spans="1:11" x14ac:dyDescent="0.3">
      <c r="A656" s="127"/>
      <c r="B656" s="109"/>
      <c r="C656" s="161"/>
      <c r="D656" s="161"/>
      <c r="E656" s="161"/>
      <c r="F656" s="118"/>
      <c r="G656" s="119"/>
      <c r="H656" s="165"/>
      <c r="I656" s="119"/>
      <c r="J656" s="119"/>
      <c r="K656" s="157"/>
    </row>
    <row r="657" spans="1:11" x14ac:dyDescent="0.3">
      <c r="A657" s="127"/>
      <c r="B657" s="109"/>
      <c r="C657" s="161"/>
      <c r="D657" s="161"/>
      <c r="E657" s="161"/>
      <c r="F657" s="118"/>
      <c r="G657" s="119"/>
      <c r="H657" s="165"/>
      <c r="I657" s="119"/>
      <c r="J657" s="119"/>
      <c r="K657" s="157"/>
    </row>
    <row r="658" spans="1:11" x14ac:dyDescent="0.3">
      <c r="A658" s="127"/>
      <c r="B658" s="109"/>
      <c r="C658" s="161"/>
      <c r="D658" s="161"/>
      <c r="E658" s="161"/>
      <c r="F658" s="118"/>
      <c r="G658" s="119"/>
      <c r="H658" s="165"/>
      <c r="I658" s="119"/>
      <c r="J658" s="119"/>
      <c r="K658" s="157"/>
    </row>
    <row r="659" spans="1:11" x14ac:dyDescent="0.3">
      <c r="A659" s="127"/>
      <c r="B659" s="109"/>
      <c r="C659" s="161"/>
      <c r="D659" s="161"/>
      <c r="E659" s="161"/>
      <c r="F659" s="118"/>
      <c r="G659" s="119"/>
      <c r="H659" s="165"/>
      <c r="I659" s="119"/>
      <c r="J659" s="119"/>
      <c r="K659" s="157"/>
    </row>
    <row r="660" spans="1:11" x14ac:dyDescent="0.3">
      <c r="A660" s="127"/>
      <c r="B660" s="109"/>
      <c r="C660" s="161"/>
      <c r="D660" s="161"/>
      <c r="E660" s="161"/>
      <c r="F660" s="118"/>
      <c r="G660" s="119"/>
      <c r="H660" s="165"/>
      <c r="I660" s="119"/>
      <c r="J660" s="119"/>
      <c r="K660" s="157"/>
    </row>
    <row r="661" spans="1:11" x14ac:dyDescent="0.3">
      <c r="A661" s="127"/>
      <c r="B661" s="109"/>
      <c r="C661" s="161"/>
      <c r="D661" s="161"/>
      <c r="E661" s="161"/>
      <c r="F661" s="118"/>
      <c r="G661" s="119"/>
      <c r="H661" s="165"/>
      <c r="I661" s="119"/>
      <c r="J661" s="119"/>
      <c r="K661" s="157"/>
    </row>
    <row r="662" spans="1:11" x14ac:dyDescent="0.3">
      <c r="A662" s="127"/>
      <c r="B662" s="109"/>
      <c r="C662" s="161"/>
      <c r="D662" s="161"/>
      <c r="E662" s="161"/>
      <c r="F662" s="118"/>
      <c r="G662" s="119"/>
      <c r="H662" s="165"/>
      <c r="I662" s="119"/>
      <c r="J662" s="119"/>
      <c r="K662" s="157"/>
    </row>
    <row r="663" spans="1:11" x14ac:dyDescent="0.3">
      <c r="A663" s="127"/>
      <c r="B663" s="109"/>
      <c r="C663" s="161"/>
      <c r="D663" s="161"/>
      <c r="E663" s="161"/>
      <c r="F663" s="118"/>
      <c r="G663" s="119"/>
      <c r="H663" s="165"/>
      <c r="I663" s="119"/>
      <c r="J663" s="119"/>
      <c r="K663" s="157"/>
    </row>
    <row r="664" spans="1:11" x14ac:dyDescent="0.3">
      <c r="A664" s="127"/>
      <c r="B664" s="109"/>
      <c r="C664" s="161"/>
      <c r="D664" s="161"/>
      <c r="E664" s="161"/>
      <c r="F664" s="118"/>
      <c r="G664" s="119"/>
      <c r="H664" s="165"/>
      <c r="I664" s="119"/>
      <c r="J664" s="119"/>
      <c r="K664" s="157"/>
    </row>
    <row r="665" spans="1:11" x14ac:dyDescent="0.3">
      <c r="A665" s="127"/>
      <c r="B665" s="109"/>
      <c r="C665" s="161"/>
      <c r="D665" s="161"/>
      <c r="E665" s="161"/>
      <c r="F665" s="118"/>
      <c r="G665" s="119"/>
      <c r="H665" s="165"/>
      <c r="I665" s="119"/>
      <c r="J665" s="119"/>
      <c r="K665" s="157"/>
    </row>
    <row r="666" spans="1:11" x14ac:dyDescent="0.3">
      <c r="A666" s="127"/>
      <c r="B666" s="109"/>
      <c r="C666" s="161"/>
      <c r="D666" s="161"/>
      <c r="E666" s="161"/>
      <c r="F666" s="118"/>
      <c r="G666" s="119"/>
      <c r="H666" s="165"/>
      <c r="I666" s="119"/>
      <c r="J666" s="119"/>
      <c r="K666" s="157"/>
    </row>
    <row r="667" spans="1:11" x14ac:dyDescent="0.3">
      <c r="A667" s="127"/>
      <c r="B667" s="109"/>
      <c r="C667" s="161"/>
      <c r="D667" s="161"/>
      <c r="E667" s="161"/>
      <c r="F667" s="118"/>
      <c r="G667" s="119"/>
      <c r="H667" s="165"/>
      <c r="I667" s="119"/>
      <c r="J667" s="119"/>
      <c r="K667" s="157"/>
    </row>
    <row r="668" spans="1:11" x14ac:dyDescent="0.3">
      <c r="A668" s="127"/>
      <c r="B668" s="109"/>
      <c r="C668" s="161"/>
      <c r="D668" s="161"/>
      <c r="E668" s="161"/>
      <c r="F668" s="118"/>
      <c r="G668" s="119"/>
      <c r="H668" s="165"/>
      <c r="I668" s="119"/>
      <c r="J668" s="119"/>
      <c r="K668" s="157"/>
    </row>
    <row r="669" spans="1:11" x14ac:dyDescent="0.3">
      <c r="A669" s="127"/>
      <c r="B669" s="109"/>
      <c r="C669" s="161"/>
      <c r="D669" s="161"/>
      <c r="E669" s="161"/>
      <c r="F669" s="118"/>
      <c r="G669" s="119"/>
      <c r="H669" s="165"/>
      <c r="I669" s="119"/>
      <c r="J669" s="119"/>
      <c r="K669" s="157"/>
    </row>
    <row r="670" spans="1:11" x14ac:dyDescent="0.3">
      <c r="A670" s="127"/>
      <c r="B670" s="109"/>
      <c r="C670" s="161"/>
      <c r="D670" s="161"/>
      <c r="E670" s="161"/>
      <c r="F670" s="118"/>
      <c r="G670" s="119"/>
      <c r="H670" s="165"/>
      <c r="I670" s="119"/>
      <c r="J670" s="119"/>
      <c r="K670" s="157"/>
    </row>
    <row r="671" spans="1:11" x14ac:dyDescent="0.3">
      <c r="A671" s="127"/>
      <c r="B671" s="109"/>
      <c r="C671" s="161"/>
      <c r="D671" s="161"/>
      <c r="E671" s="161"/>
      <c r="F671" s="118"/>
      <c r="G671" s="119"/>
      <c r="H671" s="165"/>
      <c r="I671" s="119"/>
      <c r="J671" s="119"/>
      <c r="K671" s="157"/>
    </row>
    <row r="672" spans="1:11" x14ac:dyDescent="0.3">
      <c r="A672" s="127"/>
      <c r="B672" s="109"/>
      <c r="C672" s="161"/>
      <c r="D672" s="161"/>
      <c r="E672" s="161"/>
      <c r="F672" s="118"/>
      <c r="G672" s="119"/>
      <c r="H672" s="165"/>
      <c r="I672" s="119"/>
      <c r="J672" s="119"/>
      <c r="K672" s="157"/>
    </row>
    <row r="673" spans="1:11" x14ac:dyDescent="0.3">
      <c r="A673" s="127"/>
      <c r="B673" s="109"/>
      <c r="C673" s="161"/>
      <c r="D673" s="161"/>
      <c r="E673" s="161"/>
      <c r="F673" s="118"/>
      <c r="G673" s="119"/>
      <c r="H673" s="165"/>
      <c r="I673" s="119"/>
      <c r="J673" s="119"/>
      <c r="K673" s="157"/>
    </row>
    <row r="674" spans="1:11" x14ac:dyDescent="0.3">
      <c r="A674" s="127"/>
      <c r="B674" s="109"/>
      <c r="C674" s="161"/>
      <c r="D674" s="161"/>
      <c r="E674" s="161"/>
      <c r="F674" s="118"/>
      <c r="G674" s="119"/>
      <c r="H674" s="165"/>
      <c r="I674" s="119"/>
      <c r="J674" s="119"/>
      <c r="K674" s="157"/>
    </row>
    <row r="675" spans="1:11" x14ac:dyDescent="0.3">
      <c r="A675" s="127"/>
      <c r="B675" s="109"/>
      <c r="C675" s="161"/>
      <c r="D675" s="161"/>
      <c r="E675" s="161"/>
      <c r="F675" s="118"/>
      <c r="G675" s="119"/>
      <c r="H675" s="165"/>
      <c r="I675" s="119"/>
      <c r="J675" s="119"/>
      <c r="K675" s="157"/>
    </row>
    <row r="676" spans="1:11" x14ac:dyDescent="0.3">
      <c r="A676" s="127"/>
      <c r="B676" s="109"/>
      <c r="C676" s="161"/>
      <c r="D676" s="161"/>
      <c r="E676" s="161"/>
      <c r="F676" s="118"/>
      <c r="G676" s="119"/>
      <c r="H676" s="165"/>
      <c r="I676" s="119"/>
      <c r="J676" s="119"/>
      <c r="K676" s="157"/>
    </row>
    <row r="677" spans="1:11" x14ac:dyDescent="0.3">
      <c r="A677" s="127"/>
      <c r="B677" s="109"/>
      <c r="C677" s="161"/>
      <c r="D677" s="161"/>
      <c r="E677" s="161"/>
      <c r="F677" s="118"/>
      <c r="G677" s="119"/>
      <c r="H677" s="165"/>
      <c r="I677" s="119"/>
      <c r="J677" s="119"/>
      <c r="K677" s="157"/>
    </row>
    <row r="678" spans="1:11" x14ac:dyDescent="0.3">
      <c r="A678" s="127"/>
      <c r="B678" s="109"/>
      <c r="C678" s="161"/>
      <c r="D678" s="161"/>
      <c r="E678" s="161"/>
      <c r="F678" s="118"/>
      <c r="G678" s="119"/>
      <c r="H678" s="165"/>
      <c r="I678" s="119"/>
      <c r="J678" s="119"/>
      <c r="K678" s="157"/>
    </row>
    <row r="679" spans="1:11" x14ac:dyDescent="0.3">
      <c r="A679" s="127"/>
      <c r="B679" s="109"/>
      <c r="C679" s="161"/>
      <c r="D679" s="161"/>
      <c r="E679" s="161"/>
      <c r="F679" s="118"/>
      <c r="G679" s="119"/>
      <c r="H679" s="165"/>
      <c r="I679" s="119"/>
      <c r="J679" s="119"/>
      <c r="K679" s="157"/>
    </row>
    <row r="680" spans="1:11" x14ac:dyDescent="0.3">
      <c r="A680" s="127"/>
      <c r="B680" s="109"/>
      <c r="C680" s="161"/>
      <c r="D680" s="161"/>
      <c r="E680" s="161"/>
      <c r="F680" s="118"/>
      <c r="G680" s="119"/>
      <c r="H680" s="165"/>
      <c r="I680" s="119"/>
      <c r="J680" s="119"/>
      <c r="K680" s="157"/>
    </row>
    <row r="681" spans="1:11" x14ac:dyDescent="0.3">
      <c r="A681" s="127"/>
      <c r="B681" s="109"/>
      <c r="C681" s="161"/>
      <c r="D681" s="161"/>
      <c r="E681" s="161"/>
      <c r="F681" s="118"/>
      <c r="G681" s="119"/>
      <c r="H681" s="165"/>
      <c r="I681" s="119"/>
      <c r="J681" s="119"/>
      <c r="K681" s="157"/>
    </row>
    <row r="682" spans="1:11" x14ac:dyDescent="0.3">
      <c r="A682" s="127"/>
      <c r="B682" s="109"/>
      <c r="C682" s="161"/>
      <c r="D682" s="161"/>
      <c r="E682" s="161"/>
      <c r="F682" s="118"/>
      <c r="G682" s="119"/>
      <c r="H682" s="165"/>
      <c r="I682" s="119"/>
      <c r="J682" s="119"/>
      <c r="K682" s="157"/>
    </row>
    <row r="683" spans="1:11" x14ac:dyDescent="0.3">
      <c r="A683" s="127"/>
      <c r="B683" s="109"/>
      <c r="C683" s="161"/>
      <c r="D683" s="161"/>
      <c r="E683" s="161"/>
      <c r="F683" s="118"/>
      <c r="G683" s="119"/>
      <c r="H683" s="165"/>
      <c r="I683" s="119"/>
      <c r="J683" s="119"/>
      <c r="K683" s="157"/>
    </row>
    <row r="684" spans="1:11" x14ac:dyDescent="0.3">
      <c r="A684" s="127"/>
      <c r="B684" s="109"/>
      <c r="C684" s="161"/>
      <c r="D684" s="161"/>
      <c r="E684" s="161"/>
      <c r="F684" s="118"/>
      <c r="G684" s="119"/>
      <c r="H684" s="165"/>
      <c r="I684" s="119"/>
      <c r="J684" s="119"/>
      <c r="K684" s="157"/>
    </row>
    <row r="685" spans="1:11" x14ac:dyDescent="0.3">
      <c r="A685" s="127"/>
      <c r="B685" s="109"/>
      <c r="C685" s="161"/>
      <c r="D685" s="161"/>
      <c r="E685" s="161"/>
      <c r="F685" s="118"/>
      <c r="G685" s="119"/>
      <c r="H685" s="165"/>
      <c r="I685" s="119"/>
      <c r="J685" s="119"/>
      <c r="K685" s="157"/>
    </row>
    <row r="686" spans="1:11" x14ac:dyDescent="0.3">
      <c r="A686" s="127"/>
      <c r="B686" s="109"/>
      <c r="C686" s="161"/>
      <c r="D686" s="161"/>
      <c r="E686" s="161"/>
      <c r="F686" s="118"/>
      <c r="G686" s="119"/>
      <c r="H686" s="165"/>
      <c r="I686" s="119"/>
      <c r="J686" s="119"/>
      <c r="K686" s="157"/>
    </row>
    <row r="687" spans="1:11" x14ac:dyDescent="0.3">
      <c r="A687" s="127"/>
      <c r="B687" s="109"/>
      <c r="C687" s="161"/>
      <c r="D687" s="161"/>
      <c r="E687" s="161"/>
      <c r="F687" s="118"/>
      <c r="G687" s="119"/>
      <c r="H687" s="165"/>
      <c r="I687" s="119"/>
      <c r="J687" s="119"/>
      <c r="K687" s="157"/>
    </row>
    <row r="688" spans="1:11" x14ac:dyDescent="0.3">
      <c r="A688" s="127"/>
      <c r="B688" s="109"/>
      <c r="C688" s="161"/>
      <c r="D688" s="161"/>
      <c r="E688" s="161"/>
      <c r="F688" s="118"/>
      <c r="G688" s="119"/>
      <c r="H688" s="165"/>
      <c r="I688" s="119"/>
      <c r="J688" s="119"/>
      <c r="K688" s="157"/>
    </row>
    <row r="689" spans="1:11" x14ac:dyDescent="0.3">
      <c r="A689" s="127"/>
      <c r="B689" s="109"/>
      <c r="C689" s="161"/>
      <c r="D689" s="161"/>
      <c r="E689" s="161"/>
      <c r="F689" s="118"/>
      <c r="G689" s="119"/>
      <c r="H689" s="165"/>
      <c r="I689" s="119"/>
      <c r="J689" s="119"/>
      <c r="K689" s="157"/>
    </row>
    <row r="690" spans="1:11" x14ac:dyDescent="0.3">
      <c r="A690" s="127"/>
      <c r="B690" s="109"/>
      <c r="C690" s="161"/>
      <c r="D690" s="161"/>
      <c r="E690" s="161"/>
      <c r="F690" s="118"/>
      <c r="G690" s="119"/>
      <c r="H690" s="165"/>
      <c r="I690" s="119"/>
      <c r="J690" s="119"/>
      <c r="K690" s="157"/>
    </row>
    <row r="691" spans="1:11" x14ac:dyDescent="0.3">
      <c r="A691" s="127"/>
      <c r="B691" s="109"/>
      <c r="C691" s="161"/>
      <c r="D691" s="161"/>
      <c r="E691" s="161"/>
      <c r="F691" s="118"/>
      <c r="G691" s="119"/>
      <c r="H691" s="165"/>
      <c r="I691" s="119"/>
      <c r="J691" s="119"/>
      <c r="K691" s="157"/>
    </row>
    <row r="692" spans="1:11" x14ac:dyDescent="0.3">
      <c r="A692" s="127"/>
      <c r="B692" s="109"/>
      <c r="C692" s="161"/>
      <c r="D692" s="161"/>
      <c r="E692" s="161"/>
      <c r="F692" s="118"/>
      <c r="G692" s="119"/>
      <c r="H692" s="165"/>
      <c r="I692" s="119"/>
      <c r="J692" s="119"/>
      <c r="K692" s="157"/>
    </row>
    <row r="693" spans="1:11" x14ac:dyDescent="0.3">
      <c r="A693" s="127"/>
      <c r="B693" s="109"/>
      <c r="C693" s="161"/>
      <c r="D693" s="161"/>
      <c r="E693" s="161"/>
      <c r="F693" s="118"/>
      <c r="G693" s="119"/>
      <c r="H693" s="165"/>
      <c r="I693" s="119"/>
      <c r="J693" s="119"/>
      <c r="K693" s="157"/>
    </row>
    <row r="694" spans="1:11" x14ac:dyDescent="0.3">
      <c r="A694" s="127"/>
      <c r="B694" s="109"/>
      <c r="C694" s="161"/>
      <c r="D694" s="161"/>
      <c r="E694" s="161"/>
      <c r="F694" s="118"/>
      <c r="G694" s="119"/>
      <c r="H694" s="165"/>
      <c r="I694" s="119"/>
      <c r="J694" s="119"/>
      <c r="K694" s="157"/>
    </row>
    <row r="695" spans="1:11" x14ac:dyDescent="0.3">
      <c r="A695" s="127"/>
      <c r="B695" s="109"/>
      <c r="C695" s="161"/>
      <c r="D695" s="161"/>
      <c r="E695" s="161"/>
      <c r="F695" s="118"/>
      <c r="G695" s="119"/>
      <c r="H695" s="165"/>
      <c r="I695" s="119"/>
      <c r="J695" s="119"/>
      <c r="K695" s="157"/>
    </row>
    <row r="696" spans="1:11" x14ac:dyDescent="0.3">
      <c r="A696" s="127"/>
      <c r="B696" s="109"/>
      <c r="C696" s="161"/>
      <c r="D696" s="161"/>
      <c r="E696" s="161"/>
      <c r="F696" s="118"/>
      <c r="G696" s="119"/>
      <c r="H696" s="165"/>
      <c r="I696" s="119"/>
      <c r="J696" s="119"/>
      <c r="K696" s="157"/>
    </row>
    <row r="697" spans="1:11" x14ac:dyDescent="0.3">
      <c r="A697" s="127"/>
      <c r="B697" s="109"/>
      <c r="C697" s="161"/>
      <c r="D697" s="161"/>
      <c r="E697" s="161"/>
      <c r="F697" s="118"/>
      <c r="G697" s="119"/>
      <c r="H697" s="165"/>
      <c r="I697" s="119"/>
      <c r="J697" s="119"/>
      <c r="K697" s="157"/>
    </row>
    <row r="698" spans="1:11" x14ac:dyDescent="0.3">
      <c r="A698" s="127"/>
      <c r="B698" s="109"/>
      <c r="C698" s="161"/>
      <c r="D698" s="161"/>
      <c r="E698" s="161"/>
      <c r="F698" s="118"/>
      <c r="G698" s="119"/>
      <c r="H698" s="165"/>
      <c r="I698" s="119"/>
      <c r="J698" s="119"/>
      <c r="K698" s="157"/>
    </row>
    <row r="699" spans="1:11" x14ac:dyDescent="0.3">
      <c r="A699" s="127"/>
      <c r="B699" s="109"/>
      <c r="C699" s="161"/>
      <c r="D699" s="161"/>
      <c r="E699" s="161"/>
      <c r="F699" s="118"/>
      <c r="G699" s="119"/>
      <c r="H699" s="165"/>
      <c r="I699" s="119"/>
      <c r="J699" s="119"/>
      <c r="K699" s="157"/>
    </row>
    <row r="700" spans="1:11" x14ac:dyDescent="0.3">
      <c r="A700" s="127"/>
      <c r="B700" s="109"/>
      <c r="C700" s="161"/>
      <c r="D700" s="161"/>
      <c r="E700" s="161"/>
      <c r="F700" s="118"/>
      <c r="G700" s="119"/>
      <c r="H700" s="165"/>
      <c r="I700" s="119"/>
      <c r="J700" s="119"/>
      <c r="K700" s="157"/>
    </row>
    <row r="701" spans="1:11" x14ac:dyDescent="0.3">
      <c r="A701" s="127"/>
      <c r="B701" s="109"/>
      <c r="C701" s="161"/>
      <c r="D701" s="161"/>
      <c r="E701" s="161"/>
      <c r="F701" s="118"/>
      <c r="G701" s="119"/>
      <c r="H701" s="165"/>
      <c r="I701" s="119"/>
      <c r="J701" s="119"/>
      <c r="K701" s="157"/>
    </row>
    <row r="702" spans="1:11" x14ac:dyDescent="0.3">
      <c r="A702" s="127"/>
      <c r="B702" s="109"/>
      <c r="C702" s="161"/>
      <c r="D702" s="161"/>
      <c r="E702" s="161"/>
      <c r="F702" s="118"/>
      <c r="G702" s="119"/>
      <c r="H702" s="165"/>
      <c r="I702" s="119"/>
      <c r="J702" s="119"/>
      <c r="K702" s="157"/>
    </row>
    <row r="703" spans="1:11" x14ac:dyDescent="0.3">
      <c r="A703" s="127"/>
      <c r="B703" s="109"/>
      <c r="C703" s="161"/>
      <c r="D703" s="161"/>
      <c r="E703" s="161"/>
      <c r="F703" s="118"/>
      <c r="G703" s="119"/>
      <c r="H703" s="165"/>
      <c r="I703" s="119"/>
      <c r="J703" s="119"/>
      <c r="K703" s="157"/>
    </row>
    <row r="704" spans="1:11" x14ac:dyDescent="0.3">
      <c r="A704" s="127"/>
      <c r="B704" s="109"/>
      <c r="C704" s="161"/>
      <c r="D704" s="161"/>
      <c r="E704" s="161"/>
      <c r="F704" s="118"/>
      <c r="G704" s="119"/>
      <c r="H704" s="165"/>
      <c r="I704" s="119"/>
      <c r="J704" s="119"/>
      <c r="K704" s="157"/>
    </row>
    <row r="705" spans="1:11" x14ac:dyDescent="0.3">
      <c r="A705" s="127"/>
      <c r="B705" s="109"/>
      <c r="C705" s="161"/>
      <c r="D705" s="161"/>
      <c r="E705" s="161"/>
      <c r="F705" s="118"/>
      <c r="G705" s="119"/>
      <c r="H705" s="165"/>
      <c r="I705" s="119"/>
      <c r="J705" s="119"/>
      <c r="K705" s="157"/>
    </row>
    <row r="706" spans="1:11" x14ac:dyDescent="0.3">
      <c r="A706" s="127"/>
      <c r="B706" s="109"/>
      <c r="C706" s="161"/>
      <c r="D706" s="161"/>
      <c r="E706" s="161"/>
      <c r="F706" s="118"/>
      <c r="G706" s="119"/>
      <c r="H706" s="165"/>
      <c r="I706" s="119"/>
      <c r="J706" s="119"/>
      <c r="K706" s="157"/>
    </row>
    <row r="707" spans="1:11" x14ac:dyDescent="0.3">
      <c r="A707" s="127"/>
      <c r="B707" s="109"/>
      <c r="C707" s="161"/>
      <c r="D707" s="161"/>
      <c r="E707" s="161"/>
      <c r="F707" s="118"/>
      <c r="G707" s="119"/>
      <c r="H707" s="165"/>
      <c r="I707" s="119"/>
      <c r="J707" s="119"/>
      <c r="K707" s="157"/>
    </row>
    <row r="708" spans="1:11" x14ac:dyDescent="0.3">
      <c r="A708" s="127"/>
      <c r="B708" s="109"/>
      <c r="C708" s="161"/>
      <c r="D708" s="161"/>
      <c r="E708" s="161"/>
      <c r="F708" s="118"/>
      <c r="G708" s="119"/>
      <c r="H708" s="165"/>
      <c r="I708" s="119"/>
      <c r="J708" s="119"/>
      <c r="K708" s="157"/>
    </row>
    <row r="709" spans="1:11" x14ac:dyDescent="0.3">
      <c r="A709" s="127"/>
      <c r="B709" s="109"/>
      <c r="C709" s="161"/>
      <c r="D709" s="161"/>
      <c r="E709" s="161"/>
      <c r="F709" s="118"/>
      <c r="G709" s="119"/>
      <c r="H709" s="165"/>
      <c r="I709" s="119"/>
      <c r="J709" s="119"/>
      <c r="K709" s="157"/>
    </row>
    <row r="710" spans="1:11" x14ac:dyDescent="0.3">
      <c r="A710" s="127"/>
      <c r="B710" s="109"/>
      <c r="C710" s="161"/>
      <c r="D710" s="161"/>
      <c r="E710" s="161"/>
      <c r="F710" s="118"/>
      <c r="G710" s="119"/>
      <c r="H710" s="165"/>
      <c r="I710" s="119"/>
      <c r="J710" s="119"/>
      <c r="K710" s="157"/>
    </row>
    <row r="711" spans="1:11" x14ac:dyDescent="0.3">
      <c r="A711" s="127"/>
      <c r="B711" s="109"/>
      <c r="C711" s="161"/>
      <c r="D711" s="161"/>
      <c r="E711" s="161"/>
      <c r="F711" s="118"/>
      <c r="G711" s="119"/>
      <c r="H711" s="165"/>
      <c r="I711" s="119"/>
      <c r="J711" s="119"/>
      <c r="K711" s="157"/>
    </row>
    <row r="712" spans="1:11" x14ac:dyDescent="0.3">
      <c r="A712" s="127"/>
      <c r="B712" s="109"/>
      <c r="C712" s="161"/>
      <c r="D712" s="161"/>
      <c r="E712" s="161"/>
      <c r="F712" s="118"/>
      <c r="G712" s="119"/>
      <c r="H712" s="165"/>
      <c r="I712" s="119"/>
      <c r="J712" s="119"/>
      <c r="K712" s="157"/>
    </row>
    <row r="713" spans="1:11" x14ac:dyDescent="0.3">
      <c r="A713" s="127"/>
      <c r="B713" s="109"/>
      <c r="C713" s="161"/>
      <c r="D713" s="161"/>
      <c r="E713" s="161"/>
      <c r="F713" s="118"/>
      <c r="G713" s="119"/>
      <c r="H713" s="165"/>
      <c r="I713" s="119"/>
      <c r="J713" s="119"/>
      <c r="K713" s="157"/>
    </row>
    <row r="714" spans="1:11" x14ac:dyDescent="0.3">
      <c r="A714" s="127"/>
      <c r="B714" s="109"/>
      <c r="C714" s="161"/>
      <c r="D714" s="161"/>
      <c r="E714" s="161"/>
      <c r="F714" s="118"/>
      <c r="G714" s="119"/>
      <c r="H714" s="165"/>
      <c r="I714" s="119"/>
      <c r="J714" s="119"/>
      <c r="K714" s="157"/>
    </row>
    <row r="715" spans="1:11" x14ac:dyDescent="0.3">
      <c r="A715" s="127"/>
      <c r="B715" s="109"/>
      <c r="C715" s="161"/>
      <c r="D715" s="161"/>
      <c r="E715" s="161"/>
      <c r="F715" s="118"/>
      <c r="G715" s="119"/>
      <c r="H715" s="165"/>
      <c r="I715" s="119"/>
      <c r="J715" s="119"/>
      <c r="K715" s="157"/>
    </row>
    <row r="716" spans="1:11" x14ac:dyDescent="0.3">
      <c r="A716" s="127"/>
      <c r="B716" s="109"/>
      <c r="C716" s="161"/>
      <c r="D716" s="161"/>
      <c r="E716" s="161"/>
      <c r="F716" s="118"/>
      <c r="G716" s="119"/>
      <c r="H716" s="165"/>
      <c r="I716" s="119"/>
      <c r="J716" s="119"/>
      <c r="K716" s="157"/>
    </row>
    <row r="717" spans="1:11" x14ac:dyDescent="0.3">
      <c r="A717" s="127"/>
      <c r="B717" s="109"/>
      <c r="C717" s="161"/>
      <c r="D717" s="161"/>
      <c r="E717" s="161"/>
      <c r="F717" s="118"/>
      <c r="G717" s="119"/>
      <c r="H717" s="165"/>
      <c r="I717" s="119"/>
      <c r="J717" s="119"/>
      <c r="K717" s="157"/>
    </row>
    <row r="718" spans="1:11" x14ac:dyDescent="0.3">
      <c r="A718" s="127"/>
      <c r="B718" s="109"/>
      <c r="C718" s="161"/>
      <c r="D718" s="161"/>
      <c r="E718" s="161"/>
      <c r="F718" s="118"/>
      <c r="G718" s="119"/>
      <c r="H718" s="165"/>
      <c r="I718" s="119"/>
      <c r="J718" s="119"/>
      <c r="K718" s="157"/>
    </row>
    <row r="719" spans="1:11" x14ac:dyDescent="0.3">
      <c r="A719" s="127"/>
      <c r="B719" s="109"/>
      <c r="C719" s="161"/>
      <c r="D719" s="161"/>
      <c r="E719" s="161"/>
      <c r="F719" s="118"/>
      <c r="G719" s="119"/>
      <c r="H719" s="165"/>
      <c r="I719" s="119"/>
      <c r="J719" s="119"/>
      <c r="K719" s="157"/>
    </row>
    <row r="720" spans="1:11" x14ac:dyDescent="0.3">
      <c r="A720" s="127"/>
      <c r="B720" s="109"/>
      <c r="C720" s="161"/>
      <c r="D720" s="161"/>
      <c r="E720" s="161"/>
      <c r="F720" s="118"/>
      <c r="G720" s="119"/>
      <c r="H720" s="165"/>
      <c r="I720" s="119"/>
      <c r="J720" s="119"/>
      <c r="K720" s="157"/>
    </row>
    <row r="721" spans="1:11" x14ac:dyDescent="0.3">
      <c r="A721" s="127"/>
      <c r="B721" s="109"/>
      <c r="C721" s="161"/>
      <c r="D721" s="161"/>
      <c r="E721" s="161"/>
      <c r="F721" s="118"/>
      <c r="G721" s="119"/>
      <c r="H721" s="165"/>
      <c r="I721" s="119"/>
      <c r="J721" s="119"/>
      <c r="K721" s="157"/>
    </row>
    <row r="722" spans="1:11" x14ac:dyDescent="0.3">
      <c r="A722" s="127"/>
      <c r="B722" s="109"/>
      <c r="C722" s="161"/>
      <c r="D722" s="161"/>
      <c r="E722" s="161"/>
      <c r="F722" s="118"/>
      <c r="G722" s="119"/>
      <c r="H722" s="165"/>
      <c r="I722" s="119"/>
      <c r="J722" s="119"/>
      <c r="K722" s="157"/>
    </row>
    <row r="723" spans="1:11" x14ac:dyDescent="0.3">
      <c r="A723" s="127"/>
      <c r="B723" s="109"/>
      <c r="C723" s="161"/>
      <c r="D723" s="161"/>
      <c r="E723" s="161"/>
      <c r="F723" s="118"/>
      <c r="G723" s="119"/>
      <c r="H723" s="165"/>
      <c r="I723" s="119"/>
      <c r="J723" s="119"/>
      <c r="K723" s="157"/>
    </row>
    <row r="724" spans="1:11" x14ac:dyDescent="0.3">
      <c r="A724" s="127"/>
      <c r="B724" s="109"/>
      <c r="C724" s="161"/>
      <c r="D724" s="161"/>
      <c r="E724" s="161"/>
      <c r="F724" s="118"/>
      <c r="G724" s="119"/>
      <c r="H724" s="165"/>
      <c r="I724" s="119"/>
      <c r="J724" s="119"/>
      <c r="K724" s="157"/>
    </row>
    <row r="725" spans="1:11" x14ac:dyDescent="0.3">
      <c r="A725" s="127"/>
      <c r="B725" s="109"/>
      <c r="C725" s="161"/>
      <c r="D725" s="161"/>
      <c r="E725" s="161"/>
      <c r="F725" s="118"/>
      <c r="G725" s="119"/>
      <c r="H725" s="165"/>
      <c r="I725" s="119"/>
      <c r="J725" s="119"/>
      <c r="K725" s="157"/>
    </row>
    <row r="726" spans="1:11" x14ac:dyDescent="0.3">
      <c r="A726" s="127"/>
      <c r="B726" s="109"/>
      <c r="C726" s="161"/>
      <c r="D726" s="161"/>
      <c r="E726" s="161"/>
      <c r="F726" s="118"/>
      <c r="G726" s="119"/>
      <c r="H726" s="165"/>
      <c r="I726" s="119"/>
      <c r="J726" s="119"/>
      <c r="K726" s="157"/>
    </row>
    <row r="727" spans="1:11" x14ac:dyDescent="0.3">
      <c r="A727" s="127"/>
      <c r="B727" s="109"/>
      <c r="C727" s="161"/>
      <c r="D727" s="161"/>
      <c r="E727" s="161"/>
      <c r="F727" s="118"/>
      <c r="G727" s="119"/>
      <c r="H727" s="165"/>
      <c r="I727" s="119"/>
      <c r="J727" s="119"/>
      <c r="K727" s="157"/>
    </row>
    <row r="728" spans="1:11" x14ac:dyDescent="0.3">
      <c r="A728" s="127"/>
      <c r="B728" s="109"/>
      <c r="C728" s="161"/>
      <c r="D728" s="161"/>
      <c r="E728" s="161"/>
      <c r="F728" s="118"/>
      <c r="G728" s="119"/>
      <c r="H728" s="165"/>
      <c r="I728" s="119"/>
      <c r="J728" s="119"/>
      <c r="K728" s="157"/>
    </row>
    <row r="729" spans="1:11" x14ac:dyDescent="0.3">
      <c r="A729" s="127"/>
      <c r="B729" s="109"/>
      <c r="C729" s="161"/>
      <c r="D729" s="161"/>
      <c r="E729" s="161"/>
      <c r="F729" s="118"/>
      <c r="G729" s="119"/>
      <c r="H729" s="165"/>
      <c r="I729" s="119"/>
      <c r="J729" s="119"/>
      <c r="K729" s="157"/>
    </row>
    <row r="730" spans="1:11" x14ac:dyDescent="0.3">
      <c r="A730" s="127"/>
      <c r="B730" s="109"/>
      <c r="C730" s="161"/>
      <c r="D730" s="161"/>
      <c r="E730" s="161"/>
      <c r="F730" s="118"/>
      <c r="G730" s="119"/>
      <c r="H730" s="165"/>
      <c r="I730" s="119"/>
      <c r="J730" s="119"/>
      <c r="K730" s="157"/>
    </row>
    <row r="731" spans="1:11" x14ac:dyDescent="0.3">
      <c r="A731" s="127"/>
      <c r="B731" s="109"/>
      <c r="C731" s="161"/>
      <c r="D731" s="161"/>
      <c r="E731" s="161"/>
      <c r="F731" s="118"/>
      <c r="G731" s="119"/>
      <c r="H731" s="165"/>
      <c r="I731" s="119"/>
      <c r="J731" s="119"/>
      <c r="K731" s="157"/>
    </row>
    <row r="732" spans="1:11" x14ac:dyDescent="0.3">
      <c r="A732" s="127"/>
      <c r="B732" s="109"/>
      <c r="C732" s="161"/>
      <c r="D732" s="161"/>
      <c r="E732" s="161"/>
      <c r="F732" s="118"/>
      <c r="G732" s="119"/>
      <c r="H732" s="165"/>
      <c r="I732" s="119"/>
      <c r="J732" s="119"/>
      <c r="K732" s="157"/>
    </row>
    <row r="733" spans="1:11" x14ac:dyDescent="0.3">
      <c r="A733" s="127"/>
      <c r="B733" s="109"/>
      <c r="C733" s="161"/>
      <c r="D733" s="161"/>
      <c r="E733" s="161"/>
      <c r="F733" s="118"/>
      <c r="G733" s="119"/>
      <c r="H733" s="165"/>
      <c r="I733" s="119"/>
      <c r="J733" s="119"/>
      <c r="K733" s="157"/>
    </row>
    <row r="734" spans="1:11" x14ac:dyDescent="0.3">
      <c r="A734" s="127"/>
      <c r="B734" s="109"/>
      <c r="C734" s="161"/>
      <c r="D734" s="161"/>
      <c r="E734" s="161"/>
      <c r="F734" s="118"/>
      <c r="G734" s="119"/>
      <c r="H734" s="165"/>
      <c r="I734" s="119"/>
      <c r="J734" s="119"/>
      <c r="K734" s="157"/>
    </row>
    <row r="735" spans="1:11" x14ac:dyDescent="0.3">
      <c r="A735" s="127"/>
      <c r="B735" s="109"/>
      <c r="C735" s="161"/>
      <c r="D735" s="161"/>
      <c r="E735" s="161"/>
      <c r="F735" s="118"/>
      <c r="G735" s="119"/>
      <c r="H735" s="165"/>
      <c r="I735" s="119"/>
      <c r="J735" s="119"/>
      <c r="K735" s="157"/>
    </row>
    <row r="736" spans="1:11" x14ac:dyDescent="0.3">
      <c r="A736" s="127"/>
      <c r="B736" s="109"/>
      <c r="C736" s="161"/>
      <c r="D736" s="161"/>
      <c r="E736" s="161"/>
      <c r="F736" s="118"/>
      <c r="G736" s="119"/>
      <c r="H736" s="165"/>
      <c r="I736" s="119"/>
      <c r="J736" s="119"/>
      <c r="K736" s="157"/>
    </row>
    <row r="737" spans="1:11" x14ac:dyDescent="0.3">
      <c r="A737" s="127"/>
      <c r="B737" s="109"/>
      <c r="C737" s="161"/>
      <c r="D737" s="161"/>
      <c r="E737" s="161"/>
      <c r="F737" s="118"/>
      <c r="G737" s="119"/>
      <c r="H737" s="165"/>
      <c r="I737" s="119"/>
      <c r="J737" s="119"/>
      <c r="K737" s="157"/>
    </row>
    <row r="738" spans="1:11" x14ac:dyDescent="0.3">
      <c r="A738" s="127"/>
      <c r="B738" s="109"/>
      <c r="C738" s="161"/>
      <c r="D738" s="161"/>
      <c r="E738" s="161"/>
      <c r="F738" s="118"/>
      <c r="G738" s="119"/>
      <c r="H738" s="165"/>
      <c r="I738" s="119"/>
      <c r="J738" s="119"/>
      <c r="K738" s="157"/>
    </row>
    <row r="739" spans="1:11" x14ac:dyDescent="0.3">
      <c r="A739" s="127"/>
      <c r="B739" s="109"/>
      <c r="C739" s="161"/>
      <c r="D739" s="161"/>
      <c r="E739" s="161"/>
      <c r="F739" s="118"/>
      <c r="G739" s="119"/>
      <c r="H739" s="165"/>
      <c r="I739" s="119"/>
      <c r="J739" s="119"/>
      <c r="K739" s="157"/>
    </row>
    <row r="740" spans="1:11" x14ac:dyDescent="0.3">
      <c r="A740" s="127"/>
      <c r="B740" s="109"/>
      <c r="C740" s="161"/>
      <c r="D740" s="161"/>
      <c r="E740" s="161"/>
      <c r="F740" s="118"/>
      <c r="G740" s="119"/>
      <c r="H740" s="165"/>
      <c r="I740" s="119"/>
      <c r="J740" s="119"/>
      <c r="K740" s="157"/>
    </row>
    <row r="741" spans="1:11" x14ac:dyDescent="0.3">
      <c r="A741" s="127"/>
      <c r="B741" s="109"/>
      <c r="C741" s="161"/>
      <c r="D741" s="161"/>
      <c r="E741" s="161"/>
      <c r="F741" s="118"/>
      <c r="G741" s="119"/>
      <c r="H741" s="165"/>
      <c r="I741" s="119"/>
      <c r="J741" s="119"/>
      <c r="K741" s="157"/>
    </row>
    <row r="742" spans="1:11" x14ac:dyDescent="0.3">
      <c r="A742" s="127"/>
      <c r="B742" s="109"/>
      <c r="C742" s="161"/>
      <c r="D742" s="161"/>
      <c r="E742" s="161"/>
      <c r="F742" s="118"/>
      <c r="G742" s="119"/>
      <c r="H742" s="165"/>
      <c r="I742" s="119"/>
      <c r="J742" s="119"/>
      <c r="K742" s="157"/>
    </row>
    <row r="743" spans="1:11" x14ac:dyDescent="0.3">
      <c r="A743" s="127"/>
      <c r="B743" s="109"/>
      <c r="C743" s="161"/>
      <c r="D743" s="161"/>
      <c r="E743" s="161"/>
      <c r="F743" s="118"/>
      <c r="G743" s="119"/>
      <c r="H743" s="165"/>
      <c r="I743" s="119"/>
      <c r="J743" s="119"/>
      <c r="K743" s="157"/>
    </row>
    <row r="744" spans="1:11" x14ac:dyDescent="0.3">
      <c r="A744" s="127"/>
      <c r="B744" s="109"/>
      <c r="C744" s="161"/>
      <c r="D744" s="161"/>
      <c r="E744" s="161"/>
      <c r="F744" s="118"/>
      <c r="G744" s="119"/>
      <c r="H744" s="165"/>
      <c r="I744" s="119"/>
      <c r="J744" s="119"/>
      <c r="K744" s="157"/>
    </row>
    <row r="745" spans="1:11" x14ac:dyDescent="0.3">
      <c r="A745" s="127"/>
      <c r="B745" s="109"/>
      <c r="C745" s="161"/>
      <c r="D745" s="161"/>
      <c r="E745" s="161"/>
      <c r="F745" s="118"/>
      <c r="G745" s="119"/>
      <c r="H745" s="165"/>
      <c r="I745" s="119"/>
      <c r="J745" s="119"/>
      <c r="K745" s="157"/>
    </row>
    <row r="746" spans="1:11" x14ac:dyDescent="0.3">
      <c r="A746" s="127"/>
      <c r="B746" s="109"/>
      <c r="C746" s="161"/>
      <c r="D746" s="161"/>
      <c r="E746" s="161"/>
      <c r="F746" s="118"/>
      <c r="G746" s="119"/>
      <c r="H746" s="165"/>
      <c r="I746" s="119"/>
      <c r="J746" s="119"/>
      <c r="K746" s="157"/>
    </row>
    <row r="747" spans="1:11" x14ac:dyDescent="0.3">
      <c r="A747" s="127"/>
      <c r="B747" s="109"/>
      <c r="C747" s="161"/>
      <c r="D747" s="161"/>
      <c r="E747" s="161"/>
      <c r="F747" s="118"/>
      <c r="G747" s="119"/>
      <c r="H747" s="165"/>
      <c r="I747" s="119"/>
      <c r="J747" s="119"/>
      <c r="K747" s="157"/>
    </row>
    <row r="748" spans="1:11" x14ac:dyDescent="0.3">
      <c r="A748" s="127"/>
      <c r="B748" s="109"/>
      <c r="C748" s="161"/>
      <c r="D748" s="161"/>
      <c r="E748" s="161"/>
      <c r="F748" s="118"/>
      <c r="G748" s="119"/>
      <c r="H748" s="165"/>
      <c r="I748" s="119"/>
      <c r="J748" s="119"/>
      <c r="K748" s="157"/>
    </row>
    <row r="749" spans="1:11" x14ac:dyDescent="0.3">
      <c r="A749" s="127"/>
      <c r="B749" s="109"/>
      <c r="C749" s="161"/>
      <c r="D749" s="161"/>
      <c r="E749" s="161"/>
      <c r="F749" s="118"/>
      <c r="G749" s="119"/>
      <c r="H749" s="165"/>
      <c r="I749" s="119"/>
      <c r="J749" s="119"/>
      <c r="K749" s="157"/>
    </row>
    <row r="750" spans="1:11" x14ac:dyDescent="0.3">
      <c r="A750" s="127"/>
      <c r="B750" s="109"/>
      <c r="C750" s="161"/>
      <c r="D750" s="161"/>
      <c r="E750" s="161"/>
      <c r="F750" s="118"/>
      <c r="G750" s="119"/>
      <c r="H750" s="165"/>
      <c r="I750" s="119"/>
      <c r="J750" s="119"/>
      <c r="K750" s="157"/>
    </row>
    <row r="751" spans="1:11" x14ac:dyDescent="0.3">
      <c r="A751" s="127"/>
      <c r="B751" s="109"/>
      <c r="C751" s="161"/>
      <c r="D751" s="161"/>
      <c r="E751" s="161"/>
      <c r="F751" s="118"/>
      <c r="G751" s="119"/>
      <c r="H751" s="165"/>
      <c r="I751" s="119"/>
      <c r="J751" s="119"/>
      <c r="K751" s="157"/>
    </row>
    <row r="752" spans="1:11" x14ac:dyDescent="0.3">
      <c r="A752" s="127"/>
      <c r="B752" s="109"/>
      <c r="C752" s="161"/>
      <c r="D752" s="161"/>
      <c r="E752" s="161"/>
      <c r="F752" s="118"/>
      <c r="G752" s="119"/>
      <c r="H752" s="165"/>
      <c r="I752" s="119"/>
      <c r="J752" s="119"/>
      <c r="K752" s="157"/>
    </row>
    <row r="753" spans="1:11" x14ac:dyDescent="0.3">
      <c r="A753" s="127"/>
      <c r="B753" s="109"/>
      <c r="C753" s="161"/>
      <c r="D753" s="161"/>
      <c r="E753" s="161"/>
      <c r="F753" s="118"/>
      <c r="G753" s="119"/>
      <c r="H753" s="165"/>
      <c r="I753" s="119"/>
      <c r="J753" s="119"/>
      <c r="K753" s="157"/>
    </row>
    <row r="754" spans="1:11" x14ac:dyDescent="0.3">
      <c r="A754" s="127"/>
      <c r="B754" s="109"/>
      <c r="C754" s="161"/>
      <c r="D754" s="161"/>
      <c r="E754" s="161"/>
      <c r="F754" s="118"/>
      <c r="G754" s="119"/>
      <c r="H754" s="165"/>
      <c r="I754" s="119"/>
      <c r="J754" s="119"/>
      <c r="K754" s="157"/>
    </row>
    <row r="755" spans="1:11" x14ac:dyDescent="0.3">
      <c r="A755" s="127"/>
      <c r="B755" s="109"/>
      <c r="C755" s="161"/>
      <c r="D755" s="161"/>
      <c r="E755" s="161"/>
      <c r="F755" s="118"/>
      <c r="G755" s="119"/>
      <c r="H755" s="165"/>
      <c r="I755" s="119"/>
      <c r="J755" s="119"/>
      <c r="K755" s="157"/>
    </row>
    <row r="756" spans="1:11" x14ac:dyDescent="0.3">
      <c r="A756" s="127"/>
      <c r="B756" s="109"/>
      <c r="C756" s="161"/>
      <c r="D756" s="161"/>
      <c r="E756" s="161"/>
      <c r="F756" s="118"/>
      <c r="G756" s="119"/>
      <c r="H756" s="165"/>
      <c r="I756" s="119"/>
      <c r="J756" s="119"/>
      <c r="K756" s="157"/>
    </row>
    <row r="757" spans="1:11" x14ac:dyDescent="0.3">
      <c r="A757" s="127"/>
      <c r="B757" s="109"/>
      <c r="C757" s="161"/>
      <c r="D757" s="161"/>
      <c r="E757" s="161"/>
      <c r="F757" s="118"/>
      <c r="G757" s="119"/>
      <c r="H757" s="165"/>
      <c r="I757" s="119"/>
      <c r="J757" s="119"/>
      <c r="K757" s="157"/>
    </row>
    <row r="758" spans="1:11" x14ac:dyDescent="0.3">
      <c r="A758" s="127"/>
      <c r="B758" s="109"/>
      <c r="C758" s="161"/>
      <c r="D758" s="161"/>
      <c r="E758" s="161"/>
      <c r="F758" s="118"/>
      <c r="G758" s="119"/>
      <c r="H758" s="165"/>
      <c r="I758" s="119"/>
      <c r="J758" s="119"/>
      <c r="K758" s="157"/>
    </row>
    <row r="759" spans="1:11" x14ac:dyDescent="0.3">
      <c r="A759" s="127"/>
      <c r="B759" s="109"/>
      <c r="C759" s="161"/>
      <c r="D759" s="161"/>
      <c r="E759" s="161"/>
      <c r="F759" s="118"/>
      <c r="G759" s="119"/>
      <c r="H759" s="165"/>
      <c r="I759" s="119"/>
      <c r="J759" s="119"/>
      <c r="K759" s="157"/>
    </row>
    <row r="760" spans="1:11" x14ac:dyDescent="0.3">
      <c r="A760" s="127"/>
      <c r="B760" s="109"/>
      <c r="C760" s="161"/>
      <c r="D760" s="161"/>
      <c r="E760" s="161"/>
      <c r="F760" s="118"/>
      <c r="G760" s="119"/>
      <c r="H760" s="165"/>
      <c r="I760" s="119"/>
      <c r="J760" s="119"/>
      <c r="K760" s="157"/>
    </row>
    <row r="761" spans="1:11" x14ac:dyDescent="0.3">
      <c r="A761" s="127"/>
      <c r="B761" s="109"/>
      <c r="C761" s="161"/>
      <c r="D761" s="161"/>
      <c r="E761" s="161"/>
      <c r="F761" s="118"/>
      <c r="G761" s="119"/>
      <c r="H761" s="165"/>
      <c r="I761" s="119"/>
      <c r="J761" s="119"/>
      <c r="K761" s="157"/>
    </row>
    <row r="762" spans="1:11" x14ac:dyDescent="0.3">
      <c r="A762" s="127"/>
      <c r="B762" s="109"/>
      <c r="C762" s="161"/>
      <c r="D762" s="161"/>
      <c r="E762" s="161"/>
      <c r="F762" s="118"/>
      <c r="G762" s="119"/>
      <c r="H762" s="165"/>
      <c r="I762" s="119"/>
      <c r="J762" s="119"/>
      <c r="K762" s="157"/>
    </row>
    <row r="763" spans="1:11" x14ac:dyDescent="0.3">
      <c r="A763" s="127"/>
      <c r="B763" s="109"/>
      <c r="C763" s="161"/>
      <c r="D763" s="161"/>
      <c r="E763" s="161"/>
      <c r="F763" s="118"/>
      <c r="G763" s="119"/>
      <c r="H763" s="165"/>
      <c r="I763" s="119"/>
      <c r="J763" s="119"/>
      <c r="K763" s="157"/>
    </row>
    <row r="764" spans="1:11" x14ac:dyDescent="0.3">
      <c r="A764" s="127"/>
      <c r="B764" s="109"/>
      <c r="C764" s="161"/>
      <c r="D764" s="161"/>
      <c r="E764" s="161"/>
      <c r="F764" s="118"/>
      <c r="G764" s="119"/>
      <c r="H764" s="165"/>
      <c r="I764" s="119"/>
      <c r="J764" s="119"/>
      <c r="K764" s="157"/>
    </row>
    <row r="765" spans="1:11" x14ac:dyDescent="0.3">
      <c r="A765" s="127"/>
      <c r="B765" s="109"/>
      <c r="C765" s="161"/>
      <c r="D765" s="161"/>
      <c r="E765" s="161"/>
      <c r="F765" s="118"/>
      <c r="G765" s="119"/>
      <c r="H765" s="165"/>
      <c r="I765" s="119"/>
      <c r="J765" s="119"/>
      <c r="K765" s="157"/>
    </row>
    <row r="766" spans="1:11" x14ac:dyDescent="0.3">
      <c r="A766" s="127"/>
      <c r="B766" s="109"/>
      <c r="C766" s="161"/>
      <c r="D766" s="161"/>
      <c r="E766" s="161"/>
      <c r="F766" s="118"/>
      <c r="G766" s="119"/>
      <c r="H766" s="165"/>
      <c r="I766" s="119"/>
      <c r="J766" s="119"/>
      <c r="K766" s="157"/>
    </row>
    <row r="767" spans="1:11" x14ac:dyDescent="0.3">
      <c r="A767" s="127"/>
      <c r="B767" s="109"/>
      <c r="C767" s="161"/>
      <c r="D767" s="161"/>
      <c r="E767" s="161"/>
      <c r="F767" s="118"/>
      <c r="G767" s="119"/>
      <c r="H767" s="165"/>
      <c r="I767" s="119"/>
      <c r="J767" s="119"/>
      <c r="K767" s="157"/>
    </row>
    <row r="768" spans="1:11" x14ac:dyDescent="0.3">
      <c r="A768" s="127"/>
      <c r="B768" s="109"/>
      <c r="C768" s="161"/>
      <c r="D768" s="161"/>
      <c r="E768" s="161"/>
      <c r="F768" s="118"/>
      <c r="G768" s="119"/>
      <c r="H768" s="165"/>
      <c r="I768" s="119"/>
      <c r="J768" s="119"/>
      <c r="K768" s="157"/>
    </row>
    <row r="769" spans="1:11" x14ac:dyDescent="0.3">
      <c r="A769" s="127"/>
      <c r="B769" s="109"/>
      <c r="C769" s="161"/>
      <c r="D769" s="161"/>
      <c r="E769" s="161"/>
      <c r="F769" s="118"/>
      <c r="G769" s="119"/>
      <c r="H769" s="165"/>
      <c r="I769" s="119"/>
      <c r="J769" s="119"/>
      <c r="K769" s="157"/>
    </row>
    <row r="770" spans="1:11" x14ac:dyDescent="0.3">
      <c r="A770" s="127"/>
      <c r="B770" s="109"/>
      <c r="C770" s="161"/>
      <c r="D770" s="161"/>
      <c r="E770" s="161"/>
      <c r="F770" s="118"/>
      <c r="G770" s="119"/>
      <c r="H770" s="165"/>
      <c r="I770" s="119"/>
      <c r="J770" s="119"/>
      <c r="K770" s="157"/>
    </row>
    <row r="771" spans="1:11" x14ac:dyDescent="0.3">
      <c r="A771" s="127"/>
      <c r="B771" s="109"/>
      <c r="C771" s="161"/>
      <c r="D771" s="161"/>
      <c r="E771" s="161"/>
      <c r="F771" s="118"/>
      <c r="G771" s="119"/>
      <c r="H771" s="165"/>
      <c r="I771" s="119"/>
      <c r="J771" s="119"/>
      <c r="K771" s="157"/>
    </row>
    <row r="772" spans="1:11" x14ac:dyDescent="0.3">
      <c r="A772" s="127"/>
      <c r="B772" s="109"/>
      <c r="C772" s="161"/>
      <c r="D772" s="161"/>
      <c r="E772" s="161"/>
      <c r="F772" s="118"/>
      <c r="G772" s="119"/>
      <c r="H772" s="165"/>
      <c r="I772" s="119"/>
      <c r="J772" s="119"/>
      <c r="K772" s="157"/>
    </row>
    <row r="773" spans="1:11" x14ac:dyDescent="0.3">
      <c r="A773" s="127"/>
      <c r="B773" s="109"/>
      <c r="C773" s="161"/>
      <c r="D773" s="161"/>
      <c r="E773" s="161"/>
      <c r="F773" s="118"/>
      <c r="G773" s="119"/>
      <c r="H773" s="165"/>
      <c r="I773" s="119"/>
      <c r="J773" s="119"/>
      <c r="K773" s="157"/>
    </row>
    <row r="774" spans="1:11" x14ac:dyDescent="0.3">
      <c r="A774" s="127"/>
      <c r="B774" s="109"/>
      <c r="C774" s="161"/>
      <c r="D774" s="161"/>
      <c r="E774" s="161"/>
      <c r="F774" s="118"/>
      <c r="G774" s="119"/>
      <c r="H774" s="165"/>
      <c r="I774" s="119"/>
      <c r="J774" s="119"/>
      <c r="K774" s="157"/>
    </row>
    <row r="775" spans="1:11" x14ac:dyDescent="0.3">
      <c r="A775" s="127"/>
      <c r="B775" s="109"/>
      <c r="C775" s="161"/>
      <c r="D775" s="161"/>
      <c r="E775" s="161"/>
      <c r="F775" s="118"/>
      <c r="G775" s="119"/>
      <c r="H775" s="165"/>
      <c r="I775" s="119"/>
      <c r="J775" s="119"/>
      <c r="K775" s="157"/>
    </row>
    <row r="776" spans="1:11" x14ac:dyDescent="0.3">
      <c r="A776" s="127"/>
      <c r="B776" s="109"/>
      <c r="C776" s="161"/>
      <c r="D776" s="161"/>
      <c r="E776" s="161"/>
      <c r="F776" s="118"/>
      <c r="G776" s="119"/>
      <c r="H776" s="165"/>
      <c r="I776" s="119"/>
      <c r="J776" s="119"/>
      <c r="K776" s="157"/>
    </row>
    <row r="777" spans="1:11" x14ac:dyDescent="0.3">
      <c r="A777" s="127"/>
      <c r="B777" s="109"/>
      <c r="C777" s="161"/>
      <c r="D777" s="161"/>
      <c r="E777" s="161"/>
      <c r="F777" s="118"/>
      <c r="G777" s="119"/>
      <c r="H777" s="165"/>
      <c r="I777" s="119"/>
      <c r="J777" s="119"/>
      <c r="K777" s="157"/>
    </row>
    <row r="778" spans="1:11" x14ac:dyDescent="0.3">
      <c r="A778" s="127"/>
      <c r="B778" s="109"/>
      <c r="C778" s="161"/>
      <c r="D778" s="161"/>
      <c r="E778" s="161"/>
      <c r="F778" s="118"/>
      <c r="G778" s="119"/>
      <c r="H778" s="165"/>
      <c r="I778" s="119"/>
      <c r="J778" s="119"/>
      <c r="K778" s="157"/>
    </row>
    <row r="779" spans="1:11" x14ac:dyDescent="0.3">
      <c r="A779" s="127"/>
      <c r="B779" s="109"/>
      <c r="C779" s="161"/>
      <c r="D779" s="161"/>
      <c r="E779" s="161"/>
      <c r="F779" s="118"/>
      <c r="G779" s="119"/>
      <c r="H779" s="165"/>
      <c r="I779" s="119"/>
      <c r="J779" s="119"/>
      <c r="K779" s="157"/>
    </row>
    <row r="780" spans="1:11" x14ac:dyDescent="0.3">
      <c r="A780" s="127"/>
      <c r="B780" s="109"/>
      <c r="C780" s="161"/>
      <c r="D780" s="161"/>
      <c r="E780" s="161"/>
      <c r="F780" s="118"/>
      <c r="G780" s="119"/>
      <c r="H780" s="165"/>
      <c r="I780" s="119"/>
      <c r="J780" s="119"/>
      <c r="K780" s="157"/>
    </row>
    <row r="781" spans="1:11" x14ac:dyDescent="0.3">
      <c r="A781" s="127"/>
      <c r="B781" s="109"/>
      <c r="C781" s="161"/>
      <c r="D781" s="161"/>
      <c r="E781" s="161"/>
      <c r="F781" s="118"/>
      <c r="G781" s="119"/>
      <c r="H781" s="165"/>
      <c r="I781" s="119"/>
      <c r="J781" s="119"/>
      <c r="K781" s="157"/>
    </row>
    <row r="782" spans="1:11" x14ac:dyDescent="0.3">
      <c r="A782" s="127"/>
      <c r="B782" s="109"/>
      <c r="C782" s="161"/>
      <c r="D782" s="161"/>
      <c r="E782" s="161"/>
      <c r="F782" s="118"/>
      <c r="G782" s="119"/>
      <c r="H782" s="165"/>
      <c r="I782" s="119"/>
      <c r="J782" s="119"/>
      <c r="K782" s="157"/>
    </row>
    <row r="783" spans="1:11" x14ac:dyDescent="0.3">
      <c r="A783" s="127"/>
      <c r="B783" s="109"/>
      <c r="C783" s="161"/>
      <c r="D783" s="161"/>
      <c r="E783" s="161"/>
      <c r="F783" s="118"/>
      <c r="G783" s="119"/>
      <c r="H783" s="165"/>
      <c r="I783" s="119"/>
      <c r="J783" s="119"/>
      <c r="K783" s="157"/>
    </row>
    <row r="784" spans="1:11" x14ac:dyDescent="0.3">
      <c r="A784" s="127"/>
      <c r="B784" s="109"/>
      <c r="C784" s="161"/>
      <c r="D784" s="161"/>
      <c r="E784" s="161"/>
      <c r="F784" s="118"/>
      <c r="G784" s="119"/>
      <c r="H784" s="165"/>
      <c r="I784" s="119"/>
      <c r="J784" s="119"/>
      <c r="K784" s="157"/>
    </row>
    <row r="785" spans="1:11" x14ac:dyDescent="0.3">
      <c r="A785" s="127"/>
      <c r="B785" s="109"/>
      <c r="C785" s="161"/>
      <c r="D785" s="161"/>
      <c r="E785" s="161"/>
      <c r="F785" s="118"/>
      <c r="G785" s="119"/>
      <c r="H785" s="165"/>
      <c r="I785" s="119"/>
      <c r="J785" s="119"/>
      <c r="K785" s="157"/>
    </row>
    <row r="786" spans="1:11" x14ac:dyDescent="0.3">
      <c r="A786" s="127"/>
      <c r="B786" s="109"/>
      <c r="C786" s="161"/>
      <c r="D786" s="161"/>
      <c r="E786" s="161"/>
      <c r="F786" s="118"/>
      <c r="G786" s="119"/>
      <c r="H786" s="165"/>
      <c r="I786" s="119"/>
      <c r="J786" s="119"/>
      <c r="K786" s="157"/>
    </row>
    <row r="787" spans="1:11" x14ac:dyDescent="0.3">
      <c r="A787" s="127"/>
      <c r="B787" s="109"/>
      <c r="C787" s="161"/>
      <c r="D787" s="161"/>
      <c r="E787" s="161"/>
      <c r="F787" s="118"/>
      <c r="G787" s="119"/>
      <c r="H787" s="165"/>
      <c r="I787" s="119"/>
      <c r="J787" s="119"/>
      <c r="K787" s="157"/>
    </row>
    <row r="788" spans="1:11" x14ac:dyDescent="0.3">
      <c r="A788" s="127"/>
      <c r="B788" s="109"/>
      <c r="C788" s="161"/>
      <c r="D788" s="161"/>
      <c r="E788" s="161"/>
      <c r="F788" s="118"/>
      <c r="G788" s="119"/>
      <c r="H788" s="165"/>
      <c r="I788" s="119"/>
      <c r="J788" s="119"/>
      <c r="K788" s="157"/>
    </row>
    <row r="789" spans="1:11" x14ac:dyDescent="0.3">
      <c r="A789" s="127"/>
      <c r="B789" s="109"/>
      <c r="C789" s="161"/>
      <c r="D789" s="161"/>
      <c r="E789" s="161"/>
      <c r="F789" s="118"/>
      <c r="G789" s="119"/>
      <c r="H789" s="165"/>
      <c r="I789" s="119"/>
      <c r="J789" s="119"/>
      <c r="K789" s="157"/>
    </row>
    <row r="790" spans="1:11" x14ac:dyDescent="0.3">
      <c r="A790" s="127"/>
      <c r="B790" s="109"/>
      <c r="C790" s="161"/>
      <c r="D790" s="161"/>
      <c r="E790" s="161"/>
      <c r="F790" s="118"/>
      <c r="G790" s="119"/>
      <c r="H790" s="165"/>
      <c r="I790" s="119"/>
      <c r="J790" s="119"/>
      <c r="K790" s="157"/>
    </row>
    <row r="791" spans="1:11" x14ac:dyDescent="0.3">
      <c r="A791" s="127"/>
      <c r="B791" s="109"/>
      <c r="C791" s="161"/>
      <c r="D791" s="161"/>
      <c r="E791" s="161"/>
      <c r="F791" s="118"/>
      <c r="G791" s="119"/>
      <c r="H791" s="165"/>
      <c r="I791" s="119"/>
      <c r="J791" s="119"/>
      <c r="K791" s="157"/>
    </row>
    <row r="792" spans="1:11" x14ac:dyDescent="0.3">
      <c r="A792" s="127"/>
      <c r="B792" s="109"/>
      <c r="C792" s="161"/>
      <c r="D792" s="161"/>
      <c r="E792" s="161"/>
      <c r="F792" s="118"/>
      <c r="G792" s="119"/>
      <c r="H792" s="165"/>
      <c r="I792" s="119"/>
      <c r="J792" s="119"/>
      <c r="K792" s="157"/>
    </row>
    <row r="793" spans="1:11" x14ac:dyDescent="0.3">
      <c r="A793" s="127"/>
      <c r="B793" s="109"/>
      <c r="C793" s="161"/>
      <c r="D793" s="161"/>
      <c r="E793" s="161"/>
      <c r="F793" s="118"/>
      <c r="G793" s="119"/>
      <c r="H793" s="165"/>
      <c r="I793" s="119"/>
      <c r="J793" s="119"/>
      <c r="K793" s="157"/>
    </row>
    <row r="794" spans="1:11" x14ac:dyDescent="0.3">
      <c r="A794" s="127"/>
      <c r="B794" s="109"/>
      <c r="C794" s="161"/>
      <c r="D794" s="161"/>
      <c r="E794" s="161"/>
      <c r="F794" s="118"/>
      <c r="G794" s="119"/>
      <c r="H794" s="165"/>
      <c r="I794" s="119"/>
      <c r="J794" s="119"/>
      <c r="K794" s="157"/>
    </row>
    <row r="795" spans="1:11" x14ac:dyDescent="0.3">
      <c r="A795" s="127"/>
      <c r="B795" s="109"/>
      <c r="C795" s="161"/>
      <c r="D795" s="161"/>
      <c r="E795" s="161"/>
      <c r="F795" s="118"/>
      <c r="G795" s="119"/>
      <c r="H795" s="165"/>
      <c r="I795" s="119"/>
      <c r="J795" s="119"/>
      <c r="K795" s="157"/>
    </row>
    <row r="796" spans="1:11" x14ac:dyDescent="0.3">
      <c r="A796" s="127"/>
      <c r="B796" s="109"/>
      <c r="C796" s="161"/>
      <c r="D796" s="161"/>
      <c r="E796" s="161"/>
      <c r="F796" s="118"/>
      <c r="G796" s="119"/>
      <c r="H796" s="165"/>
      <c r="I796" s="119"/>
      <c r="J796" s="119"/>
      <c r="K796" s="157"/>
    </row>
    <row r="797" spans="1:11" x14ac:dyDescent="0.3">
      <c r="A797" s="127"/>
      <c r="B797" s="109"/>
      <c r="C797" s="161"/>
      <c r="D797" s="161"/>
      <c r="E797" s="161"/>
      <c r="F797" s="118"/>
      <c r="G797" s="119"/>
      <c r="H797" s="165"/>
      <c r="I797" s="119"/>
      <c r="J797" s="119"/>
      <c r="K797" s="157"/>
    </row>
    <row r="798" spans="1:11" x14ac:dyDescent="0.3">
      <c r="A798" s="127"/>
      <c r="B798" s="109"/>
      <c r="C798" s="161"/>
      <c r="D798" s="161"/>
      <c r="E798" s="161"/>
      <c r="F798" s="118"/>
      <c r="G798" s="119"/>
      <c r="H798" s="165"/>
      <c r="I798" s="119"/>
      <c r="J798" s="119"/>
      <c r="K798" s="157"/>
    </row>
    <row r="799" spans="1:11" x14ac:dyDescent="0.3">
      <c r="A799" s="127"/>
      <c r="B799" s="109"/>
      <c r="C799" s="161"/>
      <c r="D799" s="161"/>
      <c r="E799" s="161"/>
      <c r="F799" s="118"/>
      <c r="G799" s="119"/>
      <c r="H799" s="165"/>
      <c r="I799" s="119"/>
      <c r="J799" s="119"/>
      <c r="K799" s="157"/>
    </row>
    <row r="800" spans="1:11" x14ac:dyDescent="0.3">
      <c r="A800" s="127"/>
      <c r="B800" s="109"/>
      <c r="C800" s="161"/>
      <c r="D800" s="161"/>
      <c r="E800" s="161"/>
      <c r="F800" s="118"/>
      <c r="G800" s="119"/>
      <c r="H800" s="165"/>
      <c r="I800" s="119"/>
      <c r="J800" s="119"/>
      <c r="K800" s="157"/>
    </row>
    <row r="801" spans="1:11" x14ac:dyDescent="0.3">
      <c r="A801" s="127"/>
      <c r="B801" s="109"/>
      <c r="C801" s="161"/>
      <c r="D801" s="161"/>
      <c r="E801" s="161"/>
      <c r="F801" s="118"/>
      <c r="G801" s="119"/>
      <c r="H801" s="165"/>
      <c r="I801" s="119"/>
      <c r="J801" s="119"/>
      <c r="K801" s="157"/>
    </row>
    <row r="802" spans="1:11" x14ac:dyDescent="0.3">
      <c r="A802" s="127"/>
      <c r="B802" s="109"/>
      <c r="C802" s="161"/>
      <c r="D802" s="161"/>
      <c r="E802" s="161"/>
      <c r="F802" s="118"/>
      <c r="G802" s="119"/>
      <c r="H802" s="165"/>
      <c r="I802" s="119"/>
      <c r="J802" s="119"/>
      <c r="K802" s="157"/>
    </row>
    <row r="803" spans="1:11" x14ac:dyDescent="0.3">
      <c r="A803" s="127"/>
      <c r="B803" s="109"/>
      <c r="C803" s="161"/>
      <c r="D803" s="161"/>
      <c r="E803" s="161"/>
      <c r="F803" s="118"/>
      <c r="G803" s="119"/>
      <c r="H803" s="165"/>
      <c r="I803" s="119"/>
      <c r="J803" s="119"/>
      <c r="K803" s="157"/>
    </row>
    <row r="804" spans="1:11" x14ac:dyDescent="0.3">
      <c r="A804" s="127"/>
      <c r="B804" s="109"/>
      <c r="C804" s="161"/>
      <c r="D804" s="161"/>
      <c r="E804" s="161"/>
      <c r="F804" s="118"/>
      <c r="G804" s="119"/>
      <c r="H804" s="165"/>
      <c r="I804" s="119"/>
      <c r="J804" s="119"/>
      <c r="K804" s="157"/>
    </row>
    <row r="805" spans="1:11" x14ac:dyDescent="0.3">
      <c r="A805" s="127"/>
      <c r="B805" s="109"/>
      <c r="C805" s="161"/>
      <c r="D805" s="161"/>
      <c r="E805" s="161"/>
      <c r="F805" s="118"/>
      <c r="G805" s="119"/>
      <c r="H805" s="165"/>
      <c r="I805" s="119"/>
      <c r="J805" s="119"/>
      <c r="K805" s="157"/>
    </row>
    <row r="806" spans="1:11" x14ac:dyDescent="0.3">
      <c r="A806" s="127"/>
      <c r="B806" s="109"/>
      <c r="C806" s="161"/>
      <c r="D806" s="161"/>
      <c r="E806" s="161"/>
      <c r="F806" s="118"/>
      <c r="G806" s="119"/>
      <c r="H806" s="165"/>
      <c r="I806" s="119"/>
      <c r="J806" s="119"/>
      <c r="K806" s="157"/>
    </row>
    <row r="807" spans="1:11" x14ac:dyDescent="0.3">
      <c r="A807" s="127"/>
      <c r="B807" s="109"/>
      <c r="C807" s="161"/>
      <c r="D807" s="161"/>
      <c r="E807" s="161"/>
      <c r="F807" s="118"/>
      <c r="G807" s="119"/>
      <c r="H807" s="165"/>
      <c r="I807" s="119"/>
      <c r="J807" s="119"/>
      <c r="K807" s="157"/>
    </row>
    <row r="808" spans="1:11" x14ac:dyDescent="0.3">
      <c r="A808" s="127"/>
      <c r="B808" s="109"/>
      <c r="C808" s="161"/>
      <c r="D808" s="161"/>
      <c r="E808" s="161"/>
      <c r="F808" s="118"/>
      <c r="G808" s="119"/>
      <c r="H808" s="165"/>
      <c r="I808" s="119"/>
      <c r="J808" s="119"/>
      <c r="K808" s="157"/>
    </row>
    <row r="809" spans="1:11" x14ac:dyDescent="0.3">
      <c r="A809" s="127"/>
      <c r="B809" s="109"/>
      <c r="C809" s="161"/>
      <c r="D809" s="161"/>
      <c r="E809" s="161"/>
      <c r="F809" s="118"/>
      <c r="G809" s="119"/>
      <c r="H809" s="165"/>
      <c r="I809" s="119"/>
      <c r="J809" s="119"/>
      <c r="K809" s="157"/>
    </row>
    <row r="810" spans="1:11" x14ac:dyDescent="0.3">
      <c r="A810" s="127"/>
      <c r="B810" s="109"/>
      <c r="C810" s="161"/>
      <c r="D810" s="161"/>
      <c r="E810" s="161"/>
      <c r="F810" s="118"/>
      <c r="G810" s="119"/>
      <c r="H810" s="165"/>
      <c r="I810" s="119"/>
      <c r="J810" s="119"/>
      <c r="K810" s="157"/>
    </row>
    <row r="811" spans="1:11" x14ac:dyDescent="0.3">
      <c r="A811" s="127"/>
      <c r="B811" s="109"/>
      <c r="C811" s="161"/>
      <c r="D811" s="161"/>
      <c r="E811" s="161"/>
      <c r="F811" s="118"/>
      <c r="G811" s="119"/>
      <c r="H811" s="165"/>
      <c r="I811" s="119"/>
      <c r="J811" s="119"/>
      <c r="K811" s="157"/>
    </row>
    <row r="812" spans="1:11" x14ac:dyDescent="0.3">
      <c r="A812" s="127"/>
      <c r="B812" s="109"/>
      <c r="C812" s="161"/>
      <c r="D812" s="161"/>
      <c r="E812" s="161"/>
      <c r="F812" s="118"/>
      <c r="G812" s="119"/>
      <c r="H812" s="165"/>
      <c r="I812" s="119"/>
      <c r="J812" s="119"/>
      <c r="K812" s="157"/>
    </row>
    <row r="813" spans="1:11" x14ac:dyDescent="0.3">
      <c r="A813" s="127"/>
      <c r="B813" s="109"/>
      <c r="C813" s="161"/>
      <c r="D813" s="161"/>
      <c r="E813" s="161"/>
      <c r="F813" s="118"/>
      <c r="G813" s="119"/>
      <c r="H813" s="165"/>
      <c r="I813" s="119"/>
      <c r="J813" s="119"/>
      <c r="K813" s="157"/>
    </row>
    <row r="814" spans="1:11" x14ac:dyDescent="0.3">
      <c r="A814" s="127"/>
      <c r="B814" s="109"/>
      <c r="C814" s="161"/>
      <c r="D814" s="161"/>
      <c r="E814" s="161"/>
      <c r="F814" s="118"/>
      <c r="G814" s="119"/>
      <c r="H814" s="165"/>
      <c r="I814" s="119"/>
      <c r="J814" s="119"/>
      <c r="K814" s="157"/>
    </row>
    <row r="815" spans="1:11" x14ac:dyDescent="0.3">
      <c r="A815" s="127"/>
      <c r="B815" s="109"/>
      <c r="C815" s="161"/>
      <c r="D815" s="161"/>
      <c r="E815" s="161"/>
      <c r="F815" s="118"/>
      <c r="G815" s="119"/>
      <c r="H815" s="165"/>
      <c r="I815" s="119"/>
      <c r="J815" s="119"/>
      <c r="K815" s="157"/>
    </row>
    <row r="816" spans="1:11" x14ac:dyDescent="0.3">
      <c r="A816" s="127"/>
      <c r="B816" s="109"/>
      <c r="C816" s="161"/>
      <c r="D816" s="161"/>
      <c r="E816" s="161"/>
      <c r="F816" s="118"/>
      <c r="G816" s="119"/>
      <c r="H816" s="165"/>
      <c r="I816" s="119"/>
      <c r="J816" s="119"/>
      <c r="K816" s="157"/>
    </row>
    <row r="817" spans="1:11" x14ac:dyDescent="0.3">
      <c r="A817" s="127"/>
      <c r="B817" s="109"/>
      <c r="C817" s="161"/>
      <c r="D817" s="161"/>
      <c r="E817" s="161"/>
      <c r="F817" s="118"/>
      <c r="G817" s="119"/>
      <c r="H817" s="165"/>
      <c r="I817" s="119"/>
      <c r="J817" s="119"/>
      <c r="K817" s="157"/>
    </row>
    <row r="818" spans="1:11" x14ac:dyDescent="0.3">
      <c r="A818" s="127"/>
      <c r="B818" s="109"/>
      <c r="C818" s="161"/>
      <c r="D818" s="161"/>
      <c r="E818" s="161"/>
      <c r="F818" s="118"/>
      <c r="G818" s="119"/>
      <c r="H818" s="165"/>
      <c r="I818" s="119"/>
      <c r="J818" s="119"/>
      <c r="K818" s="157"/>
    </row>
    <row r="819" spans="1:11" x14ac:dyDescent="0.3">
      <c r="A819" s="127"/>
      <c r="B819" s="109"/>
      <c r="C819" s="161"/>
      <c r="D819" s="161"/>
      <c r="E819" s="161"/>
      <c r="F819" s="118"/>
      <c r="G819" s="119"/>
      <c r="H819" s="165"/>
      <c r="I819" s="119"/>
      <c r="J819" s="119"/>
      <c r="K819" s="157"/>
    </row>
    <row r="820" spans="1:11" x14ac:dyDescent="0.3">
      <c r="A820" s="127"/>
      <c r="B820" s="109"/>
      <c r="C820" s="161"/>
      <c r="D820" s="161"/>
      <c r="E820" s="161"/>
      <c r="F820" s="118"/>
      <c r="G820" s="119"/>
      <c r="H820" s="165"/>
      <c r="I820" s="119"/>
      <c r="J820" s="119"/>
      <c r="K820" s="157"/>
    </row>
    <row r="821" spans="1:11" x14ac:dyDescent="0.3">
      <c r="A821" s="127"/>
      <c r="B821" s="109"/>
      <c r="C821" s="161"/>
      <c r="D821" s="161"/>
      <c r="E821" s="161"/>
      <c r="F821" s="118"/>
      <c r="G821" s="119"/>
      <c r="H821" s="165"/>
      <c r="I821" s="119"/>
      <c r="J821" s="119"/>
      <c r="K821" s="157"/>
    </row>
    <row r="822" spans="1:11" x14ac:dyDescent="0.3">
      <c r="A822" s="127"/>
      <c r="B822" s="109"/>
      <c r="C822" s="161"/>
      <c r="D822" s="161"/>
      <c r="E822" s="161"/>
      <c r="F822" s="118"/>
      <c r="G822" s="119"/>
      <c r="H822" s="165"/>
      <c r="I822" s="119"/>
      <c r="J822" s="119"/>
      <c r="K822" s="157"/>
    </row>
    <row r="823" spans="1:11" x14ac:dyDescent="0.3">
      <c r="A823" s="127"/>
      <c r="B823" s="109"/>
      <c r="C823" s="161"/>
      <c r="D823" s="161"/>
      <c r="E823" s="161"/>
      <c r="F823" s="118"/>
      <c r="G823" s="119"/>
      <c r="H823" s="165"/>
      <c r="I823" s="119"/>
      <c r="J823" s="119"/>
      <c r="K823" s="157"/>
    </row>
    <row r="824" spans="1:11" x14ac:dyDescent="0.3">
      <c r="A824" s="127"/>
      <c r="B824" s="109"/>
      <c r="C824" s="161"/>
      <c r="D824" s="161"/>
      <c r="E824" s="161"/>
      <c r="F824" s="118"/>
      <c r="G824" s="119"/>
      <c r="H824" s="165"/>
      <c r="I824" s="119"/>
      <c r="J824" s="119"/>
      <c r="K824" s="157"/>
    </row>
    <row r="825" spans="1:11" x14ac:dyDescent="0.3">
      <c r="A825" s="127"/>
      <c r="B825" s="109"/>
      <c r="C825" s="161"/>
      <c r="D825" s="161"/>
      <c r="E825" s="161"/>
      <c r="F825" s="118"/>
      <c r="G825" s="119"/>
      <c r="H825" s="165"/>
      <c r="I825" s="119"/>
      <c r="J825" s="119"/>
      <c r="K825" s="157"/>
    </row>
    <row r="826" spans="1:11" x14ac:dyDescent="0.3">
      <c r="A826" s="127"/>
      <c r="B826" s="109"/>
      <c r="C826" s="161"/>
      <c r="D826" s="161"/>
      <c r="E826" s="161"/>
      <c r="F826" s="118"/>
      <c r="G826" s="119"/>
      <c r="H826" s="165"/>
      <c r="I826" s="119"/>
      <c r="J826" s="119"/>
      <c r="K826" s="157"/>
    </row>
    <row r="827" spans="1:11" x14ac:dyDescent="0.3">
      <c r="A827" s="127"/>
      <c r="B827" s="109"/>
      <c r="C827" s="161"/>
      <c r="D827" s="161"/>
      <c r="E827" s="161"/>
      <c r="F827" s="118"/>
      <c r="G827" s="119"/>
      <c r="H827" s="165"/>
      <c r="I827" s="119"/>
      <c r="J827" s="119"/>
      <c r="K827" s="157"/>
    </row>
    <row r="828" spans="1:11" x14ac:dyDescent="0.3">
      <c r="A828" s="127"/>
      <c r="B828" s="109"/>
      <c r="C828" s="161"/>
      <c r="D828" s="161"/>
      <c r="E828" s="161"/>
      <c r="F828" s="118"/>
      <c r="G828" s="119"/>
      <c r="H828" s="165"/>
      <c r="I828" s="119"/>
      <c r="J828" s="119"/>
      <c r="K828" s="157"/>
    </row>
    <row r="829" spans="1:11" x14ac:dyDescent="0.3">
      <c r="A829" s="127"/>
      <c r="B829" s="109"/>
      <c r="C829" s="161"/>
      <c r="D829" s="161"/>
      <c r="E829" s="161"/>
      <c r="F829" s="118"/>
      <c r="G829" s="119"/>
      <c r="H829" s="165"/>
      <c r="I829" s="119"/>
      <c r="J829" s="119"/>
      <c r="K829" s="157"/>
    </row>
    <row r="830" spans="1:11" x14ac:dyDescent="0.3">
      <c r="A830" s="127"/>
      <c r="B830" s="109"/>
      <c r="C830" s="161"/>
      <c r="D830" s="161"/>
      <c r="E830" s="161"/>
      <c r="F830" s="118"/>
      <c r="G830" s="119"/>
      <c r="H830" s="165"/>
      <c r="I830" s="119"/>
      <c r="J830" s="119"/>
      <c r="K830" s="157"/>
    </row>
    <row r="831" spans="1:11" x14ac:dyDescent="0.3">
      <c r="A831" s="127"/>
      <c r="B831" s="109"/>
      <c r="C831" s="161"/>
      <c r="D831" s="161"/>
      <c r="E831" s="161"/>
      <c r="F831" s="118"/>
      <c r="G831" s="119"/>
      <c r="H831" s="165"/>
      <c r="I831" s="119"/>
      <c r="J831" s="119"/>
      <c r="K831" s="157"/>
    </row>
    <row r="832" spans="1:11" x14ac:dyDescent="0.3">
      <c r="A832" s="127"/>
      <c r="B832" s="109"/>
      <c r="C832" s="161"/>
      <c r="D832" s="161"/>
      <c r="E832" s="161"/>
      <c r="F832" s="118"/>
      <c r="G832" s="119"/>
      <c r="H832" s="165"/>
      <c r="I832" s="119"/>
      <c r="J832" s="119"/>
      <c r="K832" s="157"/>
    </row>
    <row r="833" spans="1:11" x14ac:dyDescent="0.3">
      <c r="A833" s="127"/>
      <c r="B833" s="109"/>
      <c r="C833" s="161"/>
      <c r="D833" s="161"/>
      <c r="E833" s="161"/>
      <c r="F833" s="118"/>
      <c r="G833" s="119"/>
      <c r="H833" s="165"/>
      <c r="I833" s="119"/>
      <c r="J833" s="119"/>
      <c r="K833" s="157"/>
    </row>
    <row r="834" spans="1:11" x14ac:dyDescent="0.3">
      <c r="A834" s="127"/>
      <c r="B834" s="109"/>
      <c r="C834" s="161"/>
      <c r="D834" s="161"/>
      <c r="E834" s="161"/>
      <c r="F834" s="118"/>
      <c r="G834" s="119"/>
      <c r="H834" s="165"/>
      <c r="I834" s="119"/>
      <c r="J834" s="119"/>
      <c r="K834" s="157"/>
    </row>
    <row r="835" spans="1:11" x14ac:dyDescent="0.3">
      <c r="A835" s="127"/>
      <c r="B835" s="109"/>
      <c r="C835" s="161"/>
      <c r="D835" s="161"/>
      <c r="E835" s="161"/>
      <c r="F835" s="118"/>
      <c r="G835" s="119"/>
      <c r="H835" s="165"/>
      <c r="I835" s="119"/>
      <c r="J835" s="119"/>
      <c r="K835" s="157"/>
    </row>
    <row r="836" spans="1:11" x14ac:dyDescent="0.3">
      <c r="A836" s="127"/>
      <c r="B836" s="109"/>
      <c r="C836" s="161"/>
      <c r="D836" s="161"/>
      <c r="E836" s="161"/>
      <c r="F836" s="118"/>
      <c r="G836" s="119"/>
      <c r="H836" s="165"/>
      <c r="I836" s="119"/>
      <c r="J836" s="119"/>
      <c r="K836" s="157"/>
    </row>
    <row r="837" spans="1:11" x14ac:dyDescent="0.3">
      <c r="A837" s="127"/>
      <c r="B837" s="109"/>
      <c r="C837" s="161"/>
      <c r="D837" s="161"/>
      <c r="E837" s="161"/>
      <c r="F837" s="118"/>
      <c r="G837" s="119"/>
      <c r="H837" s="165"/>
      <c r="I837" s="119"/>
      <c r="J837" s="119"/>
      <c r="K837" s="157"/>
    </row>
    <row r="838" spans="1:11" x14ac:dyDescent="0.3">
      <c r="A838" s="127"/>
      <c r="B838" s="109"/>
      <c r="C838" s="161"/>
      <c r="D838" s="161"/>
      <c r="E838" s="161"/>
      <c r="F838" s="118"/>
      <c r="G838" s="119"/>
      <c r="H838" s="165"/>
      <c r="I838" s="119"/>
      <c r="J838" s="119"/>
      <c r="K838" s="157"/>
    </row>
    <row r="839" spans="1:11" x14ac:dyDescent="0.3">
      <c r="A839" s="127"/>
      <c r="B839" s="109"/>
      <c r="C839" s="161"/>
      <c r="D839" s="161"/>
      <c r="E839" s="161"/>
      <c r="F839" s="118"/>
      <c r="G839" s="119"/>
      <c r="H839" s="165"/>
      <c r="I839" s="119"/>
      <c r="J839" s="119"/>
      <c r="K839" s="157"/>
    </row>
    <row r="840" spans="1:11" x14ac:dyDescent="0.3">
      <c r="A840" s="127"/>
      <c r="B840" s="109"/>
      <c r="C840" s="161"/>
      <c r="D840" s="161"/>
      <c r="E840" s="161"/>
      <c r="F840" s="118"/>
      <c r="G840" s="119"/>
      <c r="H840" s="165"/>
      <c r="I840" s="119"/>
      <c r="J840" s="119"/>
      <c r="K840" s="157"/>
    </row>
    <row r="841" spans="1:11" x14ac:dyDescent="0.3">
      <c r="A841" s="127"/>
      <c r="B841" s="109"/>
      <c r="C841" s="161"/>
      <c r="D841" s="161"/>
      <c r="E841" s="161"/>
      <c r="F841" s="118"/>
      <c r="G841" s="119"/>
      <c r="H841" s="165"/>
      <c r="I841" s="119"/>
      <c r="J841" s="119"/>
      <c r="K841" s="157"/>
    </row>
    <row r="842" spans="1:11" x14ac:dyDescent="0.3">
      <c r="A842" s="127"/>
      <c r="B842" s="109"/>
      <c r="C842" s="161"/>
      <c r="D842" s="161"/>
      <c r="E842" s="161"/>
      <c r="F842" s="118"/>
      <c r="G842" s="119"/>
      <c r="H842" s="165"/>
      <c r="I842" s="119"/>
      <c r="J842" s="119"/>
      <c r="K842" s="157"/>
    </row>
    <row r="843" spans="1:11" x14ac:dyDescent="0.3">
      <c r="A843" s="127"/>
      <c r="B843" s="109"/>
      <c r="C843" s="161"/>
      <c r="D843" s="161"/>
      <c r="E843" s="161"/>
      <c r="F843" s="118"/>
      <c r="G843" s="119"/>
      <c r="H843" s="165"/>
      <c r="I843" s="119"/>
      <c r="J843" s="119"/>
      <c r="K843" s="157"/>
    </row>
    <row r="844" spans="1:11" x14ac:dyDescent="0.3">
      <c r="A844" s="127"/>
      <c r="B844" s="109"/>
      <c r="C844" s="161"/>
      <c r="D844" s="161"/>
      <c r="E844" s="161"/>
      <c r="F844" s="118"/>
      <c r="G844" s="119"/>
      <c r="H844" s="165"/>
      <c r="I844" s="119"/>
      <c r="J844" s="119"/>
      <c r="K844" s="157"/>
    </row>
    <row r="845" spans="1:11" x14ac:dyDescent="0.3">
      <c r="A845" s="127"/>
      <c r="B845" s="109"/>
      <c r="C845" s="161"/>
      <c r="D845" s="161"/>
      <c r="E845" s="161"/>
      <c r="F845" s="118"/>
      <c r="G845" s="119"/>
      <c r="H845" s="165"/>
      <c r="I845" s="119"/>
      <c r="J845" s="119"/>
      <c r="K845" s="157"/>
    </row>
    <row r="846" spans="1:11" x14ac:dyDescent="0.3">
      <c r="A846" s="127"/>
      <c r="B846" s="109"/>
      <c r="C846" s="161"/>
      <c r="D846" s="161"/>
      <c r="E846" s="161"/>
      <c r="F846" s="118"/>
      <c r="G846" s="119"/>
      <c r="H846" s="165"/>
      <c r="I846" s="119"/>
      <c r="J846" s="119"/>
      <c r="K846" s="157"/>
    </row>
    <row r="847" spans="1:11" x14ac:dyDescent="0.3">
      <c r="A847" s="127"/>
      <c r="B847" s="109"/>
      <c r="C847" s="161"/>
      <c r="D847" s="161"/>
      <c r="E847" s="161"/>
      <c r="F847" s="118"/>
      <c r="G847" s="119"/>
      <c r="H847" s="165"/>
      <c r="I847" s="119"/>
      <c r="J847" s="119"/>
      <c r="K847" s="157"/>
    </row>
    <row r="848" spans="1:11" x14ac:dyDescent="0.3">
      <c r="A848" s="127"/>
      <c r="B848" s="109"/>
      <c r="C848" s="161"/>
      <c r="D848" s="161"/>
      <c r="E848" s="161"/>
      <c r="F848" s="118"/>
      <c r="G848" s="119"/>
      <c r="H848" s="165"/>
      <c r="I848" s="119"/>
      <c r="J848" s="119"/>
      <c r="K848" s="157"/>
    </row>
    <row r="849" spans="1:11" x14ac:dyDescent="0.3">
      <c r="A849" s="127"/>
      <c r="B849" s="109"/>
      <c r="C849" s="161"/>
      <c r="D849" s="161"/>
      <c r="E849" s="161"/>
      <c r="F849" s="118"/>
      <c r="G849" s="119"/>
      <c r="H849" s="165"/>
      <c r="I849" s="119"/>
      <c r="J849" s="119"/>
      <c r="K849" s="157"/>
    </row>
    <row r="850" spans="1:11" x14ac:dyDescent="0.3">
      <c r="A850" s="127"/>
      <c r="B850" s="109"/>
      <c r="C850" s="161"/>
      <c r="D850" s="161"/>
      <c r="E850" s="161"/>
      <c r="F850" s="118"/>
      <c r="G850" s="119"/>
      <c r="H850" s="165"/>
      <c r="I850" s="119"/>
      <c r="J850" s="119"/>
      <c r="K850" s="157"/>
    </row>
    <row r="851" spans="1:11" x14ac:dyDescent="0.3">
      <c r="A851" s="127"/>
      <c r="B851" s="109"/>
      <c r="C851" s="161"/>
      <c r="D851" s="161"/>
      <c r="E851" s="161"/>
      <c r="F851" s="118"/>
      <c r="G851" s="119"/>
      <c r="H851" s="165"/>
      <c r="I851" s="119"/>
      <c r="J851" s="119"/>
      <c r="K851" s="157"/>
    </row>
    <row r="852" spans="1:11" x14ac:dyDescent="0.3">
      <c r="A852" s="127"/>
      <c r="B852" s="109"/>
      <c r="C852" s="161"/>
      <c r="D852" s="161"/>
      <c r="E852" s="161"/>
      <c r="F852" s="118"/>
      <c r="G852" s="119"/>
      <c r="H852" s="165"/>
      <c r="I852" s="119"/>
      <c r="J852" s="119"/>
      <c r="K852" s="157"/>
    </row>
    <row r="853" spans="1:11" x14ac:dyDescent="0.3">
      <c r="A853" s="127"/>
      <c r="B853" s="109"/>
      <c r="C853" s="161"/>
      <c r="D853" s="161"/>
      <c r="E853" s="161"/>
      <c r="F853" s="118"/>
      <c r="G853" s="119"/>
      <c r="H853" s="165"/>
      <c r="I853" s="119"/>
      <c r="J853" s="119"/>
      <c r="K853" s="157"/>
    </row>
    <row r="854" spans="1:11" x14ac:dyDescent="0.3">
      <c r="A854" s="127"/>
      <c r="B854" s="109"/>
      <c r="C854" s="161"/>
      <c r="D854" s="161"/>
      <c r="E854" s="161"/>
      <c r="F854" s="118"/>
      <c r="G854" s="119"/>
      <c r="H854" s="165"/>
      <c r="I854" s="119"/>
      <c r="J854" s="119"/>
      <c r="K854" s="157"/>
    </row>
    <row r="855" spans="1:11" x14ac:dyDescent="0.3">
      <c r="A855" s="127"/>
      <c r="B855" s="109"/>
      <c r="C855" s="161"/>
      <c r="D855" s="161"/>
      <c r="E855" s="161"/>
      <c r="F855" s="118"/>
      <c r="G855" s="119"/>
      <c r="H855" s="165"/>
      <c r="I855" s="119"/>
      <c r="J855" s="119"/>
      <c r="K855" s="157"/>
    </row>
    <row r="856" spans="1:11" x14ac:dyDescent="0.3">
      <c r="A856" s="127"/>
      <c r="B856" s="109"/>
      <c r="C856" s="161"/>
      <c r="D856" s="161"/>
      <c r="E856" s="161"/>
      <c r="F856" s="118"/>
      <c r="G856" s="119"/>
      <c r="H856" s="165"/>
      <c r="I856" s="119"/>
      <c r="J856" s="119"/>
      <c r="K856" s="157"/>
    </row>
    <row r="857" spans="1:11" x14ac:dyDescent="0.3">
      <c r="A857" s="127"/>
      <c r="B857" s="109"/>
      <c r="C857" s="161"/>
      <c r="D857" s="161"/>
      <c r="E857" s="161"/>
      <c r="F857" s="118"/>
      <c r="G857" s="119"/>
      <c r="H857" s="165"/>
      <c r="I857" s="119"/>
      <c r="J857" s="119"/>
      <c r="K857" s="157"/>
    </row>
    <row r="858" spans="1:11" x14ac:dyDescent="0.3">
      <c r="A858" s="127"/>
      <c r="B858" s="109"/>
      <c r="C858" s="161"/>
      <c r="D858" s="161"/>
      <c r="E858" s="161"/>
      <c r="F858" s="118"/>
      <c r="G858" s="119"/>
      <c r="H858" s="165"/>
      <c r="I858" s="119"/>
      <c r="J858" s="119"/>
      <c r="K858" s="157"/>
    </row>
    <row r="859" spans="1:11" x14ac:dyDescent="0.3">
      <c r="A859" s="127"/>
      <c r="B859" s="109"/>
      <c r="C859" s="161"/>
      <c r="D859" s="161"/>
      <c r="E859" s="161"/>
      <c r="F859" s="118"/>
      <c r="G859" s="119"/>
      <c r="H859" s="165"/>
      <c r="I859" s="119"/>
      <c r="J859" s="119"/>
      <c r="K859" s="157"/>
    </row>
    <row r="860" spans="1:11" x14ac:dyDescent="0.3">
      <c r="A860" s="127"/>
      <c r="B860" s="109"/>
      <c r="C860" s="161"/>
      <c r="D860" s="161"/>
      <c r="E860" s="161"/>
      <c r="F860" s="118"/>
      <c r="G860" s="119"/>
      <c r="H860" s="165"/>
      <c r="I860" s="119"/>
      <c r="J860" s="119"/>
      <c r="K860" s="157"/>
    </row>
    <row r="861" spans="1:11" x14ac:dyDescent="0.3">
      <c r="A861" s="127"/>
      <c r="B861" s="109"/>
      <c r="C861" s="161"/>
      <c r="D861" s="161"/>
      <c r="E861" s="161"/>
      <c r="F861" s="118"/>
      <c r="G861" s="119"/>
      <c r="H861" s="165"/>
      <c r="I861" s="119"/>
      <c r="J861" s="119"/>
      <c r="K861" s="157"/>
    </row>
    <row r="862" spans="1:11" x14ac:dyDescent="0.3">
      <c r="A862" s="127"/>
      <c r="B862" s="109"/>
      <c r="C862" s="161"/>
      <c r="D862" s="161"/>
      <c r="E862" s="161"/>
      <c r="F862" s="118"/>
      <c r="G862" s="119"/>
      <c r="H862" s="165"/>
      <c r="I862" s="119"/>
      <c r="J862" s="119"/>
      <c r="K862" s="157"/>
    </row>
    <row r="863" spans="1:11" x14ac:dyDescent="0.3">
      <c r="A863" s="127"/>
      <c r="B863" s="109"/>
      <c r="C863" s="161"/>
      <c r="D863" s="161"/>
      <c r="E863" s="161"/>
      <c r="F863" s="118"/>
      <c r="G863" s="119"/>
      <c r="H863" s="165"/>
      <c r="I863" s="119"/>
      <c r="J863" s="119"/>
      <c r="K863" s="157"/>
    </row>
    <row r="864" spans="1:11" x14ac:dyDescent="0.3">
      <c r="A864" s="127"/>
      <c r="B864" s="109"/>
      <c r="C864" s="161"/>
      <c r="D864" s="161"/>
      <c r="E864" s="161"/>
      <c r="F864" s="118"/>
      <c r="G864" s="119"/>
      <c r="H864" s="165"/>
      <c r="I864" s="119"/>
      <c r="J864" s="119"/>
      <c r="K864" s="157"/>
    </row>
    <row r="865" spans="1:11" x14ac:dyDescent="0.3">
      <c r="A865" s="127"/>
      <c r="B865" s="109"/>
      <c r="C865" s="161"/>
      <c r="D865" s="161"/>
      <c r="E865" s="161"/>
      <c r="F865" s="118"/>
      <c r="G865" s="119"/>
      <c r="H865" s="165"/>
      <c r="I865" s="119"/>
      <c r="J865" s="119"/>
      <c r="K865" s="157"/>
    </row>
    <row r="866" spans="1:11" x14ac:dyDescent="0.3">
      <c r="A866" s="127"/>
      <c r="B866" s="109"/>
      <c r="C866" s="161"/>
      <c r="D866" s="161"/>
      <c r="E866" s="161"/>
      <c r="F866" s="118"/>
      <c r="G866" s="119"/>
      <c r="H866" s="165"/>
      <c r="I866" s="119"/>
      <c r="J866" s="119"/>
      <c r="K866" s="157"/>
    </row>
    <row r="867" spans="1:11" x14ac:dyDescent="0.3">
      <c r="A867" s="127"/>
      <c r="B867" s="109"/>
      <c r="C867" s="161"/>
      <c r="D867" s="161"/>
      <c r="E867" s="161"/>
      <c r="F867" s="118"/>
      <c r="G867" s="119"/>
      <c r="H867" s="165"/>
      <c r="I867" s="119"/>
      <c r="J867" s="119"/>
      <c r="K867" s="157"/>
    </row>
    <row r="868" spans="1:11" x14ac:dyDescent="0.3">
      <c r="A868" s="127"/>
      <c r="B868" s="109"/>
      <c r="C868" s="161"/>
      <c r="D868" s="161"/>
      <c r="E868" s="161"/>
      <c r="F868" s="118"/>
      <c r="G868" s="119"/>
      <c r="H868" s="165"/>
      <c r="I868" s="119"/>
      <c r="J868" s="119"/>
      <c r="K868" s="157"/>
    </row>
    <row r="869" spans="1:11" x14ac:dyDescent="0.3">
      <c r="A869" s="127"/>
      <c r="B869" s="109"/>
      <c r="C869" s="161"/>
      <c r="D869" s="161"/>
      <c r="E869" s="161"/>
      <c r="F869" s="118"/>
      <c r="G869" s="119"/>
      <c r="H869" s="165"/>
      <c r="I869" s="119"/>
      <c r="J869" s="119"/>
      <c r="K869" s="157"/>
    </row>
    <row r="870" spans="1:11" x14ac:dyDescent="0.3">
      <c r="A870" s="127"/>
      <c r="B870" s="109"/>
      <c r="C870" s="161"/>
      <c r="D870" s="161"/>
      <c r="E870" s="161"/>
      <c r="F870" s="118"/>
      <c r="G870" s="119"/>
      <c r="H870" s="165"/>
      <c r="I870" s="119"/>
      <c r="J870" s="119"/>
      <c r="K870" s="157"/>
    </row>
    <row r="871" spans="1:11" x14ac:dyDescent="0.3">
      <c r="A871" s="127"/>
      <c r="B871" s="109"/>
      <c r="C871" s="161"/>
      <c r="D871" s="161"/>
      <c r="E871" s="161"/>
      <c r="F871" s="118"/>
      <c r="G871" s="119"/>
      <c r="H871" s="165"/>
      <c r="I871" s="119"/>
      <c r="J871" s="119"/>
      <c r="K871" s="157"/>
    </row>
    <row r="872" spans="1:11" x14ac:dyDescent="0.3">
      <c r="A872" s="127"/>
      <c r="B872" s="109"/>
      <c r="C872" s="161"/>
      <c r="D872" s="161"/>
      <c r="E872" s="161"/>
      <c r="F872" s="118"/>
      <c r="G872" s="119"/>
      <c r="H872" s="165"/>
      <c r="I872" s="119"/>
      <c r="J872" s="119"/>
      <c r="K872" s="157"/>
    </row>
    <row r="873" spans="1:11" x14ac:dyDescent="0.3">
      <c r="A873" s="127"/>
      <c r="B873" s="109"/>
      <c r="C873" s="161"/>
      <c r="D873" s="161"/>
      <c r="E873" s="161"/>
      <c r="F873" s="118"/>
      <c r="G873" s="119"/>
      <c r="H873" s="165"/>
      <c r="I873" s="119"/>
      <c r="J873" s="119"/>
      <c r="K873" s="157"/>
    </row>
    <row r="874" spans="1:11" x14ac:dyDescent="0.3">
      <c r="A874" s="127"/>
      <c r="B874" s="109"/>
      <c r="C874" s="161"/>
      <c r="D874" s="161"/>
      <c r="E874" s="161"/>
      <c r="F874" s="118"/>
      <c r="G874" s="119"/>
      <c r="H874" s="165"/>
      <c r="I874" s="119"/>
      <c r="J874" s="119"/>
      <c r="K874" s="157"/>
    </row>
    <row r="875" spans="1:11" x14ac:dyDescent="0.3">
      <c r="A875" s="127"/>
      <c r="B875" s="109"/>
      <c r="C875" s="161"/>
      <c r="D875" s="161"/>
      <c r="E875" s="161"/>
      <c r="F875" s="118"/>
      <c r="G875" s="119"/>
      <c r="H875" s="165"/>
      <c r="I875" s="119"/>
      <c r="J875" s="119"/>
      <c r="K875" s="157"/>
    </row>
    <row r="876" spans="1:11" x14ac:dyDescent="0.3">
      <c r="A876" s="127"/>
      <c r="B876" s="109"/>
      <c r="C876" s="161"/>
      <c r="D876" s="161"/>
      <c r="E876" s="161"/>
      <c r="F876" s="118"/>
      <c r="G876" s="119"/>
      <c r="H876" s="165"/>
      <c r="I876" s="119"/>
      <c r="J876" s="119"/>
      <c r="K876" s="157"/>
    </row>
    <row r="877" spans="1:11" x14ac:dyDescent="0.3">
      <c r="A877" s="127"/>
      <c r="B877" s="109"/>
      <c r="C877" s="161"/>
      <c r="D877" s="161"/>
      <c r="E877" s="161"/>
      <c r="F877" s="118"/>
      <c r="G877" s="119"/>
      <c r="H877" s="165"/>
      <c r="I877" s="119"/>
      <c r="J877" s="119"/>
      <c r="K877" s="157"/>
    </row>
    <row r="878" spans="1:11" x14ac:dyDescent="0.3">
      <c r="A878" s="127"/>
      <c r="B878" s="109"/>
      <c r="C878" s="161"/>
      <c r="D878" s="161"/>
      <c r="E878" s="161"/>
      <c r="F878" s="118"/>
      <c r="G878" s="119"/>
      <c r="H878" s="165"/>
      <c r="I878" s="119"/>
      <c r="J878" s="119"/>
      <c r="K878" s="157"/>
    </row>
    <row r="879" spans="1:11" x14ac:dyDescent="0.3">
      <c r="A879" s="127"/>
      <c r="B879" s="109"/>
      <c r="C879" s="161"/>
      <c r="D879" s="161"/>
      <c r="E879" s="161"/>
      <c r="F879" s="118"/>
      <c r="G879" s="119"/>
      <c r="H879" s="165"/>
      <c r="I879" s="119"/>
      <c r="J879" s="119"/>
      <c r="K879" s="157"/>
    </row>
    <row r="880" spans="1:11" x14ac:dyDescent="0.3">
      <c r="A880" s="127"/>
      <c r="B880" s="109"/>
      <c r="C880" s="161"/>
      <c r="D880" s="161"/>
      <c r="E880" s="161"/>
      <c r="F880" s="118"/>
      <c r="G880" s="119"/>
      <c r="H880" s="165"/>
      <c r="I880" s="119"/>
      <c r="J880" s="119"/>
      <c r="K880" s="157"/>
    </row>
    <row r="881" spans="1:11" x14ac:dyDescent="0.3">
      <c r="A881" s="127"/>
      <c r="B881" s="109"/>
      <c r="C881" s="161"/>
      <c r="D881" s="161"/>
      <c r="E881" s="161"/>
      <c r="F881" s="118"/>
      <c r="G881" s="119"/>
      <c r="H881" s="165"/>
      <c r="I881" s="119"/>
      <c r="J881" s="119"/>
      <c r="K881" s="157"/>
    </row>
    <row r="882" spans="1:11" x14ac:dyDescent="0.3">
      <c r="A882" s="127"/>
      <c r="B882" s="109"/>
      <c r="C882" s="161"/>
      <c r="D882" s="161"/>
      <c r="E882" s="161"/>
      <c r="F882" s="118"/>
      <c r="G882" s="119"/>
      <c r="H882" s="165"/>
      <c r="I882" s="119"/>
      <c r="J882" s="119"/>
      <c r="K882" s="157"/>
    </row>
    <row r="883" spans="1:11" x14ac:dyDescent="0.3">
      <c r="A883" s="127"/>
      <c r="B883" s="109"/>
      <c r="C883" s="161"/>
      <c r="D883" s="161"/>
      <c r="E883" s="161"/>
      <c r="F883" s="118"/>
      <c r="G883" s="119"/>
      <c r="H883" s="165"/>
      <c r="I883" s="119"/>
      <c r="J883" s="119"/>
      <c r="K883" s="157"/>
    </row>
    <row r="884" spans="1:11" x14ac:dyDescent="0.3">
      <c r="A884" s="127"/>
      <c r="B884" s="109"/>
      <c r="C884" s="161"/>
      <c r="D884" s="161"/>
      <c r="E884" s="161"/>
      <c r="F884" s="118"/>
      <c r="G884" s="119"/>
      <c r="H884" s="165"/>
      <c r="I884" s="119"/>
      <c r="J884" s="119"/>
      <c r="K884" s="157"/>
    </row>
    <row r="885" spans="1:11" x14ac:dyDescent="0.3">
      <c r="A885" s="127"/>
      <c r="B885" s="109"/>
      <c r="C885" s="161"/>
      <c r="D885" s="161"/>
      <c r="E885" s="161"/>
      <c r="F885" s="118"/>
      <c r="G885" s="119"/>
      <c r="H885" s="165"/>
      <c r="I885" s="119"/>
      <c r="J885" s="119"/>
      <c r="K885" s="157"/>
    </row>
    <row r="886" spans="1:11" x14ac:dyDescent="0.3">
      <c r="A886" s="127"/>
      <c r="B886" s="109"/>
      <c r="C886" s="161"/>
      <c r="D886" s="161"/>
      <c r="E886" s="161"/>
      <c r="F886" s="118"/>
      <c r="G886" s="119"/>
      <c r="H886" s="165"/>
      <c r="I886" s="119"/>
      <c r="J886" s="119"/>
      <c r="K886" s="157"/>
    </row>
    <row r="887" spans="1:11" x14ac:dyDescent="0.3">
      <c r="A887" s="127"/>
      <c r="B887" s="109"/>
      <c r="C887" s="161"/>
      <c r="D887" s="161"/>
      <c r="E887" s="161"/>
      <c r="F887" s="118"/>
      <c r="G887" s="119"/>
      <c r="H887" s="165"/>
      <c r="I887" s="119"/>
      <c r="J887" s="119"/>
      <c r="K887" s="157"/>
    </row>
    <row r="888" spans="1:11" x14ac:dyDescent="0.3">
      <c r="A888" s="127"/>
      <c r="B888" s="109"/>
      <c r="C888" s="161"/>
      <c r="D888" s="161"/>
      <c r="E888" s="161"/>
      <c r="F888" s="118"/>
      <c r="G888" s="119"/>
      <c r="H888" s="165"/>
      <c r="I888" s="119"/>
      <c r="J888" s="119"/>
      <c r="K888" s="157"/>
    </row>
    <row r="889" spans="1:11" x14ac:dyDescent="0.3">
      <c r="A889" s="127"/>
      <c r="B889" s="109"/>
      <c r="C889" s="161"/>
      <c r="D889" s="161"/>
      <c r="E889" s="161"/>
      <c r="F889" s="118"/>
      <c r="G889" s="119"/>
      <c r="H889" s="165"/>
      <c r="I889" s="119"/>
      <c r="J889" s="119"/>
      <c r="K889" s="157"/>
    </row>
    <row r="890" spans="1:11" x14ac:dyDescent="0.3">
      <c r="A890" s="127"/>
      <c r="B890" s="109"/>
      <c r="C890" s="161"/>
      <c r="D890" s="161"/>
      <c r="E890" s="161"/>
      <c r="F890" s="118"/>
      <c r="G890" s="119"/>
      <c r="H890" s="165"/>
      <c r="I890" s="119"/>
      <c r="J890" s="119"/>
      <c r="K890" s="157"/>
    </row>
    <row r="891" spans="1:11" x14ac:dyDescent="0.3">
      <c r="A891" s="127"/>
      <c r="B891" s="109"/>
      <c r="C891" s="161"/>
      <c r="D891" s="161"/>
      <c r="E891" s="161"/>
      <c r="F891" s="118"/>
      <c r="G891" s="119"/>
      <c r="H891" s="165"/>
      <c r="I891" s="119"/>
      <c r="J891" s="119"/>
      <c r="K891" s="157"/>
    </row>
    <row r="892" spans="1:11" x14ac:dyDescent="0.3">
      <c r="A892" s="127"/>
      <c r="B892" s="109"/>
      <c r="C892" s="161"/>
      <c r="D892" s="161"/>
      <c r="E892" s="161"/>
      <c r="F892" s="118"/>
      <c r="G892" s="119"/>
      <c r="H892" s="165"/>
      <c r="I892" s="119"/>
      <c r="J892" s="119"/>
      <c r="K892" s="157"/>
    </row>
    <row r="893" spans="1:11" x14ac:dyDescent="0.3">
      <c r="A893" s="127"/>
      <c r="B893" s="109"/>
      <c r="C893" s="161"/>
      <c r="D893" s="161"/>
      <c r="E893" s="161"/>
      <c r="F893" s="118"/>
      <c r="G893" s="119"/>
      <c r="H893" s="165"/>
      <c r="I893" s="119"/>
      <c r="J893" s="119"/>
      <c r="K893" s="157"/>
    </row>
    <row r="894" spans="1:11" x14ac:dyDescent="0.3">
      <c r="A894" s="127"/>
      <c r="B894" s="109"/>
      <c r="C894" s="161"/>
      <c r="D894" s="161"/>
      <c r="E894" s="161"/>
      <c r="F894" s="118"/>
      <c r="G894" s="119"/>
      <c r="H894" s="165"/>
      <c r="I894" s="119"/>
      <c r="J894" s="119"/>
      <c r="K894" s="157"/>
    </row>
    <row r="895" spans="1:11" x14ac:dyDescent="0.3">
      <c r="A895" s="127"/>
      <c r="B895" s="109"/>
      <c r="C895" s="161"/>
      <c r="D895" s="161"/>
      <c r="E895" s="161"/>
      <c r="F895" s="118"/>
      <c r="G895" s="119"/>
      <c r="H895" s="165"/>
      <c r="I895" s="119"/>
      <c r="J895" s="119"/>
      <c r="K895" s="157"/>
    </row>
    <row r="896" spans="1:11" x14ac:dyDescent="0.3">
      <c r="A896" s="127"/>
      <c r="B896" s="109"/>
      <c r="C896" s="161"/>
      <c r="D896" s="161"/>
      <c r="E896" s="161"/>
      <c r="F896" s="118"/>
      <c r="G896" s="119"/>
      <c r="H896" s="165"/>
      <c r="I896" s="119"/>
      <c r="J896" s="119"/>
      <c r="K896" s="157"/>
    </row>
    <row r="897" spans="1:11" x14ac:dyDescent="0.3">
      <c r="A897" s="127"/>
      <c r="B897" s="109"/>
      <c r="C897" s="161"/>
      <c r="D897" s="161"/>
      <c r="E897" s="161"/>
      <c r="F897" s="118"/>
      <c r="G897" s="119"/>
      <c r="H897" s="165"/>
      <c r="I897" s="119"/>
      <c r="J897" s="119"/>
      <c r="K897" s="157"/>
    </row>
    <row r="898" spans="1:11" x14ac:dyDescent="0.3">
      <c r="A898" s="127"/>
      <c r="B898" s="109"/>
      <c r="C898" s="161"/>
      <c r="D898" s="161"/>
      <c r="E898" s="161"/>
      <c r="F898" s="118"/>
      <c r="G898" s="119"/>
      <c r="H898" s="165"/>
      <c r="I898" s="119"/>
      <c r="J898" s="119"/>
      <c r="K898" s="157"/>
    </row>
    <row r="899" spans="1:11" x14ac:dyDescent="0.3">
      <c r="A899" s="127"/>
      <c r="B899" s="109"/>
      <c r="C899" s="161"/>
      <c r="D899" s="161"/>
      <c r="E899" s="161"/>
      <c r="F899" s="118"/>
      <c r="G899" s="119"/>
      <c r="H899" s="165"/>
      <c r="I899" s="119"/>
      <c r="J899" s="119"/>
      <c r="K899" s="157"/>
    </row>
    <row r="900" spans="1:11" x14ac:dyDescent="0.3">
      <c r="A900" s="127"/>
      <c r="B900" s="109"/>
      <c r="C900" s="161"/>
      <c r="D900" s="161"/>
      <c r="E900" s="161"/>
      <c r="F900" s="118"/>
      <c r="G900" s="119"/>
      <c r="H900" s="165"/>
      <c r="I900" s="119"/>
      <c r="J900" s="119"/>
      <c r="K900" s="157"/>
    </row>
    <row r="901" spans="1:11" x14ac:dyDescent="0.3">
      <c r="A901" s="127"/>
      <c r="B901" s="109"/>
      <c r="C901" s="161"/>
      <c r="D901" s="161"/>
      <c r="E901" s="161"/>
      <c r="F901" s="118"/>
      <c r="G901" s="119"/>
      <c r="H901" s="165"/>
      <c r="I901" s="119"/>
      <c r="J901" s="119"/>
      <c r="K901" s="157"/>
    </row>
    <row r="902" spans="1:11" x14ac:dyDescent="0.3">
      <c r="A902" s="127"/>
      <c r="B902" s="109"/>
      <c r="C902" s="161"/>
      <c r="D902" s="161"/>
      <c r="E902" s="161"/>
      <c r="F902" s="118"/>
      <c r="G902" s="119"/>
      <c r="H902" s="165"/>
      <c r="I902" s="119"/>
      <c r="J902" s="119"/>
      <c r="K902" s="157"/>
    </row>
    <row r="903" spans="1:11" x14ac:dyDescent="0.3">
      <c r="A903" s="127"/>
      <c r="B903" s="109"/>
      <c r="C903" s="161"/>
      <c r="D903" s="161"/>
      <c r="E903" s="161"/>
      <c r="F903" s="118"/>
      <c r="G903" s="119"/>
      <c r="H903" s="165"/>
      <c r="I903" s="119"/>
      <c r="J903" s="119"/>
      <c r="K903" s="157"/>
    </row>
    <row r="904" spans="1:11" x14ac:dyDescent="0.3">
      <c r="A904" s="127"/>
      <c r="B904" s="109"/>
      <c r="C904" s="161"/>
      <c r="D904" s="161"/>
      <c r="E904" s="161"/>
      <c r="F904" s="118"/>
      <c r="G904" s="119"/>
      <c r="H904" s="165"/>
      <c r="I904" s="119"/>
      <c r="J904" s="119"/>
      <c r="K904" s="157"/>
    </row>
    <row r="905" spans="1:11" x14ac:dyDescent="0.3">
      <c r="A905" s="127"/>
      <c r="B905" s="109"/>
      <c r="C905" s="161"/>
      <c r="D905" s="161"/>
      <c r="E905" s="161"/>
      <c r="F905" s="118"/>
      <c r="G905" s="119"/>
      <c r="H905" s="165"/>
      <c r="I905" s="119"/>
      <c r="J905" s="119"/>
      <c r="K905" s="157"/>
    </row>
    <row r="906" spans="1:11" x14ac:dyDescent="0.3">
      <c r="A906" s="127"/>
      <c r="B906" s="109"/>
      <c r="C906" s="161"/>
      <c r="D906" s="161"/>
      <c r="E906" s="161"/>
      <c r="F906" s="118"/>
      <c r="G906" s="119"/>
      <c r="H906" s="165"/>
      <c r="I906" s="119"/>
      <c r="J906" s="119"/>
      <c r="K906" s="157"/>
    </row>
    <row r="907" spans="1:11" x14ac:dyDescent="0.3">
      <c r="A907" s="127"/>
      <c r="B907" s="109"/>
      <c r="C907" s="161"/>
      <c r="D907" s="161"/>
      <c r="E907" s="161"/>
      <c r="F907" s="118"/>
      <c r="G907" s="119"/>
      <c r="H907" s="165"/>
      <c r="I907" s="119"/>
      <c r="J907" s="119"/>
      <c r="K907" s="157"/>
    </row>
    <row r="908" spans="1:11" x14ac:dyDescent="0.3">
      <c r="A908" s="127"/>
      <c r="B908" s="109"/>
      <c r="C908" s="161"/>
      <c r="D908" s="161"/>
      <c r="E908" s="161"/>
      <c r="F908" s="118"/>
      <c r="G908" s="119"/>
      <c r="H908" s="165"/>
      <c r="I908" s="119"/>
      <c r="J908" s="119"/>
      <c r="K908" s="157"/>
    </row>
    <row r="909" spans="1:11" x14ac:dyDescent="0.3">
      <c r="A909" s="127"/>
      <c r="B909" s="109"/>
      <c r="C909" s="161"/>
      <c r="D909" s="161"/>
      <c r="E909" s="161"/>
      <c r="F909" s="118"/>
      <c r="G909" s="119"/>
      <c r="H909" s="165"/>
      <c r="I909" s="119"/>
      <c r="J909" s="119"/>
      <c r="K909" s="157"/>
    </row>
    <row r="910" spans="1:11" x14ac:dyDescent="0.3">
      <c r="A910" s="127"/>
      <c r="B910" s="109"/>
      <c r="C910" s="161"/>
      <c r="D910" s="161"/>
      <c r="E910" s="161"/>
      <c r="F910" s="118"/>
      <c r="G910" s="119"/>
      <c r="H910" s="165"/>
      <c r="I910" s="119"/>
      <c r="J910" s="119"/>
      <c r="K910" s="157"/>
    </row>
    <row r="911" spans="1:11" x14ac:dyDescent="0.3">
      <c r="A911" s="127"/>
      <c r="B911" s="109"/>
      <c r="C911" s="161"/>
      <c r="D911" s="161"/>
      <c r="E911" s="161"/>
      <c r="F911" s="118"/>
      <c r="G911" s="119"/>
      <c r="H911" s="165"/>
      <c r="I911" s="119"/>
      <c r="J911" s="119"/>
      <c r="K911" s="157"/>
    </row>
    <row r="912" spans="1:11" x14ac:dyDescent="0.3">
      <c r="A912" s="127"/>
      <c r="B912" s="109"/>
      <c r="C912" s="161"/>
      <c r="D912" s="161"/>
      <c r="E912" s="161"/>
      <c r="F912" s="118"/>
      <c r="G912" s="119"/>
      <c r="H912" s="165"/>
      <c r="I912" s="119"/>
      <c r="J912" s="119"/>
      <c r="K912" s="157"/>
    </row>
    <row r="913" spans="1:11" x14ac:dyDescent="0.3">
      <c r="A913" s="127"/>
      <c r="B913" s="109"/>
      <c r="C913" s="161"/>
      <c r="D913" s="161"/>
      <c r="E913" s="161"/>
      <c r="F913" s="118"/>
      <c r="G913" s="119"/>
      <c r="H913" s="165"/>
      <c r="I913" s="119"/>
      <c r="J913" s="119"/>
      <c r="K913" s="157"/>
    </row>
    <row r="914" spans="1:11" x14ac:dyDescent="0.3">
      <c r="A914" s="127"/>
      <c r="B914" s="109"/>
      <c r="C914" s="161"/>
      <c r="D914" s="161"/>
      <c r="E914" s="161"/>
      <c r="F914" s="118"/>
      <c r="G914" s="119"/>
      <c r="H914" s="165"/>
      <c r="I914" s="119"/>
      <c r="J914" s="119"/>
      <c r="K914" s="157"/>
    </row>
    <row r="915" spans="1:11" x14ac:dyDescent="0.3">
      <c r="A915" s="127"/>
      <c r="B915" s="109"/>
      <c r="C915" s="161"/>
      <c r="D915" s="161"/>
      <c r="E915" s="161"/>
      <c r="F915" s="118"/>
      <c r="G915" s="119"/>
      <c r="H915" s="165"/>
      <c r="I915" s="119"/>
      <c r="J915" s="119"/>
      <c r="K915" s="157"/>
    </row>
    <row r="916" spans="1:11" x14ac:dyDescent="0.3">
      <c r="A916" s="127"/>
      <c r="B916" s="109"/>
      <c r="C916" s="161"/>
      <c r="D916" s="161"/>
      <c r="E916" s="161"/>
      <c r="F916" s="118"/>
      <c r="G916" s="119"/>
      <c r="H916" s="165"/>
      <c r="I916" s="119"/>
      <c r="J916" s="119"/>
      <c r="K916" s="157"/>
    </row>
    <row r="917" spans="1:11" x14ac:dyDescent="0.3">
      <c r="A917" s="127"/>
      <c r="B917" s="109"/>
      <c r="C917" s="161"/>
      <c r="D917" s="161"/>
      <c r="E917" s="161"/>
      <c r="F917" s="118"/>
      <c r="G917" s="119"/>
      <c r="H917" s="165"/>
      <c r="I917" s="119"/>
      <c r="J917" s="119"/>
      <c r="K917" s="157"/>
    </row>
    <row r="918" spans="1:11" x14ac:dyDescent="0.3">
      <c r="A918" s="127"/>
      <c r="B918" s="109"/>
      <c r="C918" s="161"/>
      <c r="D918" s="161"/>
      <c r="E918" s="161"/>
      <c r="F918" s="118"/>
      <c r="G918" s="119"/>
      <c r="H918" s="165"/>
      <c r="I918" s="119"/>
      <c r="J918" s="119"/>
      <c r="K918" s="157"/>
    </row>
    <row r="919" spans="1:11" x14ac:dyDescent="0.3">
      <c r="A919" s="127"/>
      <c r="B919" s="109"/>
      <c r="C919" s="161"/>
      <c r="D919" s="161"/>
      <c r="E919" s="161"/>
      <c r="F919" s="118"/>
      <c r="G919" s="119"/>
      <c r="H919" s="165"/>
      <c r="I919" s="119"/>
      <c r="J919" s="119"/>
      <c r="K919" s="157"/>
    </row>
    <row r="920" spans="1:11" x14ac:dyDescent="0.3">
      <c r="A920" s="127"/>
      <c r="B920" s="109"/>
      <c r="C920" s="161"/>
      <c r="D920" s="161"/>
      <c r="E920" s="161"/>
      <c r="F920" s="118"/>
      <c r="G920" s="119"/>
      <c r="H920" s="165"/>
      <c r="I920" s="119"/>
      <c r="J920" s="119"/>
      <c r="K920" s="157"/>
    </row>
    <row r="921" spans="1:11" x14ac:dyDescent="0.3">
      <c r="A921" s="127"/>
      <c r="B921" s="109"/>
      <c r="C921" s="161"/>
      <c r="D921" s="161"/>
      <c r="E921" s="161"/>
      <c r="F921" s="118"/>
      <c r="G921" s="119"/>
      <c r="H921" s="165"/>
      <c r="I921" s="119"/>
      <c r="J921" s="119"/>
      <c r="K921" s="157"/>
    </row>
    <row r="922" spans="1:11" x14ac:dyDescent="0.3">
      <c r="A922" s="127"/>
      <c r="B922" s="109"/>
      <c r="C922" s="161"/>
      <c r="D922" s="161"/>
      <c r="E922" s="161"/>
      <c r="F922" s="118"/>
      <c r="G922" s="119"/>
      <c r="H922" s="165"/>
      <c r="I922" s="119"/>
      <c r="J922" s="119"/>
      <c r="K922" s="157"/>
    </row>
    <row r="923" spans="1:11" x14ac:dyDescent="0.3">
      <c r="A923" s="127"/>
      <c r="B923" s="109"/>
      <c r="C923" s="161"/>
      <c r="D923" s="161"/>
      <c r="E923" s="161"/>
      <c r="F923" s="118"/>
      <c r="G923" s="119"/>
      <c r="H923" s="165"/>
      <c r="I923" s="119"/>
      <c r="J923" s="119"/>
      <c r="K923" s="157"/>
    </row>
    <row r="924" spans="1:11" x14ac:dyDescent="0.3">
      <c r="A924" s="127"/>
      <c r="B924" s="109"/>
      <c r="C924" s="161"/>
      <c r="D924" s="161"/>
      <c r="E924" s="161"/>
      <c r="F924" s="118"/>
      <c r="G924" s="119"/>
      <c r="H924" s="165"/>
      <c r="I924" s="119"/>
      <c r="J924" s="119"/>
      <c r="K924" s="157"/>
    </row>
    <row r="925" spans="1:11" x14ac:dyDescent="0.3">
      <c r="A925" s="127"/>
      <c r="B925" s="109"/>
      <c r="C925" s="161"/>
      <c r="D925" s="161"/>
      <c r="E925" s="161"/>
      <c r="F925" s="118"/>
      <c r="G925" s="119"/>
      <c r="H925" s="165"/>
      <c r="I925" s="119"/>
      <c r="J925" s="119"/>
      <c r="K925" s="157"/>
    </row>
    <row r="926" spans="1:11" x14ac:dyDescent="0.3">
      <c r="A926" s="127"/>
      <c r="B926" s="109"/>
      <c r="C926" s="161"/>
      <c r="D926" s="161"/>
      <c r="E926" s="161"/>
      <c r="F926" s="118"/>
      <c r="G926" s="119"/>
      <c r="H926" s="165"/>
      <c r="I926" s="119"/>
      <c r="J926" s="119"/>
      <c r="K926" s="157"/>
    </row>
    <row r="927" spans="1:11" x14ac:dyDescent="0.3">
      <c r="A927" s="127"/>
      <c r="B927" s="109"/>
      <c r="C927" s="161"/>
      <c r="D927" s="161"/>
      <c r="E927" s="161"/>
      <c r="F927" s="118"/>
      <c r="G927" s="119"/>
      <c r="H927" s="165"/>
      <c r="I927" s="119"/>
      <c r="J927" s="119"/>
      <c r="K927" s="157"/>
    </row>
    <row r="928" spans="1:11" x14ac:dyDescent="0.3">
      <c r="A928" s="127"/>
      <c r="B928" s="109"/>
      <c r="C928" s="161"/>
      <c r="D928" s="161"/>
      <c r="E928" s="161"/>
      <c r="F928" s="118"/>
      <c r="G928" s="119"/>
      <c r="H928" s="165"/>
      <c r="I928" s="119"/>
      <c r="J928" s="119"/>
      <c r="K928" s="157"/>
    </row>
    <row r="929" spans="1:11" x14ac:dyDescent="0.3">
      <c r="A929" s="127"/>
      <c r="B929" s="109"/>
      <c r="C929" s="161"/>
      <c r="D929" s="161"/>
      <c r="E929" s="161"/>
      <c r="F929" s="118"/>
      <c r="G929" s="119"/>
      <c r="H929" s="165"/>
      <c r="I929" s="119"/>
      <c r="J929" s="119"/>
      <c r="K929" s="157"/>
    </row>
    <row r="930" spans="1:11" x14ac:dyDescent="0.3">
      <c r="A930" s="127"/>
      <c r="B930" s="109"/>
      <c r="C930" s="161"/>
      <c r="D930" s="161"/>
      <c r="E930" s="161"/>
      <c r="F930" s="118"/>
      <c r="G930" s="119"/>
      <c r="H930" s="165"/>
      <c r="I930" s="119"/>
      <c r="J930" s="119"/>
      <c r="K930" s="157"/>
    </row>
    <row r="931" spans="1:11" x14ac:dyDescent="0.3">
      <c r="A931" s="127"/>
      <c r="B931" s="109"/>
      <c r="C931" s="161"/>
      <c r="D931" s="161"/>
      <c r="E931" s="161"/>
      <c r="F931" s="118"/>
      <c r="G931" s="119"/>
      <c r="H931" s="165"/>
      <c r="I931" s="119"/>
      <c r="J931" s="119"/>
      <c r="K931" s="157"/>
    </row>
    <row r="932" spans="1:11" x14ac:dyDescent="0.3">
      <c r="A932" s="127"/>
      <c r="B932" s="109"/>
      <c r="C932" s="161"/>
      <c r="D932" s="161"/>
      <c r="E932" s="161"/>
      <c r="F932" s="118"/>
      <c r="G932" s="119"/>
      <c r="H932" s="165"/>
      <c r="I932" s="119"/>
      <c r="J932" s="119"/>
      <c r="K932" s="157"/>
    </row>
    <row r="933" spans="1:11" x14ac:dyDescent="0.3">
      <c r="A933" s="127"/>
      <c r="B933" s="109"/>
      <c r="C933" s="161"/>
      <c r="D933" s="161"/>
      <c r="E933" s="161"/>
      <c r="F933" s="118"/>
      <c r="G933" s="119"/>
      <c r="H933" s="165"/>
      <c r="I933" s="119"/>
      <c r="J933" s="119"/>
      <c r="K933" s="157"/>
    </row>
    <row r="934" spans="1:11" x14ac:dyDescent="0.3">
      <c r="A934" s="127"/>
      <c r="B934" s="109"/>
      <c r="C934" s="161"/>
      <c r="D934" s="161"/>
      <c r="E934" s="161"/>
      <c r="F934" s="118"/>
      <c r="G934" s="119"/>
      <c r="H934" s="165"/>
      <c r="I934" s="119"/>
      <c r="J934" s="119"/>
      <c r="K934" s="157"/>
    </row>
    <row r="935" spans="1:11" x14ac:dyDescent="0.3">
      <c r="A935" s="127"/>
      <c r="B935" s="109"/>
      <c r="C935" s="161"/>
      <c r="D935" s="161"/>
      <c r="E935" s="161"/>
      <c r="F935" s="118"/>
      <c r="G935" s="119"/>
      <c r="H935" s="165"/>
      <c r="I935" s="119"/>
      <c r="J935" s="119"/>
      <c r="K935" s="157"/>
    </row>
    <row r="936" spans="1:11" x14ac:dyDescent="0.3">
      <c r="A936" s="127"/>
      <c r="B936" s="109"/>
      <c r="C936" s="161"/>
      <c r="D936" s="161"/>
      <c r="E936" s="161"/>
      <c r="F936" s="118"/>
      <c r="G936" s="119"/>
      <c r="H936" s="165"/>
      <c r="I936" s="119"/>
      <c r="J936" s="119"/>
      <c r="K936" s="157"/>
    </row>
    <row r="937" spans="1:11" x14ac:dyDescent="0.3">
      <c r="A937" s="127"/>
      <c r="B937" s="109"/>
      <c r="C937" s="161"/>
      <c r="D937" s="161"/>
      <c r="E937" s="161"/>
      <c r="F937" s="118"/>
      <c r="G937" s="119"/>
      <c r="H937" s="165"/>
      <c r="I937" s="119"/>
      <c r="J937" s="119"/>
      <c r="K937" s="157"/>
    </row>
    <row r="938" spans="1:11" x14ac:dyDescent="0.3">
      <c r="A938" s="127"/>
      <c r="B938" s="109"/>
      <c r="C938" s="161"/>
      <c r="D938" s="161"/>
      <c r="E938" s="161"/>
      <c r="F938" s="118"/>
      <c r="G938" s="119"/>
      <c r="H938" s="165"/>
      <c r="I938" s="119"/>
      <c r="J938" s="119"/>
      <c r="K938" s="157"/>
    </row>
    <row r="939" spans="1:11" x14ac:dyDescent="0.3">
      <c r="A939" s="127"/>
      <c r="B939" s="109"/>
      <c r="C939" s="161"/>
      <c r="D939" s="161"/>
      <c r="E939" s="161"/>
      <c r="F939" s="118"/>
      <c r="G939" s="119"/>
      <c r="H939" s="165"/>
      <c r="I939" s="119"/>
      <c r="J939" s="119"/>
      <c r="K939" s="157"/>
    </row>
    <row r="940" spans="1:11" x14ac:dyDescent="0.3">
      <c r="A940" s="127"/>
      <c r="B940" s="109"/>
      <c r="C940" s="161"/>
      <c r="D940" s="161"/>
      <c r="E940" s="161"/>
      <c r="F940" s="118"/>
      <c r="G940" s="119"/>
      <c r="H940" s="165"/>
      <c r="I940" s="119"/>
      <c r="J940" s="119"/>
      <c r="K940" s="157"/>
    </row>
    <row r="941" spans="1:11" x14ac:dyDescent="0.3">
      <c r="A941" s="127"/>
      <c r="B941" s="109"/>
      <c r="C941" s="161"/>
      <c r="D941" s="161"/>
      <c r="E941" s="161"/>
      <c r="F941" s="118"/>
      <c r="G941" s="119"/>
      <c r="H941" s="165"/>
      <c r="I941" s="119"/>
      <c r="J941" s="119"/>
      <c r="K941" s="157"/>
    </row>
    <row r="942" spans="1:11" x14ac:dyDescent="0.3">
      <c r="A942" s="127"/>
      <c r="B942" s="109"/>
      <c r="C942" s="161"/>
      <c r="D942" s="161"/>
      <c r="E942" s="161"/>
      <c r="F942" s="118"/>
      <c r="G942" s="119"/>
      <c r="H942" s="165"/>
      <c r="I942" s="119"/>
      <c r="J942" s="119"/>
      <c r="K942" s="157"/>
    </row>
    <row r="943" spans="1:11" x14ac:dyDescent="0.3">
      <c r="A943" s="127"/>
      <c r="B943" s="109"/>
      <c r="C943" s="161"/>
      <c r="D943" s="161"/>
      <c r="E943" s="161"/>
      <c r="F943" s="118"/>
      <c r="G943" s="119"/>
      <c r="H943" s="165"/>
      <c r="I943" s="119"/>
      <c r="J943" s="119"/>
      <c r="K943" s="157"/>
    </row>
    <row r="944" spans="1:11" x14ac:dyDescent="0.3">
      <c r="A944" s="127"/>
      <c r="B944" s="109"/>
      <c r="C944" s="161"/>
      <c r="D944" s="161"/>
      <c r="E944" s="161"/>
      <c r="F944" s="118"/>
      <c r="G944" s="119"/>
      <c r="H944" s="165"/>
      <c r="I944" s="119"/>
      <c r="J944" s="119"/>
      <c r="K944" s="157"/>
    </row>
    <row r="945" spans="1:11" x14ac:dyDescent="0.3">
      <c r="A945" s="127"/>
      <c r="B945" s="109"/>
      <c r="C945" s="161"/>
      <c r="D945" s="161"/>
      <c r="E945" s="161"/>
      <c r="F945" s="118"/>
      <c r="G945" s="119"/>
      <c r="H945" s="165"/>
      <c r="I945" s="119"/>
      <c r="J945" s="119"/>
      <c r="K945" s="157"/>
    </row>
    <row r="946" spans="1:11" x14ac:dyDescent="0.3">
      <c r="A946" s="127"/>
      <c r="B946" s="109"/>
      <c r="C946" s="161"/>
      <c r="D946" s="161"/>
      <c r="E946" s="161"/>
      <c r="F946" s="118"/>
      <c r="G946" s="119"/>
      <c r="H946" s="165"/>
      <c r="I946" s="119"/>
      <c r="J946" s="119"/>
      <c r="K946" s="157"/>
    </row>
    <row r="947" spans="1:11" x14ac:dyDescent="0.3">
      <c r="A947" s="127"/>
      <c r="B947" s="109"/>
      <c r="C947" s="161"/>
      <c r="D947" s="161"/>
      <c r="E947" s="161"/>
      <c r="F947" s="118"/>
      <c r="G947" s="119"/>
      <c r="H947" s="165"/>
      <c r="I947" s="119"/>
      <c r="J947" s="119"/>
      <c r="K947" s="157"/>
    </row>
    <row r="948" spans="1:11" x14ac:dyDescent="0.3">
      <c r="A948" s="127"/>
      <c r="B948" s="109"/>
      <c r="C948" s="161"/>
      <c r="D948" s="161"/>
      <c r="E948" s="161"/>
      <c r="F948" s="118"/>
      <c r="G948" s="119"/>
      <c r="H948" s="165"/>
      <c r="I948" s="119"/>
      <c r="J948" s="119"/>
      <c r="K948" s="157"/>
    </row>
    <row r="949" spans="1:11" x14ac:dyDescent="0.3">
      <c r="A949" s="127"/>
      <c r="B949" s="109"/>
      <c r="C949" s="161"/>
      <c r="D949" s="161"/>
      <c r="E949" s="161"/>
      <c r="F949" s="118"/>
      <c r="G949" s="119"/>
      <c r="H949" s="165"/>
      <c r="I949" s="119"/>
      <c r="J949" s="119"/>
      <c r="K949" s="157"/>
    </row>
    <row r="950" spans="1:11" x14ac:dyDescent="0.3">
      <c r="A950" s="127"/>
      <c r="B950" s="109"/>
      <c r="C950" s="161"/>
      <c r="D950" s="161"/>
      <c r="E950" s="161"/>
      <c r="F950" s="118"/>
      <c r="G950" s="119"/>
      <c r="H950" s="165"/>
      <c r="I950" s="119"/>
      <c r="J950" s="119"/>
      <c r="K950" s="157"/>
    </row>
    <row r="951" spans="1:11" x14ac:dyDescent="0.3">
      <c r="A951" s="127"/>
      <c r="B951" s="109"/>
      <c r="C951" s="161"/>
      <c r="D951" s="161"/>
      <c r="E951" s="161"/>
      <c r="F951" s="118"/>
      <c r="G951" s="119"/>
      <c r="H951" s="165"/>
      <c r="I951" s="119"/>
      <c r="J951" s="119"/>
      <c r="K951" s="157"/>
    </row>
    <row r="952" spans="1:11" x14ac:dyDescent="0.3">
      <c r="A952" s="127"/>
      <c r="B952" s="109"/>
      <c r="C952" s="161"/>
      <c r="D952" s="161"/>
      <c r="E952" s="161"/>
      <c r="F952" s="118"/>
      <c r="G952" s="119"/>
      <c r="H952" s="165"/>
      <c r="I952" s="119"/>
      <c r="J952" s="119"/>
      <c r="K952" s="157"/>
    </row>
    <row r="953" spans="1:11" x14ac:dyDescent="0.3">
      <c r="A953" s="127"/>
      <c r="B953" s="109"/>
      <c r="C953" s="161"/>
      <c r="D953" s="161"/>
      <c r="E953" s="161"/>
      <c r="F953" s="118"/>
      <c r="G953" s="119"/>
      <c r="H953" s="165"/>
      <c r="I953" s="119"/>
      <c r="J953" s="119"/>
      <c r="K953" s="157"/>
    </row>
    <row r="954" spans="1:11" x14ac:dyDescent="0.3">
      <c r="A954" s="127"/>
      <c r="B954" s="109"/>
      <c r="C954" s="161"/>
      <c r="D954" s="161"/>
      <c r="E954" s="161"/>
      <c r="F954" s="118"/>
      <c r="G954" s="119"/>
      <c r="H954" s="165"/>
      <c r="I954" s="119"/>
      <c r="J954" s="119"/>
      <c r="K954" s="157"/>
    </row>
    <row r="955" spans="1:11" x14ac:dyDescent="0.3">
      <c r="A955" s="127"/>
      <c r="B955" s="109"/>
      <c r="C955" s="161"/>
      <c r="D955" s="161"/>
      <c r="E955" s="161"/>
      <c r="F955" s="118"/>
      <c r="G955" s="119"/>
      <c r="H955" s="165"/>
      <c r="I955" s="119"/>
      <c r="J955" s="119"/>
      <c r="K955" s="157"/>
    </row>
    <row r="956" spans="1:11" x14ac:dyDescent="0.3">
      <c r="A956" s="127"/>
      <c r="B956" s="109"/>
      <c r="C956" s="161"/>
      <c r="D956" s="161"/>
      <c r="E956" s="161"/>
      <c r="F956" s="118"/>
      <c r="G956" s="119"/>
      <c r="H956" s="165"/>
      <c r="I956" s="119"/>
      <c r="J956" s="119"/>
      <c r="K956" s="157"/>
    </row>
    <row r="957" spans="1:11" x14ac:dyDescent="0.3">
      <c r="A957" s="127"/>
      <c r="B957" s="109"/>
      <c r="C957" s="161"/>
      <c r="D957" s="161"/>
      <c r="E957" s="161"/>
      <c r="F957" s="118"/>
      <c r="G957" s="119"/>
      <c r="H957" s="165"/>
      <c r="I957" s="119"/>
      <c r="J957" s="119"/>
      <c r="K957" s="157"/>
    </row>
    <row r="958" spans="1:11" x14ac:dyDescent="0.3">
      <c r="A958" s="127"/>
      <c r="B958" s="109"/>
      <c r="C958" s="161"/>
      <c r="D958" s="161"/>
      <c r="E958" s="161"/>
      <c r="F958" s="118"/>
      <c r="G958" s="119"/>
      <c r="H958" s="165"/>
      <c r="I958" s="119"/>
      <c r="J958" s="119"/>
      <c r="K958" s="157"/>
    </row>
    <row r="959" spans="1:11" x14ac:dyDescent="0.3">
      <c r="A959" s="127"/>
      <c r="B959" s="109"/>
      <c r="C959" s="161"/>
      <c r="D959" s="161"/>
      <c r="E959" s="161"/>
      <c r="F959" s="118"/>
      <c r="G959" s="119"/>
      <c r="H959" s="165"/>
      <c r="I959" s="119"/>
      <c r="J959" s="119"/>
      <c r="K959" s="157"/>
    </row>
    <row r="960" spans="1:11" x14ac:dyDescent="0.3">
      <c r="A960" s="127"/>
      <c r="B960" s="109"/>
      <c r="C960" s="161"/>
      <c r="D960" s="161"/>
      <c r="E960" s="161"/>
      <c r="F960" s="118"/>
      <c r="G960" s="119"/>
      <c r="H960" s="165"/>
      <c r="I960" s="119"/>
      <c r="J960" s="119"/>
      <c r="K960" s="157"/>
    </row>
    <row r="961" spans="1:11" x14ac:dyDescent="0.3">
      <c r="A961" s="127"/>
      <c r="B961" s="109"/>
      <c r="C961" s="161"/>
      <c r="D961" s="161"/>
      <c r="E961" s="161"/>
      <c r="F961" s="118"/>
      <c r="G961" s="119"/>
      <c r="H961" s="165"/>
      <c r="I961" s="119"/>
      <c r="J961" s="119"/>
      <c r="K961" s="157"/>
    </row>
    <row r="962" spans="1:11" x14ac:dyDescent="0.3">
      <c r="A962" s="127"/>
      <c r="B962" s="109"/>
      <c r="C962" s="161"/>
      <c r="D962" s="161"/>
      <c r="E962" s="161"/>
      <c r="F962" s="118"/>
      <c r="G962" s="119"/>
      <c r="H962" s="165"/>
      <c r="I962" s="119"/>
      <c r="J962" s="119"/>
      <c r="K962" s="157"/>
    </row>
    <row r="963" spans="1:11" x14ac:dyDescent="0.3">
      <c r="A963" s="127"/>
      <c r="B963" s="109"/>
      <c r="C963" s="161"/>
      <c r="D963" s="161"/>
      <c r="E963" s="161"/>
      <c r="F963" s="118"/>
      <c r="G963" s="119"/>
      <c r="H963" s="165"/>
      <c r="I963" s="119"/>
      <c r="J963" s="119"/>
      <c r="K963" s="157"/>
    </row>
    <row r="964" spans="1:11" x14ac:dyDescent="0.3">
      <c r="A964" s="127"/>
      <c r="B964" s="109"/>
      <c r="C964" s="161"/>
      <c r="D964" s="161"/>
      <c r="E964" s="161"/>
      <c r="F964" s="118"/>
      <c r="G964" s="119"/>
      <c r="H964" s="165"/>
      <c r="I964" s="119"/>
      <c r="J964" s="119"/>
      <c r="K964" s="157"/>
    </row>
    <row r="965" spans="1:11" x14ac:dyDescent="0.3">
      <c r="A965" s="127"/>
      <c r="B965" s="109"/>
      <c r="C965" s="161"/>
      <c r="D965" s="161"/>
      <c r="E965" s="161"/>
      <c r="F965" s="118"/>
      <c r="G965" s="119"/>
      <c r="H965" s="165"/>
      <c r="I965" s="119"/>
      <c r="J965" s="119"/>
      <c r="K965" s="157"/>
    </row>
    <row r="966" spans="1:11" x14ac:dyDescent="0.3">
      <c r="A966" s="127"/>
      <c r="B966" s="109"/>
      <c r="C966" s="161"/>
      <c r="D966" s="161"/>
      <c r="E966" s="161"/>
      <c r="F966" s="118"/>
      <c r="G966" s="119"/>
      <c r="H966" s="165"/>
      <c r="I966" s="119"/>
      <c r="J966" s="119"/>
      <c r="K966" s="157"/>
    </row>
    <row r="967" spans="1:11" x14ac:dyDescent="0.3">
      <c r="A967" s="127"/>
      <c r="B967" s="109"/>
      <c r="C967" s="161"/>
      <c r="D967" s="161"/>
      <c r="E967" s="161"/>
      <c r="F967" s="118"/>
      <c r="G967" s="119"/>
      <c r="H967" s="165"/>
      <c r="I967" s="119"/>
      <c r="J967" s="119"/>
      <c r="K967" s="157"/>
    </row>
    <row r="968" spans="1:11" x14ac:dyDescent="0.3">
      <c r="A968" s="127"/>
      <c r="B968" s="109"/>
      <c r="C968" s="161"/>
      <c r="D968" s="161"/>
      <c r="E968" s="161"/>
      <c r="F968" s="118"/>
      <c r="G968" s="119"/>
      <c r="H968" s="165"/>
      <c r="I968" s="119"/>
      <c r="J968" s="119"/>
      <c r="K968" s="157"/>
    </row>
    <row r="969" spans="1:11" x14ac:dyDescent="0.3">
      <c r="A969" s="127"/>
      <c r="B969" s="109"/>
      <c r="C969" s="161"/>
      <c r="D969" s="161"/>
      <c r="E969" s="161"/>
      <c r="F969" s="118"/>
      <c r="G969" s="119"/>
      <c r="H969" s="165"/>
      <c r="I969" s="119"/>
      <c r="J969" s="119"/>
      <c r="K969" s="157"/>
    </row>
    <row r="970" spans="1:11" x14ac:dyDescent="0.3">
      <c r="A970" s="127"/>
      <c r="B970" s="109"/>
      <c r="C970" s="161"/>
      <c r="D970" s="161"/>
      <c r="E970" s="161"/>
      <c r="F970" s="118"/>
      <c r="G970" s="119"/>
      <c r="H970" s="165"/>
      <c r="I970" s="119"/>
      <c r="J970" s="119"/>
      <c r="K970" s="157"/>
    </row>
    <row r="971" spans="1:11" x14ac:dyDescent="0.3">
      <c r="A971" s="127"/>
      <c r="B971" s="109"/>
      <c r="C971" s="161"/>
      <c r="D971" s="161"/>
      <c r="E971" s="161"/>
      <c r="F971" s="118"/>
      <c r="G971" s="119"/>
      <c r="H971" s="165"/>
      <c r="I971" s="119"/>
      <c r="J971" s="119"/>
      <c r="K971" s="157"/>
    </row>
    <row r="972" spans="1:11" x14ac:dyDescent="0.3">
      <c r="A972" s="127"/>
      <c r="B972" s="109"/>
      <c r="C972" s="161"/>
      <c r="D972" s="161"/>
      <c r="E972" s="161"/>
      <c r="F972" s="118"/>
      <c r="G972" s="119"/>
      <c r="H972" s="165"/>
      <c r="I972" s="119"/>
      <c r="J972" s="119"/>
      <c r="K972" s="157"/>
    </row>
    <row r="973" spans="1:11" x14ac:dyDescent="0.3">
      <c r="A973" s="127"/>
      <c r="B973" s="109"/>
      <c r="C973" s="161"/>
      <c r="D973" s="161"/>
      <c r="E973" s="161"/>
      <c r="F973" s="118"/>
      <c r="G973" s="119"/>
      <c r="H973" s="165"/>
      <c r="I973" s="119"/>
      <c r="J973" s="119"/>
      <c r="K973" s="157"/>
    </row>
    <row r="974" spans="1:11" x14ac:dyDescent="0.3">
      <c r="A974" s="127"/>
      <c r="B974" s="109"/>
      <c r="C974" s="161"/>
      <c r="D974" s="161"/>
      <c r="E974" s="161"/>
      <c r="F974" s="118"/>
      <c r="G974" s="119"/>
      <c r="H974" s="165"/>
      <c r="I974" s="119"/>
      <c r="J974" s="119"/>
      <c r="K974" s="157"/>
    </row>
    <row r="975" spans="1:11" x14ac:dyDescent="0.3">
      <c r="A975" s="127"/>
      <c r="B975" s="109"/>
      <c r="C975" s="161"/>
      <c r="D975" s="161"/>
      <c r="E975" s="161"/>
      <c r="F975" s="118"/>
      <c r="G975" s="119"/>
      <c r="H975" s="165"/>
      <c r="I975" s="119"/>
      <c r="J975" s="119"/>
      <c r="K975" s="157"/>
    </row>
    <row r="976" spans="1:11" x14ac:dyDescent="0.3">
      <c r="A976" s="127"/>
      <c r="B976" s="109"/>
      <c r="C976" s="161"/>
      <c r="D976" s="161"/>
      <c r="E976" s="161"/>
      <c r="F976" s="118"/>
      <c r="G976" s="119"/>
      <c r="H976" s="165"/>
      <c r="I976" s="119"/>
      <c r="J976" s="119"/>
      <c r="K976" s="157"/>
    </row>
    <row r="977" spans="1:11" x14ac:dyDescent="0.3">
      <c r="A977" s="127"/>
      <c r="B977" s="109"/>
      <c r="C977" s="161"/>
      <c r="D977" s="161"/>
      <c r="E977" s="161"/>
      <c r="F977" s="118"/>
      <c r="G977" s="119"/>
      <c r="H977" s="165"/>
      <c r="I977" s="119"/>
      <c r="J977" s="119"/>
      <c r="K977" s="157"/>
    </row>
    <row r="978" spans="1:11" x14ac:dyDescent="0.3">
      <c r="A978" s="127"/>
      <c r="B978" s="109"/>
      <c r="C978" s="161"/>
      <c r="D978" s="161"/>
      <c r="E978" s="161"/>
      <c r="F978" s="118"/>
      <c r="G978" s="119"/>
      <c r="H978" s="165"/>
      <c r="I978" s="119"/>
      <c r="J978" s="119"/>
      <c r="K978" s="157"/>
    </row>
    <row r="979" spans="1:11" x14ac:dyDescent="0.3">
      <c r="A979" s="127"/>
      <c r="B979" s="109"/>
      <c r="C979" s="161"/>
      <c r="D979" s="161"/>
      <c r="E979" s="161"/>
      <c r="F979" s="118"/>
      <c r="G979" s="119"/>
      <c r="H979" s="165"/>
      <c r="I979" s="119"/>
      <c r="J979" s="119"/>
      <c r="K979" s="157"/>
    </row>
    <row r="980" spans="1:11" x14ac:dyDescent="0.3">
      <c r="A980" s="127"/>
      <c r="B980" s="109"/>
      <c r="C980" s="161"/>
      <c r="D980" s="161"/>
      <c r="E980" s="161"/>
      <c r="F980" s="118"/>
      <c r="G980" s="119"/>
      <c r="H980" s="165"/>
      <c r="I980" s="119"/>
      <c r="J980" s="119"/>
      <c r="K980" s="157"/>
    </row>
    <row r="981" spans="1:11" x14ac:dyDescent="0.3">
      <c r="A981" s="127"/>
      <c r="B981" s="109"/>
      <c r="C981" s="161"/>
      <c r="D981" s="161"/>
      <c r="E981" s="161"/>
      <c r="F981" s="118"/>
      <c r="G981" s="119"/>
      <c r="H981" s="165"/>
      <c r="I981" s="119"/>
      <c r="J981" s="119"/>
      <c r="K981" s="157"/>
    </row>
    <row r="982" spans="1:11" x14ac:dyDescent="0.3">
      <c r="A982" s="127"/>
      <c r="B982" s="109"/>
      <c r="C982" s="161"/>
      <c r="D982" s="161"/>
      <c r="E982" s="161"/>
      <c r="F982" s="118"/>
      <c r="G982" s="119"/>
      <c r="H982" s="165"/>
      <c r="I982" s="119"/>
      <c r="J982" s="119"/>
      <c r="K982" s="157"/>
    </row>
    <row r="983" spans="1:11" x14ac:dyDescent="0.3">
      <c r="A983" s="127"/>
      <c r="B983" s="109"/>
      <c r="C983" s="161"/>
      <c r="D983" s="161"/>
      <c r="E983" s="161"/>
      <c r="F983" s="118"/>
      <c r="G983" s="119"/>
      <c r="H983" s="165"/>
      <c r="I983" s="119"/>
      <c r="J983" s="119"/>
      <c r="K983" s="157"/>
    </row>
    <row r="984" spans="1:11" x14ac:dyDescent="0.3">
      <c r="A984" s="127"/>
      <c r="B984" s="109"/>
      <c r="C984" s="161"/>
      <c r="D984" s="161"/>
      <c r="E984" s="161"/>
      <c r="F984" s="118"/>
      <c r="G984" s="119"/>
      <c r="H984" s="165"/>
      <c r="I984" s="119"/>
      <c r="J984" s="119"/>
      <c r="K984" s="157"/>
    </row>
    <row r="985" spans="1:11" x14ac:dyDescent="0.3">
      <c r="A985" s="127"/>
      <c r="B985" s="109"/>
      <c r="C985" s="161"/>
      <c r="D985" s="161"/>
      <c r="E985" s="161"/>
      <c r="F985" s="118"/>
      <c r="G985" s="119"/>
      <c r="H985" s="165"/>
      <c r="I985" s="119"/>
      <c r="J985" s="119"/>
      <c r="K985" s="157"/>
    </row>
    <row r="986" spans="1:11" x14ac:dyDescent="0.3">
      <c r="A986" s="127"/>
      <c r="B986" s="109"/>
      <c r="C986" s="161"/>
      <c r="D986" s="161"/>
      <c r="E986" s="161"/>
      <c r="F986" s="118"/>
      <c r="G986" s="119"/>
      <c r="H986" s="165"/>
      <c r="I986" s="119"/>
      <c r="J986" s="119"/>
      <c r="K986" s="157"/>
    </row>
    <row r="987" spans="1:11" x14ac:dyDescent="0.3">
      <c r="A987" s="127"/>
      <c r="B987" s="109"/>
      <c r="C987" s="161"/>
      <c r="D987" s="161"/>
      <c r="E987" s="161"/>
      <c r="F987" s="118"/>
      <c r="G987" s="119"/>
      <c r="H987" s="165"/>
      <c r="I987" s="119"/>
      <c r="J987" s="119"/>
      <c r="K987" s="157"/>
    </row>
    <row r="988" spans="1:11" x14ac:dyDescent="0.3">
      <c r="A988" s="127"/>
      <c r="B988" s="109"/>
      <c r="C988" s="161"/>
      <c r="D988" s="161"/>
      <c r="E988" s="161"/>
      <c r="F988" s="118"/>
      <c r="G988" s="119"/>
      <c r="H988" s="165"/>
      <c r="I988" s="119"/>
      <c r="J988" s="119"/>
      <c r="K988" s="157"/>
    </row>
    <row r="989" spans="1:11" x14ac:dyDescent="0.3">
      <c r="A989" s="127"/>
      <c r="B989" s="109"/>
      <c r="C989" s="161"/>
      <c r="D989" s="161"/>
      <c r="E989" s="161"/>
      <c r="F989" s="118"/>
      <c r="G989" s="119"/>
      <c r="H989" s="165"/>
      <c r="I989" s="119"/>
      <c r="J989" s="119"/>
      <c r="K989" s="157"/>
    </row>
    <row r="990" spans="1:11" x14ac:dyDescent="0.3">
      <c r="A990" s="127"/>
      <c r="B990" s="109"/>
      <c r="C990" s="161"/>
      <c r="D990" s="161"/>
      <c r="E990" s="161"/>
      <c r="F990" s="118"/>
      <c r="G990" s="119"/>
      <c r="H990" s="165"/>
      <c r="I990" s="119"/>
      <c r="J990" s="119"/>
      <c r="K990" s="157"/>
    </row>
    <row r="991" spans="1:11" x14ac:dyDescent="0.3">
      <c r="A991" s="127"/>
      <c r="B991" s="109"/>
      <c r="C991" s="161"/>
      <c r="D991" s="161"/>
      <c r="E991" s="161"/>
      <c r="F991" s="118"/>
      <c r="G991" s="119"/>
      <c r="H991" s="165"/>
      <c r="I991" s="119"/>
      <c r="J991" s="119"/>
      <c r="K991" s="157"/>
    </row>
    <row r="992" spans="1:11" x14ac:dyDescent="0.3">
      <c r="A992" s="127"/>
      <c r="B992" s="109"/>
      <c r="C992" s="161"/>
      <c r="D992" s="161"/>
      <c r="E992" s="161"/>
      <c r="F992" s="118"/>
      <c r="G992" s="119"/>
      <c r="H992" s="165"/>
      <c r="I992" s="119"/>
      <c r="J992" s="119"/>
      <c r="K992" s="157"/>
    </row>
    <row r="993" spans="1:11" x14ac:dyDescent="0.3">
      <c r="A993" s="127"/>
      <c r="B993" s="109"/>
      <c r="C993" s="161"/>
      <c r="D993" s="161"/>
      <c r="E993" s="161"/>
      <c r="F993" s="118"/>
      <c r="G993" s="119"/>
      <c r="H993" s="165"/>
      <c r="I993" s="119"/>
      <c r="J993" s="119"/>
      <c r="K993" s="157"/>
    </row>
    <row r="994" spans="1:11" x14ac:dyDescent="0.3">
      <c r="A994" s="127"/>
      <c r="B994" s="109"/>
      <c r="C994" s="161"/>
      <c r="D994" s="161"/>
      <c r="E994" s="161"/>
      <c r="F994" s="118"/>
      <c r="G994" s="119"/>
      <c r="H994" s="165"/>
      <c r="I994" s="119"/>
      <c r="J994" s="119"/>
      <c r="K994" s="157"/>
    </row>
    <row r="995" spans="1:11" x14ac:dyDescent="0.3">
      <c r="A995" s="127"/>
      <c r="B995" s="109"/>
      <c r="C995" s="161"/>
      <c r="D995" s="161"/>
      <c r="E995" s="161"/>
      <c r="F995" s="118"/>
      <c r="G995" s="119"/>
      <c r="H995" s="165"/>
      <c r="I995" s="119"/>
      <c r="J995" s="119"/>
      <c r="K995" s="157"/>
    </row>
    <row r="996" spans="1:11" x14ac:dyDescent="0.3">
      <c r="A996" s="127"/>
      <c r="B996" s="109"/>
      <c r="C996" s="161"/>
      <c r="D996" s="161"/>
      <c r="E996" s="161"/>
      <c r="F996" s="118"/>
      <c r="G996" s="119"/>
      <c r="H996" s="165"/>
      <c r="I996" s="119"/>
      <c r="J996" s="119"/>
      <c r="K996" s="157"/>
    </row>
    <row r="997" spans="1:11" x14ac:dyDescent="0.3">
      <c r="A997" s="127"/>
      <c r="B997" s="109"/>
      <c r="C997" s="161"/>
      <c r="D997" s="161"/>
      <c r="E997" s="161"/>
      <c r="F997" s="118"/>
      <c r="G997" s="119"/>
      <c r="H997" s="165"/>
      <c r="I997" s="119"/>
      <c r="J997" s="119"/>
      <c r="K997" s="157"/>
    </row>
    <row r="998" spans="1:11" x14ac:dyDescent="0.3">
      <c r="A998" s="127"/>
      <c r="B998" s="109"/>
      <c r="C998" s="161"/>
      <c r="D998" s="161"/>
      <c r="E998" s="161"/>
      <c r="F998" s="118"/>
      <c r="G998" s="119"/>
      <c r="H998" s="165"/>
      <c r="I998" s="119"/>
      <c r="J998" s="119"/>
      <c r="K998" s="157"/>
    </row>
    <row r="999" spans="1:11" x14ac:dyDescent="0.3">
      <c r="A999" s="128"/>
      <c r="B999" s="120"/>
      <c r="C999" s="162"/>
      <c r="D999" s="162"/>
      <c r="E999" s="162"/>
      <c r="F999" s="121"/>
      <c r="G999" s="122"/>
      <c r="H999" s="166"/>
      <c r="I999" s="122"/>
      <c r="J999" s="122"/>
      <c r="K999" s="158"/>
    </row>
  </sheetData>
  <autoFilter ref="A1:K1" xr:uid="{DEE2C6B4-8307-4F7F-9617-51069FF0D0AB}"/>
  <sortState xmlns:xlrd2="http://schemas.microsoft.com/office/spreadsheetml/2017/richdata2" ref="A2:K201">
    <sortCondition ref="A2:A201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workbookViewId="0">
      <selection activeCell="A5" sqref="A1:XFD1048576"/>
    </sheetView>
  </sheetViews>
  <sheetFormatPr defaultColWidth="14.44140625" defaultRowHeight="15" customHeight="1" x14ac:dyDescent="0.3"/>
  <cols>
    <col min="1" max="1" width="10.88671875" bestFit="1" customWidth="1"/>
    <col min="2" max="2" width="12.77734375" bestFit="1" customWidth="1"/>
    <col min="3" max="3" width="29.5546875" style="1" customWidth="1"/>
    <col min="4" max="4" width="16.33203125" bestFit="1" customWidth="1"/>
    <col min="5" max="5" width="31.44140625" bestFit="1" customWidth="1"/>
    <col min="6" max="6" width="9.5546875" bestFit="1" customWidth="1"/>
    <col min="7" max="7" width="11" style="18" bestFit="1" customWidth="1"/>
    <col min="8" max="8" width="14.5546875" style="22" bestFit="1" customWidth="1"/>
    <col min="9" max="9" width="10.109375" style="22" bestFit="1" customWidth="1"/>
    <col min="10" max="10" width="10.5546875" style="22" bestFit="1" customWidth="1"/>
    <col min="11" max="11" width="15.44140625" style="22" bestFit="1" customWidth="1"/>
    <col min="12" max="12" width="20.77734375" style="33" bestFit="1" customWidth="1"/>
    <col min="13" max="13" width="26" bestFit="1" customWidth="1"/>
    <col min="14" max="27" width="8.6640625" customWidth="1"/>
  </cols>
  <sheetData>
    <row r="1" spans="1:13" ht="14.25" customHeight="1" x14ac:dyDescent="0.3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19" t="s">
        <v>7</v>
      </c>
      <c r="I1" s="19" t="s">
        <v>8</v>
      </c>
      <c r="J1" s="23" t="s">
        <v>9</v>
      </c>
      <c r="K1" s="19" t="s">
        <v>10</v>
      </c>
      <c r="L1" s="29" t="s">
        <v>353</v>
      </c>
      <c r="M1" s="5" t="s">
        <v>11</v>
      </c>
    </row>
    <row r="2" spans="1:13" ht="14.25" customHeight="1" x14ac:dyDescent="0.3">
      <c r="A2" s="6" t="s">
        <v>108</v>
      </c>
      <c r="B2" s="7" t="s">
        <v>17</v>
      </c>
      <c r="C2" s="8">
        <v>45497</v>
      </c>
      <c r="D2" s="7" t="s">
        <v>24</v>
      </c>
      <c r="E2" s="7" t="s">
        <v>347</v>
      </c>
      <c r="F2" s="16">
        <v>22914</v>
      </c>
      <c r="G2" s="16">
        <v>954</v>
      </c>
      <c r="H2" s="20">
        <v>584</v>
      </c>
      <c r="I2" s="20">
        <v>1519</v>
      </c>
      <c r="J2" s="24">
        <v>13637</v>
      </c>
      <c r="K2" s="20">
        <v>49847</v>
      </c>
      <c r="L2" s="31">
        <f t="shared" ref="L2:L65" si="0">(F2+G2+H2)/K2</f>
        <v>0.49054105563022848</v>
      </c>
      <c r="M2" s="9" t="s">
        <v>15</v>
      </c>
    </row>
    <row r="3" spans="1:13" ht="14.25" customHeight="1" x14ac:dyDescent="0.3">
      <c r="A3" s="6" t="s">
        <v>227</v>
      </c>
      <c r="B3" s="7" t="s">
        <v>13</v>
      </c>
      <c r="C3" s="8">
        <v>45672</v>
      </c>
      <c r="D3" s="7" t="s">
        <v>21</v>
      </c>
      <c r="E3" s="7" t="s">
        <v>28</v>
      </c>
      <c r="F3" s="16">
        <v>20360</v>
      </c>
      <c r="G3" s="16">
        <v>254</v>
      </c>
      <c r="H3" s="20">
        <v>726</v>
      </c>
      <c r="I3" s="20">
        <v>1995</v>
      </c>
      <c r="J3" s="24">
        <v>14280</v>
      </c>
      <c r="K3" s="20">
        <v>43726</v>
      </c>
      <c r="L3" s="31">
        <f t="shared" si="0"/>
        <v>0.48803915290673738</v>
      </c>
      <c r="M3" s="9" t="s">
        <v>25</v>
      </c>
    </row>
    <row r="4" spans="1:13" ht="14.25" customHeight="1" x14ac:dyDescent="0.3">
      <c r="A4" s="6" t="s">
        <v>147</v>
      </c>
      <c r="B4" s="7" t="s">
        <v>17</v>
      </c>
      <c r="C4" s="8">
        <v>45502</v>
      </c>
      <c r="D4" s="7" t="s">
        <v>24</v>
      </c>
      <c r="E4" s="7" t="s">
        <v>343</v>
      </c>
      <c r="F4" s="16">
        <v>19144</v>
      </c>
      <c r="G4" s="16">
        <v>1182</v>
      </c>
      <c r="H4" s="20">
        <v>860</v>
      </c>
      <c r="I4" s="20">
        <v>1398</v>
      </c>
      <c r="J4" s="24">
        <v>4185</v>
      </c>
      <c r="K4" s="20">
        <v>46570</v>
      </c>
      <c r="L4" s="31">
        <f t="shared" si="0"/>
        <v>0.454928065278076</v>
      </c>
      <c r="M4" s="9" t="s">
        <v>15</v>
      </c>
    </row>
    <row r="5" spans="1:13" ht="14.25" customHeight="1" x14ac:dyDescent="0.3">
      <c r="A5" s="6" t="s">
        <v>153</v>
      </c>
      <c r="B5" s="7" t="s">
        <v>34</v>
      </c>
      <c r="C5" s="8">
        <v>45684</v>
      </c>
      <c r="D5" s="7" t="s">
        <v>14</v>
      </c>
      <c r="E5" s="7" t="s">
        <v>350</v>
      </c>
      <c r="F5" s="16">
        <v>24415</v>
      </c>
      <c r="G5" s="16">
        <v>860</v>
      </c>
      <c r="H5" s="20">
        <v>931</v>
      </c>
      <c r="I5" s="20">
        <v>320</v>
      </c>
      <c r="J5" s="24">
        <v>65049</v>
      </c>
      <c r="K5" s="20">
        <v>62911</v>
      </c>
      <c r="L5" s="31">
        <f t="shared" si="0"/>
        <v>0.41655672298962027</v>
      </c>
      <c r="M5" s="9" t="s">
        <v>15</v>
      </c>
    </row>
    <row r="6" spans="1:13" ht="14.25" customHeight="1" x14ac:dyDescent="0.3">
      <c r="A6" s="6" t="s">
        <v>37</v>
      </c>
      <c r="B6" s="7" t="s">
        <v>13</v>
      </c>
      <c r="C6" s="8">
        <v>45614</v>
      </c>
      <c r="D6" s="7" t="s">
        <v>30</v>
      </c>
      <c r="E6" s="7" t="s">
        <v>347</v>
      </c>
      <c r="F6" s="16">
        <v>21255</v>
      </c>
      <c r="G6" s="16">
        <v>1452</v>
      </c>
      <c r="H6" s="20">
        <v>625</v>
      </c>
      <c r="I6" s="20">
        <v>1624</v>
      </c>
      <c r="J6" s="24">
        <v>21282</v>
      </c>
      <c r="K6" s="20">
        <v>57778</v>
      </c>
      <c r="L6" s="31">
        <f t="shared" si="0"/>
        <v>0.40382152376337016</v>
      </c>
      <c r="M6" s="9" t="s">
        <v>38</v>
      </c>
    </row>
    <row r="7" spans="1:13" ht="14.25" customHeight="1" x14ac:dyDescent="0.3">
      <c r="A7" s="6" t="s">
        <v>149</v>
      </c>
      <c r="B7" s="7" t="s">
        <v>34</v>
      </c>
      <c r="C7" s="8">
        <v>45457</v>
      </c>
      <c r="D7" s="7" t="s">
        <v>24</v>
      </c>
      <c r="E7" s="7" t="s">
        <v>350</v>
      </c>
      <c r="F7" s="16">
        <v>17183</v>
      </c>
      <c r="G7" s="16">
        <v>1224</v>
      </c>
      <c r="H7" s="20">
        <v>943</v>
      </c>
      <c r="I7" s="20">
        <v>2010</v>
      </c>
      <c r="J7" s="24">
        <v>21481</v>
      </c>
      <c r="K7" s="20">
        <v>49110</v>
      </c>
      <c r="L7" s="31">
        <f t="shared" si="0"/>
        <v>0.39401343921808185</v>
      </c>
      <c r="M7" s="9" t="s">
        <v>22</v>
      </c>
    </row>
    <row r="8" spans="1:13" ht="14.25" customHeight="1" x14ac:dyDescent="0.3">
      <c r="A8" s="6" t="s">
        <v>313</v>
      </c>
      <c r="B8" s="7" t="s">
        <v>20</v>
      </c>
      <c r="C8" s="8">
        <v>45519</v>
      </c>
      <c r="D8" s="7" t="s">
        <v>24</v>
      </c>
      <c r="E8" s="7" t="s">
        <v>346</v>
      </c>
      <c r="F8" s="16">
        <v>14977</v>
      </c>
      <c r="G8" s="16">
        <v>274</v>
      </c>
      <c r="H8" s="20">
        <v>798</v>
      </c>
      <c r="I8" s="20">
        <v>458</v>
      </c>
      <c r="J8" s="24">
        <v>6636</v>
      </c>
      <c r="K8" s="20">
        <v>43654</v>
      </c>
      <c r="L8" s="31">
        <f t="shared" si="0"/>
        <v>0.36764099509781462</v>
      </c>
      <c r="M8" s="9" t="s">
        <v>15</v>
      </c>
    </row>
    <row r="9" spans="1:13" ht="14.25" customHeight="1" x14ac:dyDescent="0.3">
      <c r="A9" s="6" t="s">
        <v>252</v>
      </c>
      <c r="B9" s="7" t="s">
        <v>34</v>
      </c>
      <c r="C9" s="8">
        <v>45908</v>
      </c>
      <c r="D9" s="7" t="s">
        <v>21</v>
      </c>
      <c r="E9" s="7" t="s">
        <v>348</v>
      </c>
      <c r="F9" s="16">
        <v>23785</v>
      </c>
      <c r="G9" s="16">
        <v>1013</v>
      </c>
      <c r="H9" s="20">
        <v>468</v>
      </c>
      <c r="I9" s="20">
        <v>1628</v>
      </c>
      <c r="J9" s="24">
        <v>8272</v>
      </c>
      <c r="K9" s="20">
        <v>71348</v>
      </c>
      <c r="L9" s="31">
        <f t="shared" si="0"/>
        <v>0.35412345125301342</v>
      </c>
      <c r="M9" s="9" t="s">
        <v>18</v>
      </c>
    </row>
    <row r="10" spans="1:13" ht="14.25" customHeight="1" x14ac:dyDescent="0.3">
      <c r="A10" s="6" t="s">
        <v>257</v>
      </c>
      <c r="B10" s="7" t="s">
        <v>34</v>
      </c>
      <c r="C10" s="8">
        <v>45909</v>
      </c>
      <c r="D10" s="7" t="s">
        <v>14</v>
      </c>
      <c r="E10" s="7" t="s">
        <v>347</v>
      </c>
      <c r="F10" s="16">
        <v>19260</v>
      </c>
      <c r="G10" s="16">
        <v>668</v>
      </c>
      <c r="H10" s="20">
        <v>994</v>
      </c>
      <c r="I10" s="20">
        <v>934</v>
      </c>
      <c r="J10" s="24">
        <v>20509</v>
      </c>
      <c r="K10" s="20">
        <v>61636</v>
      </c>
      <c r="L10" s="31">
        <f t="shared" si="0"/>
        <v>0.33944448049841003</v>
      </c>
      <c r="M10" s="9" t="s">
        <v>18</v>
      </c>
    </row>
    <row r="11" spans="1:13" ht="14.25" customHeight="1" x14ac:dyDescent="0.3">
      <c r="A11" s="6" t="s">
        <v>211</v>
      </c>
      <c r="B11" s="7" t="s">
        <v>20</v>
      </c>
      <c r="C11" s="8">
        <v>45668</v>
      </c>
      <c r="D11" s="7" t="s">
        <v>14</v>
      </c>
      <c r="E11" s="7" t="s">
        <v>344</v>
      </c>
      <c r="F11" s="16">
        <v>21181</v>
      </c>
      <c r="G11" s="16">
        <v>1242</v>
      </c>
      <c r="H11" s="20">
        <v>963</v>
      </c>
      <c r="I11" s="20">
        <v>1689</v>
      </c>
      <c r="J11" s="24">
        <v>49329</v>
      </c>
      <c r="K11" s="20">
        <v>69165</v>
      </c>
      <c r="L11" s="31">
        <f t="shared" si="0"/>
        <v>0.33811899081905589</v>
      </c>
      <c r="M11" s="9" t="s">
        <v>15</v>
      </c>
    </row>
    <row r="12" spans="1:13" ht="14.25" customHeight="1" x14ac:dyDescent="0.3">
      <c r="A12" s="6" t="s">
        <v>132</v>
      </c>
      <c r="B12" s="7" t="s">
        <v>34</v>
      </c>
      <c r="C12" s="8">
        <v>45692</v>
      </c>
      <c r="D12" s="7" t="s">
        <v>30</v>
      </c>
      <c r="E12" s="7" t="s">
        <v>348</v>
      </c>
      <c r="F12" s="16">
        <v>23833</v>
      </c>
      <c r="G12" s="16">
        <v>555</v>
      </c>
      <c r="H12" s="20">
        <v>523</v>
      </c>
      <c r="I12" s="20">
        <v>1330</v>
      </c>
      <c r="J12" s="24">
        <v>69141</v>
      </c>
      <c r="K12" s="20">
        <v>73997</v>
      </c>
      <c r="L12" s="31">
        <f t="shared" si="0"/>
        <v>0.33664878305877266</v>
      </c>
      <c r="M12" s="9" t="s">
        <v>25</v>
      </c>
    </row>
    <row r="13" spans="1:13" ht="14.25" customHeight="1" x14ac:dyDescent="0.3">
      <c r="A13" s="6" t="s">
        <v>200</v>
      </c>
      <c r="B13" s="7" t="s">
        <v>17</v>
      </c>
      <c r="C13" s="8">
        <v>45465</v>
      </c>
      <c r="D13" s="7" t="s">
        <v>30</v>
      </c>
      <c r="E13" s="7" t="s">
        <v>343</v>
      </c>
      <c r="F13" s="16">
        <v>13479</v>
      </c>
      <c r="G13" s="16">
        <v>1189</v>
      </c>
      <c r="H13" s="20">
        <v>695</v>
      </c>
      <c r="I13" s="20">
        <v>416</v>
      </c>
      <c r="J13" s="24">
        <v>30229</v>
      </c>
      <c r="K13" s="20">
        <v>45704</v>
      </c>
      <c r="L13" s="31">
        <f t="shared" si="0"/>
        <v>0.33614125678277612</v>
      </c>
      <c r="M13" s="9" t="s">
        <v>15</v>
      </c>
    </row>
    <row r="14" spans="1:13" ht="14.25" customHeight="1" x14ac:dyDescent="0.3">
      <c r="A14" s="6" t="s">
        <v>280</v>
      </c>
      <c r="B14" s="7" t="s">
        <v>20</v>
      </c>
      <c r="C14" s="8">
        <v>45671</v>
      </c>
      <c r="D14" s="7" t="s">
        <v>30</v>
      </c>
      <c r="E14" s="7" t="s">
        <v>350</v>
      </c>
      <c r="F14" s="16">
        <v>24350</v>
      </c>
      <c r="G14" s="16">
        <v>460</v>
      </c>
      <c r="H14" s="20">
        <v>666</v>
      </c>
      <c r="I14" s="20">
        <v>814</v>
      </c>
      <c r="J14" s="24">
        <v>21120</v>
      </c>
      <c r="K14" s="20">
        <v>76914</v>
      </c>
      <c r="L14" s="31">
        <f t="shared" si="0"/>
        <v>0.33122708479600593</v>
      </c>
      <c r="M14" s="9" t="s">
        <v>15</v>
      </c>
    </row>
    <row r="15" spans="1:13" ht="14.25" customHeight="1" x14ac:dyDescent="0.3">
      <c r="A15" s="6" t="s">
        <v>249</v>
      </c>
      <c r="B15" s="7" t="s">
        <v>34</v>
      </c>
      <c r="C15" s="8">
        <v>45608</v>
      </c>
      <c r="D15" s="7" t="s">
        <v>24</v>
      </c>
      <c r="E15" s="7" t="s">
        <v>345</v>
      </c>
      <c r="F15" s="16">
        <v>17913</v>
      </c>
      <c r="G15" s="16">
        <v>1311</v>
      </c>
      <c r="H15" s="20">
        <v>859</v>
      </c>
      <c r="I15" s="20">
        <v>405</v>
      </c>
      <c r="J15" s="24">
        <v>59842</v>
      </c>
      <c r="K15" s="20">
        <v>62612</v>
      </c>
      <c r="L15" s="31">
        <f t="shared" si="0"/>
        <v>0.32075321024723696</v>
      </c>
      <c r="M15" s="9" t="s">
        <v>22</v>
      </c>
    </row>
    <row r="16" spans="1:13" ht="14.25" customHeight="1" x14ac:dyDescent="0.3">
      <c r="A16" s="6" t="s">
        <v>190</v>
      </c>
      <c r="B16" s="7" t="s">
        <v>17</v>
      </c>
      <c r="C16" s="8">
        <v>45715</v>
      </c>
      <c r="D16" s="7" t="s">
        <v>14</v>
      </c>
      <c r="E16" s="7" t="s">
        <v>344</v>
      </c>
      <c r="F16" s="16">
        <v>16178</v>
      </c>
      <c r="G16" s="16">
        <v>1048</v>
      </c>
      <c r="H16" s="20">
        <v>871</v>
      </c>
      <c r="I16" s="20">
        <v>2553</v>
      </c>
      <c r="J16" s="24">
        <v>39025</v>
      </c>
      <c r="K16" s="20">
        <v>59508</v>
      </c>
      <c r="L16" s="31">
        <f t="shared" si="0"/>
        <v>0.30411037171472743</v>
      </c>
      <c r="M16" s="9" t="s">
        <v>15</v>
      </c>
    </row>
    <row r="17" spans="1:13" ht="14.25" customHeight="1" x14ac:dyDescent="0.3">
      <c r="A17" s="6" t="s">
        <v>177</v>
      </c>
      <c r="B17" s="7" t="s">
        <v>13</v>
      </c>
      <c r="C17" s="8">
        <v>45499</v>
      </c>
      <c r="D17" s="7" t="s">
        <v>24</v>
      </c>
      <c r="E17" s="7" t="s">
        <v>55</v>
      </c>
      <c r="F17" s="16">
        <v>18282</v>
      </c>
      <c r="G17" s="16">
        <v>224</v>
      </c>
      <c r="H17" s="20">
        <v>962</v>
      </c>
      <c r="I17" s="20">
        <v>890</v>
      </c>
      <c r="J17" s="24">
        <v>35105</v>
      </c>
      <c r="K17" s="20">
        <v>64089</v>
      </c>
      <c r="L17" s="31">
        <f t="shared" si="0"/>
        <v>0.30376507669022768</v>
      </c>
      <c r="M17" s="9" t="s">
        <v>25</v>
      </c>
    </row>
    <row r="18" spans="1:13" ht="14.25" customHeight="1" x14ac:dyDescent="0.3">
      <c r="A18" s="6" t="s">
        <v>166</v>
      </c>
      <c r="B18" s="7" t="s">
        <v>20</v>
      </c>
      <c r="C18" s="8">
        <v>45488</v>
      </c>
      <c r="D18" s="7" t="s">
        <v>21</v>
      </c>
      <c r="E18" s="7" t="s">
        <v>347</v>
      </c>
      <c r="F18" s="16">
        <v>14891</v>
      </c>
      <c r="G18" s="16">
        <v>674</v>
      </c>
      <c r="H18" s="20">
        <v>521</v>
      </c>
      <c r="I18" s="20">
        <v>1091</v>
      </c>
      <c r="J18" s="24">
        <v>18101</v>
      </c>
      <c r="K18" s="20">
        <v>53669</v>
      </c>
      <c r="L18" s="31">
        <f t="shared" si="0"/>
        <v>0.29972609886526674</v>
      </c>
      <c r="M18" s="9" t="s">
        <v>15</v>
      </c>
    </row>
    <row r="19" spans="1:13" ht="14.25" customHeight="1" x14ac:dyDescent="0.3">
      <c r="A19" s="6" t="s">
        <v>109</v>
      </c>
      <c r="B19" s="7" t="s">
        <v>20</v>
      </c>
      <c r="C19" s="8">
        <v>45580</v>
      </c>
      <c r="D19" s="7" t="s">
        <v>30</v>
      </c>
      <c r="E19" s="7" t="s">
        <v>28</v>
      </c>
      <c r="F19" s="16">
        <v>17781</v>
      </c>
      <c r="G19" s="16">
        <v>993</v>
      </c>
      <c r="H19" s="20">
        <v>627</v>
      </c>
      <c r="I19" s="20">
        <v>2187</v>
      </c>
      <c r="J19" s="24">
        <v>9609</v>
      </c>
      <c r="K19" s="20">
        <v>66155</v>
      </c>
      <c r="L19" s="31">
        <f t="shared" si="0"/>
        <v>0.29326581513113142</v>
      </c>
      <c r="M19" s="9" t="s">
        <v>25</v>
      </c>
    </row>
    <row r="20" spans="1:13" ht="14.25" customHeight="1" x14ac:dyDescent="0.3">
      <c r="A20" s="6" t="s">
        <v>222</v>
      </c>
      <c r="B20" s="7" t="s">
        <v>34</v>
      </c>
      <c r="C20" s="8">
        <v>45918</v>
      </c>
      <c r="D20" s="7" t="s">
        <v>21</v>
      </c>
      <c r="E20" s="7" t="s">
        <v>55</v>
      </c>
      <c r="F20" s="16">
        <v>10152</v>
      </c>
      <c r="G20" s="16">
        <v>1445</v>
      </c>
      <c r="H20" s="20">
        <v>526</v>
      </c>
      <c r="I20" s="20">
        <v>513</v>
      </c>
      <c r="J20" s="24">
        <v>18959</v>
      </c>
      <c r="K20" s="20">
        <v>43712</v>
      </c>
      <c r="L20" s="31">
        <f t="shared" si="0"/>
        <v>0.27733803074670571</v>
      </c>
      <c r="M20" s="9" t="s">
        <v>18</v>
      </c>
    </row>
    <row r="21" spans="1:13" ht="14.25" customHeight="1" x14ac:dyDescent="0.3">
      <c r="A21" s="6" t="s">
        <v>162</v>
      </c>
      <c r="B21" s="7" t="s">
        <v>20</v>
      </c>
      <c r="C21" s="8">
        <v>45932</v>
      </c>
      <c r="D21" s="7" t="s">
        <v>30</v>
      </c>
      <c r="E21" s="7" t="s">
        <v>345</v>
      </c>
      <c r="F21" s="16">
        <v>12161</v>
      </c>
      <c r="G21" s="16">
        <v>736</v>
      </c>
      <c r="H21" s="20">
        <v>876</v>
      </c>
      <c r="I21" s="20">
        <v>1233</v>
      </c>
      <c r="J21" s="24">
        <v>21337</v>
      </c>
      <c r="K21" s="20">
        <v>50225</v>
      </c>
      <c r="L21" s="31">
        <f t="shared" si="0"/>
        <v>0.27422598307615731</v>
      </c>
      <c r="M21" s="9" t="s">
        <v>18</v>
      </c>
    </row>
    <row r="22" spans="1:13" ht="14.25" customHeight="1" x14ac:dyDescent="0.3">
      <c r="A22" s="6" t="s">
        <v>26</v>
      </c>
      <c r="B22" s="7" t="s">
        <v>13</v>
      </c>
      <c r="C22" s="8">
        <v>45904</v>
      </c>
      <c r="D22" s="7" t="s">
        <v>24</v>
      </c>
      <c r="E22" s="7" t="s">
        <v>343</v>
      </c>
      <c r="F22" s="16">
        <v>21708</v>
      </c>
      <c r="G22" s="16">
        <v>435</v>
      </c>
      <c r="H22" s="20">
        <v>317</v>
      </c>
      <c r="I22" s="20">
        <v>1213</v>
      </c>
      <c r="J22" s="24">
        <v>70701</v>
      </c>
      <c r="K22" s="20">
        <v>83585</v>
      </c>
      <c r="L22" s="31">
        <f t="shared" si="0"/>
        <v>0.26870850032900639</v>
      </c>
      <c r="M22" s="9" t="s">
        <v>18</v>
      </c>
    </row>
    <row r="23" spans="1:13" ht="14.25" customHeight="1" x14ac:dyDescent="0.3">
      <c r="A23" s="6" t="s">
        <v>106</v>
      </c>
      <c r="B23" s="7" t="s">
        <v>17</v>
      </c>
      <c r="C23" s="8">
        <v>45456</v>
      </c>
      <c r="D23" s="7" t="s">
        <v>14</v>
      </c>
      <c r="E23" s="7" t="s">
        <v>343</v>
      </c>
      <c r="F23" s="16">
        <v>14173</v>
      </c>
      <c r="G23" s="16">
        <v>294</v>
      </c>
      <c r="H23" s="20">
        <v>257</v>
      </c>
      <c r="I23" s="20">
        <v>1288</v>
      </c>
      <c r="J23" s="24">
        <v>39466</v>
      </c>
      <c r="K23" s="20">
        <v>55563</v>
      </c>
      <c r="L23" s="31">
        <f t="shared" si="0"/>
        <v>0.26499649047027696</v>
      </c>
      <c r="M23" s="9" t="s">
        <v>38</v>
      </c>
    </row>
    <row r="24" spans="1:13" ht="14.25" customHeight="1" x14ac:dyDescent="0.3">
      <c r="A24" s="6" t="s">
        <v>176</v>
      </c>
      <c r="B24" s="7" t="s">
        <v>17</v>
      </c>
      <c r="C24" s="8">
        <v>45526</v>
      </c>
      <c r="D24" s="7" t="s">
        <v>24</v>
      </c>
      <c r="E24" s="7" t="s">
        <v>351</v>
      </c>
      <c r="F24" s="16">
        <v>16124</v>
      </c>
      <c r="G24" s="16">
        <v>863</v>
      </c>
      <c r="H24" s="20">
        <v>337</v>
      </c>
      <c r="I24" s="20">
        <v>819</v>
      </c>
      <c r="J24" s="24">
        <v>85788</v>
      </c>
      <c r="K24" s="20">
        <v>68625</v>
      </c>
      <c r="L24" s="31">
        <f t="shared" si="0"/>
        <v>0.25244444444444447</v>
      </c>
      <c r="M24" s="9" t="s">
        <v>25</v>
      </c>
    </row>
    <row r="25" spans="1:13" ht="14.25" customHeight="1" x14ac:dyDescent="0.3">
      <c r="A25" s="6" t="s">
        <v>246</v>
      </c>
      <c r="B25" s="7" t="s">
        <v>13</v>
      </c>
      <c r="C25" s="8">
        <v>45445</v>
      </c>
      <c r="D25" s="7" t="s">
        <v>24</v>
      </c>
      <c r="E25" s="7" t="s">
        <v>344</v>
      </c>
      <c r="F25" s="16">
        <v>14199</v>
      </c>
      <c r="G25" s="16">
        <v>1206</v>
      </c>
      <c r="H25" s="20">
        <v>954</v>
      </c>
      <c r="I25" s="20">
        <v>2009</v>
      </c>
      <c r="J25" s="24">
        <v>8</v>
      </c>
      <c r="K25" s="20">
        <v>65537</v>
      </c>
      <c r="L25" s="31">
        <f t="shared" si="0"/>
        <v>0.24961472145505592</v>
      </c>
      <c r="M25" s="9" t="s">
        <v>22</v>
      </c>
    </row>
    <row r="26" spans="1:13" ht="14.25" customHeight="1" x14ac:dyDescent="0.3">
      <c r="A26" s="6" t="s">
        <v>46</v>
      </c>
      <c r="B26" s="7" t="s">
        <v>34</v>
      </c>
      <c r="C26" s="8">
        <v>45908</v>
      </c>
      <c r="D26" s="7" t="s">
        <v>30</v>
      </c>
      <c r="E26" s="7" t="s">
        <v>351</v>
      </c>
      <c r="F26" s="16">
        <v>22309</v>
      </c>
      <c r="G26" s="16">
        <v>773</v>
      </c>
      <c r="H26" s="20">
        <v>854</v>
      </c>
      <c r="I26" s="20">
        <v>2387</v>
      </c>
      <c r="J26" s="24">
        <v>72396</v>
      </c>
      <c r="K26" s="20">
        <v>97056</v>
      </c>
      <c r="L26" s="31">
        <f t="shared" si="0"/>
        <v>0.24662050774810418</v>
      </c>
      <c r="M26" s="9" t="s">
        <v>18</v>
      </c>
    </row>
    <row r="27" spans="1:13" ht="14.25" customHeight="1" x14ac:dyDescent="0.3">
      <c r="A27" s="6" t="s">
        <v>270</v>
      </c>
      <c r="B27" s="7" t="s">
        <v>20</v>
      </c>
      <c r="C27" s="8">
        <v>45913</v>
      </c>
      <c r="D27" s="7" t="s">
        <v>24</v>
      </c>
      <c r="E27" s="7" t="s">
        <v>351</v>
      </c>
      <c r="F27" s="16">
        <v>15046</v>
      </c>
      <c r="G27" s="16">
        <v>281</v>
      </c>
      <c r="H27" s="20">
        <v>515</v>
      </c>
      <c r="I27" s="20">
        <v>550</v>
      </c>
      <c r="J27" s="24">
        <v>22583</v>
      </c>
      <c r="K27" s="20">
        <v>64596</v>
      </c>
      <c r="L27" s="31">
        <f t="shared" si="0"/>
        <v>0.24524738373893121</v>
      </c>
      <c r="M27" s="9" t="s">
        <v>18</v>
      </c>
    </row>
    <row r="28" spans="1:13" ht="14.25" customHeight="1" x14ac:dyDescent="0.3">
      <c r="A28" s="6" t="s">
        <v>102</v>
      </c>
      <c r="B28" s="7" t="s">
        <v>34</v>
      </c>
      <c r="C28" s="8">
        <v>45603</v>
      </c>
      <c r="D28" s="7" t="s">
        <v>30</v>
      </c>
      <c r="E28" s="7" t="s">
        <v>28</v>
      </c>
      <c r="F28" s="16">
        <v>17254</v>
      </c>
      <c r="G28" s="16">
        <v>246</v>
      </c>
      <c r="H28" s="20">
        <v>952</v>
      </c>
      <c r="I28" s="20">
        <v>871</v>
      </c>
      <c r="J28" s="24">
        <v>14957</v>
      </c>
      <c r="K28" s="20">
        <v>75946</v>
      </c>
      <c r="L28" s="31">
        <f t="shared" si="0"/>
        <v>0.24296210465330631</v>
      </c>
      <c r="M28" s="9" t="s">
        <v>38</v>
      </c>
    </row>
    <row r="29" spans="1:13" ht="14.25" customHeight="1" x14ac:dyDescent="0.3">
      <c r="A29" s="6" t="s">
        <v>242</v>
      </c>
      <c r="B29" s="7" t="s">
        <v>20</v>
      </c>
      <c r="C29" s="8">
        <v>45502</v>
      </c>
      <c r="D29" s="7" t="s">
        <v>21</v>
      </c>
      <c r="E29" s="7" t="s">
        <v>343</v>
      </c>
      <c r="F29" s="16">
        <v>22590</v>
      </c>
      <c r="G29" s="16">
        <v>1462</v>
      </c>
      <c r="H29" s="20">
        <v>966</v>
      </c>
      <c r="I29" s="20">
        <v>2463</v>
      </c>
      <c r="J29" s="24">
        <v>29689</v>
      </c>
      <c r="K29" s="20">
        <v>103449</v>
      </c>
      <c r="L29" s="31">
        <f t="shared" si="0"/>
        <v>0.24183897379385011</v>
      </c>
      <c r="M29" s="9" t="s">
        <v>22</v>
      </c>
    </row>
    <row r="30" spans="1:13" ht="14.25" customHeight="1" x14ac:dyDescent="0.3">
      <c r="A30" s="6" t="s">
        <v>77</v>
      </c>
      <c r="B30" s="7" t="s">
        <v>13</v>
      </c>
      <c r="C30" s="8">
        <v>45456</v>
      </c>
      <c r="D30" s="7" t="s">
        <v>30</v>
      </c>
      <c r="E30" s="7" t="s">
        <v>348</v>
      </c>
      <c r="F30" s="16">
        <v>23164</v>
      </c>
      <c r="G30" s="16">
        <v>1122</v>
      </c>
      <c r="H30" s="20">
        <v>900</v>
      </c>
      <c r="I30" s="20">
        <v>888</v>
      </c>
      <c r="J30" s="24">
        <v>36938</v>
      </c>
      <c r="K30" s="20">
        <v>104674</v>
      </c>
      <c r="L30" s="31">
        <f t="shared" si="0"/>
        <v>0.24061371496264594</v>
      </c>
      <c r="M30" s="9" t="s">
        <v>15</v>
      </c>
    </row>
    <row r="31" spans="1:13" ht="14.25" customHeight="1" x14ac:dyDescent="0.3">
      <c r="A31" s="6" t="s">
        <v>27</v>
      </c>
      <c r="B31" s="7" t="s">
        <v>17</v>
      </c>
      <c r="C31" s="8">
        <v>45905</v>
      </c>
      <c r="D31" s="7" t="s">
        <v>14</v>
      </c>
      <c r="E31" s="7" t="s">
        <v>28</v>
      </c>
      <c r="F31" s="16">
        <v>14677</v>
      </c>
      <c r="G31" s="16">
        <v>533</v>
      </c>
      <c r="H31" s="20">
        <v>759</v>
      </c>
      <c r="I31" s="20">
        <v>753</v>
      </c>
      <c r="J31" s="24">
        <v>23275</v>
      </c>
      <c r="K31" s="20">
        <v>66958</v>
      </c>
      <c r="L31" s="31">
        <f t="shared" si="0"/>
        <v>0.23849278652289496</v>
      </c>
      <c r="M31" s="9" t="s">
        <v>18</v>
      </c>
    </row>
    <row r="32" spans="1:13" ht="14.25" customHeight="1" x14ac:dyDescent="0.3">
      <c r="A32" s="6" t="s">
        <v>315</v>
      </c>
      <c r="B32" s="7" t="s">
        <v>20</v>
      </c>
      <c r="C32" s="8">
        <v>45624</v>
      </c>
      <c r="D32" s="7" t="s">
        <v>30</v>
      </c>
      <c r="E32" s="7" t="s">
        <v>347</v>
      </c>
      <c r="F32" s="16">
        <v>18644</v>
      </c>
      <c r="G32" s="16">
        <v>1369</v>
      </c>
      <c r="H32" s="20">
        <v>887</v>
      </c>
      <c r="I32" s="20">
        <v>1256</v>
      </c>
      <c r="J32" s="24">
        <v>43415</v>
      </c>
      <c r="K32" s="20">
        <v>88368</v>
      </c>
      <c r="L32" s="31">
        <f t="shared" si="0"/>
        <v>0.23651095419156257</v>
      </c>
      <c r="M32" s="9" t="s">
        <v>22</v>
      </c>
    </row>
    <row r="33" spans="1:13" ht="14.25" customHeight="1" x14ac:dyDescent="0.3">
      <c r="A33" s="6" t="s">
        <v>212</v>
      </c>
      <c r="B33" s="7" t="s">
        <v>20</v>
      </c>
      <c r="C33" s="8">
        <v>45528</v>
      </c>
      <c r="D33" s="7" t="s">
        <v>24</v>
      </c>
      <c r="E33" s="7" t="s">
        <v>345</v>
      </c>
      <c r="F33" s="16">
        <v>24890</v>
      </c>
      <c r="G33" s="16">
        <v>217</v>
      </c>
      <c r="H33" s="20">
        <v>178</v>
      </c>
      <c r="I33" s="20">
        <v>906</v>
      </c>
      <c r="J33" s="24">
        <v>54826</v>
      </c>
      <c r="K33" s="20">
        <v>107203</v>
      </c>
      <c r="L33" s="31">
        <f t="shared" si="0"/>
        <v>0.23586093672751696</v>
      </c>
      <c r="M33" s="9" t="s">
        <v>22</v>
      </c>
    </row>
    <row r="34" spans="1:13" ht="14.25" customHeight="1" x14ac:dyDescent="0.3">
      <c r="A34" s="6" t="s">
        <v>87</v>
      </c>
      <c r="B34" s="7" t="s">
        <v>13</v>
      </c>
      <c r="C34" s="8">
        <v>45540</v>
      </c>
      <c r="D34" s="7" t="s">
        <v>30</v>
      </c>
      <c r="E34" s="7" t="s">
        <v>55</v>
      </c>
      <c r="F34" s="16">
        <v>16489</v>
      </c>
      <c r="G34" s="16">
        <v>395</v>
      </c>
      <c r="H34" s="20">
        <v>350</v>
      </c>
      <c r="I34" s="20">
        <v>2364</v>
      </c>
      <c r="J34" s="24">
        <v>43239</v>
      </c>
      <c r="K34" s="20">
        <v>73397</v>
      </c>
      <c r="L34" s="31">
        <f t="shared" si="0"/>
        <v>0.23480523727127811</v>
      </c>
      <c r="M34" s="9" t="s">
        <v>38</v>
      </c>
    </row>
    <row r="35" spans="1:13" ht="14.25" customHeight="1" x14ac:dyDescent="0.3">
      <c r="A35" s="6" t="s">
        <v>312</v>
      </c>
      <c r="B35" s="7" t="s">
        <v>13</v>
      </c>
      <c r="C35" s="8">
        <v>45919</v>
      </c>
      <c r="D35" s="7" t="s">
        <v>21</v>
      </c>
      <c r="E35" s="7" t="s">
        <v>348</v>
      </c>
      <c r="F35" s="16">
        <v>22128</v>
      </c>
      <c r="G35" s="16">
        <v>1004</v>
      </c>
      <c r="H35" s="20">
        <v>690</v>
      </c>
      <c r="I35" s="20">
        <v>2048</v>
      </c>
      <c r="J35" s="24">
        <v>19443</v>
      </c>
      <c r="K35" s="20">
        <v>103646</v>
      </c>
      <c r="L35" s="31">
        <f t="shared" si="0"/>
        <v>0.22984003241803833</v>
      </c>
      <c r="M35" s="9" t="s">
        <v>18</v>
      </c>
    </row>
    <row r="36" spans="1:13" ht="14.25" customHeight="1" x14ac:dyDescent="0.3">
      <c r="A36" s="6" t="s">
        <v>131</v>
      </c>
      <c r="B36" s="7" t="s">
        <v>34</v>
      </c>
      <c r="C36" s="8">
        <v>45457</v>
      </c>
      <c r="D36" s="7" t="s">
        <v>30</v>
      </c>
      <c r="E36" s="7" t="s">
        <v>349</v>
      </c>
      <c r="F36" s="16">
        <v>21856</v>
      </c>
      <c r="G36" s="16">
        <v>1203</v>
      </c>
      <c r="H36" s="20">
        <v>634</v>
      </c>
      <c r="I36" s="20">
        <v>2807</v>
      </c>
      <c r="J36" s="24">
        <v>3647</v>
      </c>
      <c r="K36" s="20">
        <v>104178</v>
      </c>
      <c r="L36" s="31">
        <f t="shared" si="0"/>
        <v>0.22742805582752595</v>
      </c>
      <c r="M36" s="9" t="s">
        <v>25</v>
      </c>
    </row>
    <row r="37" spans="1:13" ht="14.25" customHeight="1" x14ac:dyDescent="0.3">
      <c r="A37" s="6" t="s">
        <v>145</v>
      </c>
      <c r="B37" s="7" t="s">
        <v>17</v>
      </c>
      <c r="C37" s="8">
        <v>45695</v>
      </c>
      <c r="D37" s="7" t="s">
        <v>30</v>
      </c>
      <c r="E37" s="7" t="s">
        <v>352</v>
      </c>
      <c r="F37" s="16">
        <v>20290</v>
      </c>
      <c r="G37" s="16">
        <v>619</v>
      </c>
      <c r="H37" s="20">
        <v>927</v>
      </c>
      <c r="I37" s="20">
        <v>1186</v>
      </c>
      <c r="J37" s="24">
        <v>8924</v>
      </c>
      <c r="K37" s="20">
        <v>96503</v>
      </c>
      <c r="L37" s="31">
        <f t="shared" si="0"/>
        <v>0.22627275835984373</v>
      </c>
      <c r="M37" s="9" t="s">
        <v>38</v>
      </c>
    </row>
    <row r="38" spans="1:13" ht="14.25" customHeight="1" x14ac:dyDescent="0.3">
      <c r="A38" s="6" t="s">
        <v>196</v>
      </c>
      <c r="B38" s="7" t="s">
        <v>34</v>
      </c>
      <c r="C38" s="8">
        <v>45775</v>
      </c>
      <c r="D38" s="7" t="s">
        <v>30</v>
      </c>
      <c r="E38" s="7" t="s">
        <v>351</v>
      </c>
      <c r="F38" s="16">
        <v>15013</v>
      </c>
      <c r="G38" s="16">
        <v>1286</v>
      </c>
      <c r="H38" s="20">
        <v>599</v>
      </c>
      <c r="I38" s="20">
        <v>2001</v>
      </c>
      <c r="J38" s="24">
        <v>67839</v>
      </c>
      <c r="K38" s="20">
        <v>76059</v>
      </c>
      <c r="L38" s="31">
        <f t="shared" si="0"/>
        <v>0.22216963147030594</v>
      </c>
      <c r="M38" s="9" t="s">
        <v>15</v>
      </c>
    </row>
    <row r="39" spans="1:13" ht="14.25" customHeight="1" x14ac:dyDescent="0.3">
      <c r="A39" s="6" t="s">
        <v>72</v>
      </c>
      <c r="B39" s="7" t="s">
        <v>17</v>
      </c>
      <c r="C39" s="8">
        <v>45779</v>
      </c>
      <c r="D39" s="7" t="s">
        <v>21</v>
      </c>
      <c r="E39" s="7" t="s">
        <v>350</v>
      </c>
      <c r="F39" s="16">
        <v>17444</v>
      </c>
      <c r="G39" s="16">
        <v>1402</v>
      </c>
      <c r="H39" s="20">
        <v>218</v>
      </c>
      <c r="I39" s="20">
        <v>725</v>
      </c>
      <c r="J39" s="24">
        <v>8710</v>
      </c>
      <c r="K39" s="20">
        <v>85893</v>
      </c>
      <c r="L39" s="31">
        <f t="shared" si="0"/>
        <v>0.22195056640238436</v>
      </c>
      <c r="M39" s="9" t="s">
        <v>38</v>
      </c>
    </row>
    <row r="40" spans="1:13" ht="14.25" customHeight="1" x14ac:dyDescent="0.3">
      <c r="A40" s="6" t="s">
        <v>213</v>
      </c>
      <c r="B40" s="7" t="s">
        <v>34</v>
      </c>
      <c r="C40" s="8">
        <v>45648</v>
      </c>
      <c r="D40" s="7" t="s">
        <v>21</v>
      </c>
      <c r="E40" s="7" t="s">
        <v>352</v>
      </c>
      <c r="F40" s="16">
        <v>7870</v>
      </c>
      <c r="G40" s="16">
        <v>968</v>
      </c>
      <c r="H40" s="20">
        <v>626</v>
      </c>
      <c r="I40" s="20">
        <v>465</v>
      </c>
      <c r="J40" s="24">
        <v>27184</v>
      </c>
      <c r="K40" s="20">
        <v>44114</v>
      </c>
      <c r="L40" s="31">
        <f t="shared" si="0"/>
        <v>0.2145350682323072</v>
      </c>
      <c r="M40" s="9" t="s">
        <v>38</v>
      </c>
    </row>
    <row r="41" spans="1:13" ht="14.25" customHeight="1" x14ac:dyDescent="0.3">
      <c r="A41" s="6" t="s">
        <v>216</v>
      </c>
      <c r="B41" s="7" t="s">
        <v>34</v>
      </c>
      <c r="C41" s="8">
        <v>45569</v>
      </c>
      <c r="D41" s="7" t="s">
        <v>14</v>
      </c>
      <c r="E41" s="7" t="s">
        <v>347</v>
      </c>
      <c r="F41" s="16">
        <v>21729</v>
      </c>
      <c r="G41" s="16">
        <v>1209</v>
      </c>
      <c r="H41" s="20">
        <v>897</v>
      </c>
      <c r="I41" s="20">
        <v>1624</v>
      </c>
      <c r="J41" s="24">
        <v>38771</v>
      </c>
      <c r="K41" s="20">
        <v>113297</v>
      </c>
      <c r="L41" s="31">
        <f t="shared" si="0"/>
        <v>0.21037626768581694</v>
      </c>
      <c r="M41" s="9" t="s">
        <v>25</v>
      </c>
    </row>
    <row r="42" spans="1:13" ht="14.25" customHeight="1" x14ac:dyDescent="0.3">
      <c r="A42" s="6" t="s">
        <v>277</v>
      </c>
      <c r="B42" s="7" t="s">
        <v>34</v>
      </c>
      <c r="C42" s="8">
        <v>45915</v>
      </c>
      <c r="D42" s="7" t="s">
        <v>14</v>
      </c>
      <c r="E42" s="7" t="s">
        <v>347</v>
      </c>
      <c r="F42" s="16">
        <v>18389</v>
      </c>
      <c r="G42" s="16">
        <v>670</v>
      </c>
      <c r="H42" s="20">
        <v>655</v>
      </c>
      <c r="I42" s="20">
        <v>321</v>
      </c>
      <c r="J42" s="24">
        <v>21869</v>
      </c>
      <c r="K42" s="20">
        <v>96088</v>
      </c>
      <c r="L42" s="31">
        <f t="shared" si="0"/>
        <v>0.2051660977437349</v>
      </c>
      <c r="M42" s="9" t="s">
        <v>18</v>
      </c>
    </row>
    <row r="43" spans="1:13" ht="14.25" customHeight="1" x14ac:dyDescent="0.3">
      <c r="A43" s="6" t="s">
        <v>100</v>
      </c>
      <c r="B43" s="7" t="s">
        <v>34</v>
      </c>
      <c r="C43" s="8">
        <v>45593</v>
      </c>
      <c r="D43" s="7" t="s">
        <v>30</v>
      </c>
      <c r="E43" s="7" t="s">
        <v>346</v>
      </c>
      <c r="F43" s="16">
        <v>21198</v>
      </c>
      <c r="G43" s="16">
        <v>1484</v>
      </c>
      <c r="H43" s="20">
        <v>174</v>
      </c>
      <c r="I43" s="20">
        <v>1293</v>
      </c>
      <c r="J43" s="24">
        <v>16330</v>
      </c>
      <c r="K43" s="20">
        <v>111635</v>
      </c>
      <c r="L43" s="31">
        <f t="shared" si="0"/>
        <v>0.20473865723115511</v>
      </c>
      <c r="M43" s="9" t="s">
        <v>25</v>
      </c>
    </row>
    <row r="44" spans="1:13" ht="14.25" customHeight="1" x14ac:dyDescent="0.3">
      <c r="A44" s="6" t="s">
        <v>68</v>
      </c>
      <c r="B44" s="7" t="s">
        <v>13</v>
      </c>
      <c r="C44" s="8">
        <v>45721</v>
      </c>
      <c r="D44" s="7" t="s">
        <v>30</v>
      </c>
      <c r="E44" s="7" t="s">
        <v>350</v>
      </c>
      <c r="F44" s="16">
        <v>12916</v>
      </c>
      <c r="G44" s="16">
        <v>1262</v>
      </c>
      <c r="H44" s="20">
        <v>772</v>
      </c>
      <c r="I44" s="20">
        <v>856</v>
      </c>
      <c r="J44" s="24">
        <v>11496</v>
      </c>
      <c r="K44" s="20">
        <v>75046</v>
      </c>
      <c r="L44" s="31">
        <f t="shared" si="0"/>
        <v>0.19921115049436347</v>
      </c>
      <c r="M44" s="9" t="s">
        <v>22</v>
      </c>
    </row>
    <row r="45" spans="1:13" ht="14.25" customHeight="1" x14ac:dyDescent="0.3">
      <c r="A45" s="6" t="s">
        <v>272</v>
      </c>
      <c r="B45" s="7" t="s">
        <v>34</v>
      </c>
      <c r="C45" s="8">
        <v>45576</v>
      </c>
      <c r="D45" s="7" t="s">
        <v>30</v>
      </c>
      <c r="E45" s="7" t="s">
        <v>349</v>
      </c>
      <c r="F45" s="16">
        <v>19447</v>
      </c>
      <c r="G45" s="16">
        <v>1014</v>
      </c>
      <c r="H45" s="20">
        <v>256</v>
      </c>
      <c r="I45" s="20">
        <v>2354</v>
      </c>
      <c r="J45" s="24">
        <v>5472</v>
      </c>
      <c r="K45" s="20">
        <v>104106</v>
      </c>
      <c r="L45" s="31">
        <f t="shared" si="0"/>
        <v>0.19899909707413599</v>
      </c>
      <c r="M45" s="9" t="s">
        <v>15</v>
      </c>
    </row>
    <row r="46" spans="1:13" ht="14.25" customHeight="1" x14ac:dyDescent="0.3">
      <c r="A46" s="6" t="s">
        <v>286</v>
      </c>
      <c r="B46" s="7" t="s">
        <v>13</v>
      </c>
      <c r="C46" s="8">
        <v>45700</v>
      </c>
      <c r="D46" s="7" t="s">
        <v>24</v>
      </c>
      <c r="E46" s="7" t="s">
        <v>344</v>
      </c>
      <c r="F46" s="16">
        <v>15234</v>
      </c>
      <c r="G46" s="16">
        <v>1276</v>
      </c>
      <c r="H46" s="20">
        <v>670</v>
      </c>
      <c r="I46" s="20">
        <v>1860</v>
      </c>
      <c r="J46" s="24">
        <v>60397</v>
      </c>
      <c r="K46" s="20">
        <v>86413</v>
      </c>
      <c r="L46" s="31">
        <f t="shared" si="0"/>
        <v>0.19881267864788862</v>
      </c>
      <c r="M46" s="9" t="s">
        <v>38</v>
      </c>
    </row>
    <row r="47" spans="1:13" ht="14.25" customHeight="1" x14ac:dyDescent="0.3">
      <c r="A47" s="6" t="s">
        <v>119</v>
      </c>
      <c r="B47" s="7" t="s">
        <v>34</v>
      </c>
      <c r="C47" s="8">
        <v>45637</v>
      </c>
      <c r="D47" s="7" t="s">
        <v>30</v>
      </c>
      <c r="E47" s="7" t="s">
        <v>349</v>
      </c>
      <c r="F47" s="16">
        <v>22645</v>
      </c>
      <c r="G47" s="16">
        <v>545</v>
      </c>
      <c r="H47" s="20">
        <v>972</v>
      </c>
      <c r="I47" s="20">
        <v>321</v>
      </c>
      <c r="J47" s="24">
        <v>8396</v>
      </c>
      <c r="K47" s="20">
        <v>121537</v>
      </c>
      <c r="L47" s="31">
        <f t="shared" si="0"/>
        <v>0.19880365649966678</v>
      </c>
      <c r="M47" s="9" t="s">
        <v>38</v>
      </c>
    </row>
    <row r="48" spans="1:13" ht="14.25" customHeight="1" x14ac:dyDescent="0.3">
      <c r="A48" s="6" t="s">
        <v>189</v>
      </c>
      <c r="B48" s="7" t="s">
        <v>17</v>
      </c>
      <c r="C48" s="8">
        <v>45755</v>
      </c>
      <c r="D48" s="7" t="s">
        <v>24</v>
      </c>
      <c r="E48" s="7" t="s">
        <v>343</v>
      </c>
      <c r="F48" s="16">
        <v>15568</v>
      </c>
      <c r="G48" s="16">
        <v>1166</v>
      </c>
      <c r="H48" s="20">
        <v>546</v>
      </c>
      <c r="I48" s="20">
        <v>826</v>
      </c>
      <c r="J48" s="24">
        <v>21836</v>
      </c>
      <c r="K48" s="20">
        <v>87055</v>
      </c>
      <c r="L48" s="31">
        <f t="shared" si="0"/>
        <v>0.19849520418126471</v>
      </c>
      <c r="M48" s="9" t="s">
        <v>15</v>
      </c>
    </row>
    <row r="49" spans="1:13" ht="14.25" customHeight="1" x14ac:dyDescent="0.3">
      <c r="A49" s="6" t="s">
        <v>326</v>
      </c>
      <c r="B49" s="7" t="s">
        <v>17</v>
      </c>
      <c r="C49" s="8">
        <v>45926</v>
      </c>
      <c r="D49" s="7" t="s">
        <v>24</v>
      </c>
      <c r="E49" s="7" t="s">
        <v>349</v>
      </c>
      <c r="F49" s="16">
        <v>21216</v>
      </c>
      <c r="G49" s="16">
        <v>226</v>
      </c>
      <c r="H49" s="20">
        <v>187</v>
      </c>
      <c r="I49" s="20">
        <v>1573</v>
      </c>
      <c r="J49" s="24">
        <v>62688</v>
      </c>
      <c r="K49" s="20">
        <v>111031</v>
      </c>
      <c r="L49" s="31">
        <f t="shared" si="0"/>
        <v>0.19480145184678152</v>
      </c>
      <c r="M49" s="9" t="s">
        <v>18</v>
      </c>
    </row>
    <row r="50" spans="1:13" ht="14.25" customHeight="1" x14ac:dyDescent="0.3">
      <c r="A50" s="6" t="s">
        <v>94</v>
      </c>
      <c r="B50" s="7" t="s">
        <v>20</v>
      </c>
      <c r="C50" s="8">
        <v>45634</v>
      </c>
      <c r="D50" s="7" t="s">
        <v>24</v>
      </c>
      <c r="E50" s="7" t="s">
        <v>344</v>
      </c>
      <c r="F50" s="16">
        <v>10427</v>
      </c>
      <c r="G50" s="16">
        <v>1014</v>
      </c>
      <c r="H50" s="20">
        <v>166</v>
      </c>
      <c r="I50" s="20">
        <v>1649</v>
      </c>
      <c r="J50" s="24">
        <v>15145</v>
      </c>
      <c r="K50" s="20">
        <v>59816</v>
      </c>
      <c r="L50" s="31">
        <f t="shared" si="0"/>
        <v>0.19404507155276179</v>
      </c>
      <c r="M50" s="9" t="s">
        <v>22</v>
      </c>
    </row>
    <row r="51" spans="1:13" ht="14.25" customHeight="1" x14ac:dyDescent="0.3">
      <c r="A51" s="6" t="s">
        <v>152</v>
      </c>
      <c r="B51" s="7" t="s">
        <v>17</v>
      </c>
      <c r="C51" s="8">
        <v>45744</v>
      </c>
      <c r="D51" s="7" t="s">
        <v>14</v>
      </c>
      <c r="E51" s="7" t="s">
        <v>348</v>
      </c>
      <c r="F51" s="16">
        <v>13637</v>
      </c>
      <c r="G51" s="16">
        <v>1135</v>
      </c>
      <c r="H51" s="20">
        <v>540</v>
      </c>
      <c r="I51" s="20">
        <v>1288</v>
      </c>
      <c r="J51" s="24">
        <v>45183</v>
      </c>
      <c r="K51" s="20">
        <v>79062</v>
      </c>
      <c r="L51" s="31">
        <f t="shared" si="0"/>
        <v>0.19367079001290127</v>
      </c>
      <c r="M51" s="9" t="s">
        <v>38</v>
      </c>
    </row>
    <row r="52" spans="1:13" ht="14.25" customHeight="1" x14ac:dyDescent="0.3">
      <c r="A52" s="6" t="s">
        <v>155</v>
      </c>
      <c r="B52" s="7" t="s">
        <v>17</v>
      </c>
      <c r="C52" s="8">
        <v>45494</v>
      </c>
      <c r="D52" s="7" t="s">
        <v>14</v>
      </c>
      <c r="E52" s="7" t="s">
        <v>346</v>
      </c>
      <c r="F52" s="16">
        <v>11911</v>
      </c>
      <c r="G52" s="16">
        <v>1360</v>
      </c>
      <c r="H52" s="20">
        <v>778</v>
      </c>
      <c r="I52" s="20">
        <v>1168</v>
      </c>
      <c r="J52" s="24">
        <v>16483</v>
      </c>
      <c r="K52" s="20">
        <v>72556</v>
      </c>
      <c r="L52" s="31">
        <f t="shared" si="0"/>
        <v>0.19362974805667346</v>
      </c>
      <c r="M52" s="9" t="s">
        <v>22</v>
      </c>
    </row>
    <row r="53" spans="1:13" ht="14.25" customHeight="1" x14ac:dyDescent="0.3">
      <c r="A53" s="6" t="s">
        <v>123</v>
      </c>
      <c r="B53" s="7" t="s">
        <v>34</v>
      </c>
      <c r="C53" s="8">
        <v>45517</v>
      </c>
      <c r="D53" s="7" t="s">
        <v>30</v>
      </c>
      <c r="E53" s="7" t="s">
        <v>352</v>
      </c>
      <c r="F53" s="16">
        <v>6854</v>
      </c>
      <c r="G53" s="16">
        <v>417</v>
      </c>
      <c r="H53" s="20">
        <v>467</v>
      </c>
      <c r="I53" s="20">
        <v>1003</v>
      </c>
      <c r="J53" s="24">
        <v>61333</v>
      </c>
      <c r="K53" s="20">
        <v>40281</v>
      </c>
      <c r="L53" s="31">
        <f t="shared" si="0"/>
        <v>0.19210049402944315</v>
      </c>
      <c r="M53" s="9" t="s">
        <v>15</v>
      </c>
    </row>
    <row r="54" spans="1:13" ht="14.25" customHeight="1" x14ac:dyDescent="0.3">
      <c r="A54" s="6" t="s">
        <v>73</v>
      </c>
      <c r="B54" s="7" t="s">
        <v>17</v>
      </c>
      <c r="C54" s="8">
        <v>45712</v>
      </c>
      <c r="D54" s="7" t="s">
        <v>21</v>
      </c>
      <c r="E54" s="7" t="s">
        <v>349</v>
      </c>
      <c r="F54" s="16">
        <v>24984</v>
      </c>
      <c r="G54" s="16">
        <v>753</v>
      </c>
      <c r="H54" s="20">
        <v>461</v>
      </c>
      <c r="I54" s="20">
        <v>2710</v>
      </c>
      <c r="J54" s="24">
        <v>20792</v>
      </c>
      <c r="K54" s="20">
        <v>141520</v>
      </c>
      <c r="L54" s="31">
        <f t="shared" si="0"/>
        <v>0.18511871113623515</v>
      </c>
      <c r="M54" s="9" t="s">
        <v>22</v>
      </c>
    </row>
    <row r="55" spans="1:13" ht="14.25" customHeight="1" x14ac:dyDescent="0.3">
      <c r="A55" s="6" t="s">
        <v>178</v>
      </c>
      <c r="B55" s="7" t="s">
        <v>13</v>
      </c>
      <c r="C55" s="8">
        <v>45934</v>
      </c>
      <c r="D55" s="7" t="s">
        <v>24</v>
      </c>
      <c r="E55" s="7" t="s">
        <v>352</v>
      </c>
      <c r="F55" s="16">
        <v>12488</v>
      </c>
      <c r="G55" s="16">
        <v>1403</v>
      </c>
      <c r="H55" s="20">
        <v>247</v>
      </c>
      <c r="I55" s="20">
        <v>1350</v>
      </c>
      <c r="J55" s="24">
        <v>28370</v>
      </c>
      <c r="K55" s="20">
        <v>76487</v>
      </c>
      <c r="L55" s="31">
        <f t="shared" si="0"/>
        <v>0.18484186855282597</v>
      </c>
      <c r="M55" s="9" t="s">
        <v>18</v>
      </c>
    </row>
    <row r="56" spans="1:13" ht="14.25" customHeight="1" x14ac:dyDescent="0.3">
      <c r="A56" s="6" t="s">
        <v>256</v>
      </c>
      <c r="B56" s="7" t="s">
        <v>20</v>
      </c>
      <c r="C56" s="8">
        <v>45488</v>
      </c>
      <c r="D56" s="7" t="s">
        <v>24</v>
      </c>
      <c r="E56" s="7" t="s">
        <v>28</v>
      </c>
      <c r="F56" s="16">
        <v>12554</v>
      </c>
      <c r="G56" s="16">
        <v>381</v>
      </c>
      <c r="H56" s="20">
        <v>211</v>
      </c>
      <c r="I56" s="20">
        <v>2286</v>
      </c>
      <c r="J56" s="24">
        <v>50567</v>
      </c>
      <c r="K56" s="20">
        <v>72779</v>
      </c>
      <c r="L56" s="31">
        <f t="shared" si="0"/>
        <v>0.18062902760411656</v>
      </c>
      <c r="M56" s="9" t="s">
        <v>15</v>
      </c>
    </row>
    <row r="57" spans="1:13" ht="14.25" customHeight="1" x14ac:dyDescent="0.3">
      <c r="A57" s="6" t="s">
        <v>174</v>
      </c>
      <c r="B57" s="7" t="s">
        <v>13</v>
      </c>
      <c r="C57" s="8">
        <v>45762</v>
      </c>
      <c r="D57" s="7" t="s">
        <v>24</v>
      </c>
      <c r="E57" s="7" t="s">
        <v>349</v>
      </c>
      <c r="F57" s="16">
        <v>20977</v>
      </c>
      <c r="G57" s="16">
        <v>1402</v>
      </c>
      <c r="H57" s="20">
        <v>301</v>
      </c>
      <c r="I57" s="20">
        <v>1284</v>
      </c>
      <c r="J57" s="24">
        <v>24620</v>
      </c>
      <c r="K57" s="20">
        <v>128009</v>
      </c>
      <c r="L57" s="31">
        <f t="shared" si="0"/>
        <v>0.17717504237983267</v>
      </c>
      <c r="M57" s="9" t="s">
        <v>15</v>
      </c>
    </row>
    <row r="58" spans="1:13" ht="14.25" customHeight="1" x14ac:dyDescent="0.3">
      <c r="A58" s="6" t="s">
        <v>165</v>
      </c>
      <c r="B58" s="7" t="s">
        <v>13</v>
      </c>
      <c r="C58" s="8">
        <v>45594</v>
      </c>
      <c r="D58" s="7" t="s">
        <v>21</v>
      </c>
      <c r="E58" s="7" t="s">
        <v>350</v>
      </c>
      <c r="F58" s="16">
        <v>23969</v>
      </c>
      <c r="G58" s="16">
        <v>1433</v>
      </c>
      <c r="H58" s="20">
        <v>372</v>
      </c>
      <c r="I58" s="20">
        <v>1092</v>
      </c>
      <c r="J58" s="24">
        <v>32147</v>
      </c>
      <c r="K58" s="20">
        <v>145823</v>
      </c>
      <c r="L58" s="31">
        <f t="shared" si="0"/>
        <v>0.17674852389540743</v>
      </c>
      <c r="M58" s="9" t="s">
        <v>22</v>
      </c>
    </row>
    <row r="59" spans="1:13" ht="14.25" customHeight="1" x14ac:dyDescent="0.3">
      <c r="A59" s="6" t="s">
        <v>48</v>
      </c>
      <c r="B59" s="7" t="s">
        <v>34</v>
      </c>
      <c r="C59" s="8">
        <v>45602</v>
      </c>
      <c r="D59" s="7" t="s">
        <v>30</v>
      </c>
      <c r="E59" s="7" t="s">
        <v>350</v>
      </c>
      <c r="F59" s="16">
        <v>8938</v>
      </c>
      <c r="G59" s="16">
        <v>800</v>
      </c>
      <c r="H59" s="20">
        <v>842</v>
      </c>
      <c r="I59" s="20">
        <v>2072</v>
      </c>
      <c r="J59" s="24">
        <v>31736</v>
      </c>
      <c r="K59" s="20">
        <v>59975</v>
      </c>
      <c r="L59" s="31">
        <f t="shared" si="0"/>
        <v>0.17640683618174238</v>
      </c>
      <c r="M59" s="9" t="s">
        <v>25</v>
      </c>
    </row>
    <row r="60" spans="1:13" ht="14.25" customHeight="1" x14ac:dyDescent="0.3">
      <c r="A60" s="6" t="s">
        <v>151</v>
      </c>
      <c r="B60" s="7" t="s">
        <v>20</v>
      </c>
      <c r="C60" s="8">
        <v>45543</v>
      </c>
      <c r="D60" s="7" t="s">
        <v>30</v>
      </c>
      <c r="E60" s="7" t="s">
        <v>343</v>
      </c>
      <c r="F60" s="16">
        <v>8090</v>
      </c>
      <c r="G60" s="16">
        <v>570</v>
      </c>
      <c r="H60" s="20">
        <v>399</v>
      </c>
      <c r="I60" s="20">
        <v>1862</v>
      </c>
      <c r="J60" s="24">
        <v>34088</v>
      </c>
      <c r="K60" s="20">
        <v>52115</v>
      </c>
      <c r="L60" s="31">
        <f t="shared" si="0"/>
        <v>0.17382711311522595</v>
      </c>
      <c r="M60" s="9" t="s">
        <v>15</v>
      </c>
    </row>
    <row r="61" spans="1:13" ht="14.25" customHeight="1" x14ac:dyDescent="0.3">
      <c r="A61" s="6" t="s">
        <v>117</v>
      </c>
      <c r="B61" s="7" t="s">
        <v>17</v>
      </c>
      <c r="C61" s="8">
        <v>45924</v>
      </c>
      <c r="D61" s="7" t="s">
        <v>21</v>
      </c>
      <c r="E61" s="7" t="s">
        <v>347</v>
      </c>
      <c r="F61" s="16">
        <v>12209</v>
      </c>
      <c r="G61" s="16">
        <v>222</v>
      </c>
      <c r="H61" s="20">
        <v>479</v>
      </c>
      <c r="I61" s="20">
        <v>2748</v>
      </c>
      <c r="J61" s="24">
        <v>24615</v>
      </c>
      <c r="K61" s="20">
        <v>74707</v>
      </c>
      <c r="L61" s="31">
        <f t="shared" si="0"/>
        <v>0.17280843829895459</v>
      </c>
      <c r="M61" s="9" t="s">
        <v>18</v>
      </c>
    </row>
    <row r="62" spans="1:13" ht="14.25" customHeight="1" x14ac:dyDescent="0.3">
      <c r="A62" s="6" t="s">
        <v>70</v>
      </c>
      <c r="B62" s="7" t="s">
        <v>17</v>
      </c>
      <c r="C62" s="8">
        <v>45718</v>
      </c>
      <c r="D62" s="7" t="s">
        <v>24</v>
      </c>
      <c r="E62" s="7" t="s">
        <v>351</v>
      </c>
      <c r="F62" s="16">
        <v>22562</v>
      </c>
      <c r="G62" s="16">
        <v>778</v>
      </c>
      <c r="H62" s="20">
        <v>907</v>
      </c>
      <c r="I62" s="20">
        <v>1354</v>
      </c>
      <c r="J62" s="24">
        <v>34475</v>
      </c>
      <c r="K62" s="20">
        <v>141459</v>
      </c>
      <c r="L62" s="31">
        <f t="shared" si="0"/>
        <v>0.17140655596321194</v>
      </c>
      <c r="M62" s="9" t="s">
        <v>25</v>
      </c>
    </row>
    <row r="63" spans="1:13" ht="14.25" customHeight="1" x14ac:dyDescent="0.3">
      <c r="A63" s="6" t="s">
        <v>302</v>
      </c>
      <c r="B63" s="7" t="s">
        <v>17</v>
      </c>
      <c r="C63" s="8">
        <v>45450</v>
      </c>
      <c r="D63" s="7" t="s">
        <v>24</v>
      </c>
      <c r="E63" s="7" t="s">
        <v>346</v>
      </c>
      <c r="F63" s="16">
        <v>8233</v>
      </c>
      <c r="G63" s="16">
        <v>436</v>
      </c>
      <c r="H63" s="20">
        <v>269</v>
      </c>
      <c r="I63" s="20">
        <v>2037</v>
      </c>
      <c r="J63" s="24">
        <v>8875</v>
      </c>
      <c r="K63" s="20">
        <v>52289</v>
      </c>
      <c r="L63" s="31">
        <f t="shared" si="0"/>
        <v>0.17093461339861157</v>
      </c>
      <c r="M63" s="9" t="s">
        <v>15</v>
      </c>
    </row>
    <row r="64" spans="1:13" ht="14.25" customHeight="1" x14ac:dyDescent="0.3">
      <c r="A64" s="6" t="s">
        <v>186</v>
      </c>
      <c r="B64" s="7" t="s">
        <v>17</v>
      </c>
      <c r="C64" s="8">
        <v>45528</v>
      </c>
      <c r="D64" s="7" t="s">
        <v>21</v>
      </c>
      <c r="E64" s="7" t="s">
        <v>351</v>
      </c>
      <c r="F64" s="16">
        <v>22527</v>
      </c>
      <c r="G64" s="16">
        <v>865</v>
      </c>
      <c r="H64" s="20">
        <v>646</v>
      </c>
      <c r="I64" s="20">
        <v>992</v>
      </c>
      <c r="J64" s="24">
        <v>18654</v>
      </c>
      <c r="K64" s="20">
        <v>141376</v>
      </c>
      <c r="L64" s="31">
        <f t="shared" si="0"/>
        <v>0.17002885921231325</v>
      </c>
      <c r="M64" s="9" t="s">
        <v>38</v>
      </c>
    </row>
    <row r="65" spans="1:13" ht="14.25" customHeight="1" x14ac:dyDescent="0.3">
      <c r="A65" s="6" t="s">
        <v>184</v>
      </c>
      <c r="B65" s="7" t="s">
        <v>34</v>
      </c>
      <c r="C65" s="8">
        <v>45515</v>
      </c>
      <c r="D65" s="7" t="s">
        <v>30</v>
      </c>
      <c r="E65" s="7" t="s">
        <v>344</v>
      </c>
      <c r="F65" s="16">
        <v>14394</v>
      </c>
      <c r="G65" s="16">
        <v>1202</v>
      </c>
      <c r="H65" s="20">
        <v>188</v>
      </c>
      <c r="I65" s="20">
        <v>1259</v>
      </c>
      <c r="J65" s="24">
        <v>21925</v>
      </c>
      <c r="K65" s="20">
        <v>94061</v>
      </c>
      <c r="L65" s="31">
        <f t="shared" si="0"/>
        <v>0.1678059982351878</v>
      </c>
      <c r="M65" s="9" t="s">
        <v>25</v>
      </c>
    </row>
    <row r="66" spans="1:13" ht="14.25" customHeight="1" x14ac:dyDescent="0.3">
      <c r="A66" s="6" t="s">
        <v>228</v>
      </c>
      <c r="B66" s="7" t="s">
        <v>17</v>
      </c>
      <c r="C66" s="8">
        <v>45921</v>
      </c>
      <c r="D66" s="7" t="s">
        <v>14</v>
      </c>
      <c r="E66" s="7" t="s">
        <v>352</v>
      </c>
      <c r="F66" s="16">
        <v>19680</v>
      </c>
      <c r="G66" s="16">
        <v>999</v>
      </c>
      <c r="H66" s="20">
        <v>838</v>
      </c>
      <c r="I66" s="20">
        <v>891</v>
      </c>
      <c r="J66" s="24">
        <v>29576</v>
      </c>
      <c r="K66" s="20">
        <v>129152</v>
      </c>
      <c r="L66" s="31">
        <f t="shared" ref="L66:L129" si="1">(F66+G66+H66)/K66</f>
        <v>0.16660214321110009</v>
      </c>
      <c r="M66" s="9" t="s">
        <v>18</v>
      </c>
    </row>
    <row r="67" spans="1:13" ht="14.25" customHeight="1" x14ac:dyDescent="0.3">
      <c r="A67" s="6" t="s">
        <v>99</v>
      </c>
      <c r="B67" s="7" t="s">
        <v>20</v>
      </c>
      <c r="C67" s="8">
        <v>45921</v>
      </c>
      <c r="D67" s="7" t="s">
        <v>24</v>
      </c>
      <c r="E67" s="7" t="s">
        <v>343</v>
      </c>
      <c r="F67" s="16">
        <v>23103</v>
      </c>
      <c r="G67" s="16">
        <v>1380</v>
      </c>
      <c r="H67" s="20">
        <v>191</v>
      </c>
      <c r="I67" s="20">
        <v>1547</v>
      </c>
      <c r="J67" s="24">
        <v>77798</v>
      </c>
      <c r="K67" s="20">
        <v>148856</v>
      </c>
      <c r="L67" s="31">
        <f t="shared" si="1"/>
        <v>0.16575751061428495</v>
      </c>
      <c r="M67" s="9" t="s">
        <v>18</v>
      </c>
    </row>
    <row r="68" spans="1:13" ht="14.25" customHeight="1" x14ac:dyDescent="0.3">
      <c r="A68" s="6" t="s">
        <v>247</v>
      </c>
      <c r="B68" s="7" t="s">
        <v>13</v>
      </c>
      <c r="C68" s="8">
        <v>45739</v>
      </c>
      <c r="D68" s="7" t="s">
        <v>30</v>
      </c>
      <c r="E68" s="7" t="s">
        <v>347</v>
      </c>
      <c r="F68" s="16">
        <v>17728</v>
      </c>
      <c r="G68" s="16">
        <v>1487</v>
      </c>
      <c r="H68" s="20">
        <v>210</v>
      </c>
      <c r="I68" s="20">
        <v>2469</v>
      </c>
      <c r="J68" s="24">
        <v>30565</v>
      </c>
      <c r="K68" s="20">
        <v>117576</v>
      </c>
      <c r="L68" s="31">
        <f t="shared" si="1"/>
        <v>0.16521228822208614</v>
      </c>
      <c r="M68" s="9" t="s">
        <v>15</v>
      </c>
    </row>
    <row r="69" spans="1:13" ht="14.25" customHeight="1" x14ac:dyDescent="0.3">
      <c r="A69" s="6" t="s">
        <v>311</v>
      </c>
      <c r="B69" s="7" t="s">
        <v>34</v>
      </c>
      <c r="C69" s="8">
        <v>45491</v>
      </c>
      <c r="D69" s="7" t="s">
        <v>24</v>
      </c>
      <c r="E69" s="7" t="s">
        <v>343</v>
      </c>
      <c r="F69" s="16">
        <v>16594</v>
      </c>
      <c r="G69" s="16">
        <v>809</v>
      </c>
      <c r="H69" s="20">
        <v>784</v>
      </c>
      <c r="I69" s="20">
        <v>1655</v>
      </c>
      <c r="J69" s="24">
        <v>35505</v>
      </c>
      <c r="K69" s="20">
        <v>112588</v>
      </c>
      <c r="L69" s="31">
        <f t="shared" si="1"/>
        <v>0.16153586527871533</v>
      </c>
      <c r="M69" s="9" t="s">
        <v>22</v>
      </c>
    </row>
    <row r="70" spans="1:13" ht="14.25" customHeight="1" x14ac:dyDescent="0.3">
      <c r="A70" s="6" t="s">
        <v>88</v>
      </c>
      <c r="B70" s="7" t="s">
        <v>13</v>
      </c>
      <c r="C70" s="8">
        <v>45920</v>
      </c>
      <c r="D70" s="7" t="s">
        <v>14</v>
      </c>
      <c r="E70" s="7" t="s">
        <v>350</v>
      </c>
      <c r="F70" s="16">
        <v>18633</v>
      </c>
      <c r="G70" s="16">
        <v>797</v>
      </c>
      <c r="H70" s="20">
        <v>303</v>
      </c>
      <c r="I70" s="20">
        <v>659</v>
      </c>
      <c r="J70" s="24">
        <v>7</v>
      </c>
      <c r="K70" s="20">
        <v>122189</v>
      </c>
      <c r="L70" s="31">
        <f t="shared" si="1"/>
        <v>0.16149571565361859</v>
      </c>
      <c r="M70" s="9" t="s">
        <v>18</v>
      </c>
    </row>
    <row r="71" spans="1:13" ht="14.25" customHeight="1" x14ac:dyDescent="0.3">
      <c r="A71" s="6" t="s">
        <v>101</v>
      </c>
      <c r="B71" s="7" t="s">
        <v>20</v>
      </c>
      <c r="C71" s="8">
        <v>45505</v>
      </c>
      <c r="D71" s="7" t="s">
        <v>14</v>
      </c>
      <c r="E71" s="7" t="s">
        <v>345</v>
      </c>
      <c r="F71" s="16">
        <v>21758</v>
      </c>
      <c r="G71" s="16">
        <v>1380</v>
      </c>
      <c r="H71" s="20">
        <v>188</v>
      </c>
      <c r="I71" s="20">
        <v>1735</v>
      </c>
      <c r="J71" s="24">
        <v>20998</v>
      </c>
      <c r="K71" s="20">
        <v>147803</v>
      </c>
      <c r="L71" s="31">
        <f t="shared" si="1"/>
        <v>0.15781817689762725</v>
      </c>
      <c r="M71" s="9" t="s">
        <v>38</v>
      </c>
    </row>
    <row r="72" spans="1:13" ht="14.25" customHeight="1" x14ac:dyDescent="0.3">
      <c r="A72" s="6" t="s">
        <v>215</v>
      </c>
      <c r="B72" s="7" t="s">
        <v>13</v>
      </c>
      <c r="C72" s="8">
        <v>45740</v>
      </c>
      <c r="D72" s="7" t="s">
        <v>14</v>
      </c>
      <c r="E72" s="7" t="s">
        <v>28</v>
      </c>
      <c r="F72" s="16">
        <v>10172</v>
      </c>
      <c r="G72" s="16">
        <v>1398</v>
      </c>
      <c r="H72" s="20">
        <v>394</v>
      </c>
      <c r="I72" s="20">
        <v>2358</v>
      </c>
      <c r="J72" s="24">
        <v>59610</v>
      </c>
      <c r="K72" s="20">
        <v>76321</v>
      </c>
      <c r="L72" s="31">
        <f t="shared" si="1"/>
        <v>0.15675895231980713</v>
      </c>
      <c r="M72" s="9" t="s">
        <v>25</v>
      </c>
    </row>
    <row r="73" spans="1:13" ht="14.25" customHeight="1" x14ac:dyDescent="0.3">
      <c r="A73" s="6" t="s">
        <v>76</v>
      </c>
      <c r="B73" s="7" t="s">
        <v>34</v>
      </c>
      <c r="C73" s="8">
        <v>45476</v>
      </c>
      <c r="D73" s="7" t="s">
        <v>21</v>
      </c>
      <c r="E73" s="7" t="s">
        <v>347</v>
      </c>
      <c r="F73" s="16">
        <v>14338</v>
      </c>
      <c r="G73" s="16">
        <v>1454</v>
      </c>
      <c r="H73" s="20">
        <v>697</v>
      </c>
      <c r="I73" s="20">
        <v>2703</v>
      </c>
      <c r="J73" s="24">
        <v>21288</v>
      </c>
      <c r="K73" s="20">
        <v>107649</v>
      </c>
      <c r="L73" s="31">
        <f t="shared" si="1"/>
        <v>0.1531737405828201</v>
      </c>
      <c r="M73" s="9" t="s">
        <v>25</v>
      </c>
    </row>
    <row r="74" spans="1:13" ht="14.25" customHeight="1" x14ac:dyDescent="0.3">
      <c r="A74" s="6" t="s">
        <v>158</v>
      </c>
      <c r="B74" s="7" t="s">
        <v>20</v>
      </c>
      <c r="C74" s="8">
        <v>45720</v>
      </c>
      <c r="D74" s="7" t="s">
        <v>24</v>
      </c>
      <c r="E74" s="7" t="s">
        <v>344</v>
      </c>
      <c r="F74" s="16">
        <v>5266</v>
      </c>
      <c r="G74" s="16">
        <v>316</v>
      </c>
      <c r="H74" s="20">
        <v>837</v>
      </c>
      <c r="I74" s="20">
        <v>2276</v>
      </c>
      <c r="J74" s="24">
        <v>20967</v>
      </c>
      <c r="K74" s="20">
        <v>41969</v>
      </c>
      <c r="L74" s="31">
        <f t="shared" si="1"/>
        <v>0.1529462222116324</v>
      </c>
      <c r="M74" s="9" t="s">
        <v>38</v>
      </c>
    </row>
    <row r="75" spans="1:13" ht="14.25" customHeight="1" x14ac:dyDescent="0.3">
      <c r="A75" s="6" t="s">
        <v>66</v>
      </c>
      <c r="B75" s="7" t="s">
        <v>13</v>
      </c>
      <c r="C75" s="8">
        <v>45914</v>
      </c>
      <c r="D75" s="7" t="s">
        <v>30</v>
      </c>
      <c r="E75" s="7" t="s">
        <v>348</v>
      </c>
      <c r="F75" s="16">
        <v>19844</v>
      </c>
      <c r="G75" s="16">
        <v>1020</v>
      </c>
      <c r="H75" s="20">
        <v>247</v>
      </c>
      <c r="I75" s="20">
        <v>2354</v>
      </c>
      <c r="J75" s="24">
        <v>37792</v>
      </c>
      <c r="K75" s="20">
        <v>138317</v>
      </c>
      <c r="L75" s="31">
        <f t="shared" si="1"/>
        <v>0.15262765965138053</v>
      </c>
      <c r="M75" s="9" t="s">
        <v>18</v>
      </c>
    </row>
    <row r="76" spans="1:13" ht="14.25" customHeight="1" x14ac:dyDescent="0.3">
      <c r="A76" s="6" t="s">
        <v>103</v>
      </c>
      <c r="B76" s="7" t="s">
        <v>17</v>
      </c>
      <c r="C76" s="8">
        <v>45720</v>
      </c>
      <c r="D76" s="7" t="s">
        <v>30</v>
      </c>
      <c r="E76" s="7" t="s">
        <v>349</v>
      </c>
      <c r="F76" s="16">
        <v>13470</v>
      </c>
      <c r="G76" s="16">
        <v>523</v>
      </c>
      <c r="H76" s="20">
        <v>280</v>
      </c>
      <c r="I76" s="20">
        <v>2682</v>
      </c>
      <c r="J76" s="24">
        <v>8538</v>
      </c>
      <c r="K76" s="20">
        <v>95204</v>
      </c>
      <c r="L76" s="31">
        <f t="shared" si="1"/>
        <v>0.14992017142136885</v>
      </c>
      <c r="M76" s="9" t="s">
        <v>15</v>
      </c>
    </row>
    <row r="77" spans="1:13" ht="14.25" customHeight="1" x14ac:dyDescent="0.3">
      <c r="A77" s="6" t="s">
        <v>290</v>
      </c>
      <c r="B77" s="7" t="s">
        <v>20</v>
      </c>
      <c r="C77" s="8">
        <v>45687</v>
      </c>
      <c r="D77" s="7" t="s">
        <v>21</v>
      </c>
      <c r="E77" s="7" t="s">
        <v>351</v>
      </c>
      <c r="F77" s="16">
        <v>12954</v>
      </c>
      <c r="G77" s="16">
        <v>913</v>
      </c>
      <c r="H77" s="20">
        <v>722</v>
      </c>
      <c r="I77" s="20">
        <v>1049</v>
      </c>
      <c r="J77" s="24">
        <v>475</v>
      </c>
      <c r="K77" s="20">
        <v>97716</v>
      </c>
      <c r="L77" s="31">
        <f t="shared" si="1"/>
        <v>0.14930001228048631</v>
      </c>
      <c r="M77" s="9" t="s">
        <v>15</v>
      </c>
    </row>
    <row r="78" spans="1:13" ht="14.25" customHeight="1" x14ac:dyDescent="0.3">
      <c r="A78" s="6" t="s">
        <v>134</v>
      </c>
      <c r="B78" s="7" t="s">
        <v>17</v>
      </c>
      <c r="C78" s="8">
        <v>45928</v>
      </c>
      <c r="D78" s="7" t="s">
        <v>30</v>
      </c>
      <c r="E78" s="7" t="s">
        <v>348</v>
      </c>
      <c r="F78" s="16">
        <v>21963</v>
      </c>
      <c r="G78" s="16">
        <v>1356</v>
      </c>
      <c r="H78" s="20">
        <v>349</v>
      </c>
      <c r="I78" s="20">
        <v>1206</v>
      </c>
      <c r="J78" s="24">
        <v>51755</v>
      </c>
      <c r="K78" s="20">
        <v>159273</v>
      </c>
      <c r="L78" s="31">
        <f t="shared" si="1"/>
        <v>0.14860020216860359</v>
      </c>
      <c r="M78" s="9" t="s">
        <v>18</v>
      </c>
    </row>
    <row r="79" spans="1:13" ht="14.25" customHeight="1" x14ac:dyDescent="0.3">
      <c r="A79" s="6" t="s">
        <v>274</v>
      </c>
      <c r="B79" s="7" t="s">
        <v>20</v>
      </c>
      <c r="C79" s="8">
        <v>45914</v>
      </c>
      <c r="D79" s="7" t="s">
        <v>30</v>
      </c>
      <c r="E79" s="7" t="s">
        <v>350</v>
      </c>
      <c r="F79" s="16">
        <v>12787</v>
      </c>
      <c r="G79" s="16">
        <v>945</v>
      </c>
      <c r="H79" s="20">
        <v>974</v>
      </c>
      <c r="I79" s="20">
        <v>1407</v>
      </c>
      <c r="J79" s="24">
        <v>4037</v>
      </c>
      <c r="K79" s="20">
        <v>99182</v>
      </c>
      <c r="L79" s="31">
        <f t="shared" si="1"/>
        <v>0.14827287209372669</v>
      </c>
      <c r="M79" s="9" t="s">
        <v>18</v>
      </c>
    </row>
    <row r="80" spans="1:13" ht="14.25" customHeight="1" x14ac:dyDescent="0.3">
      <c r="A80" s="6" t="s">
        <v>130</v>
      </c>
      <c r="B80" s="7" t="s">
        <v>17</v>
      </c>
      <c r="C80" s="8">
        <v>45739</v>
      </c>
      <c r="D80" s="7" t="s">
        <v>14</v>
      </c>
      <c r="E80" s="7" t="s">
        <v>345</v>
      </c>
      <c r="F80" s="16">
        <v>24711</v>
      </c>
      <c r="G80" s="16">
        <v>882</v>
      </c>
      <c r="H80" s="20">
        <v>876</v>
      </c>
      <c r="I80" s="20">
        <v>2728</v>
      </c>
      <c r="J80" s="24">
        <v>32015</v>
      </c>
      <c r="K80" s="20">
        <v>180272</v>
      </c>
      <c r="L80" s="31">
        <f t="shared" si="1"/>
        <v>0.1468281263867933</v>
      </c>
      <c r="M80" s="9" t="s">
        <v>25</v>
      </c>
    </row>
    <row r="81" spans="1:13" ht="14.25" customHeight="1" x14ac:dyDescent="0.3">
      <c r="A81" s="6" t="s">
        <v>268</v>
      </c>
      <c r="B81" s="7" t="s">
        <v>13</v>
      </c>
      <c r="C81" s="8">
        <v>45912</v>
      </c>
      <c r="D81" s="7" t="s">
        <v>24</v>
      </c>
      <c r="E81" s="7" t="s">
        <v>347</v>
      </c>
      <c r="F81" s="16">
        <v>15918</v>
      </c>
      <c r="G81" s="16">
        <v>1114</v>
      </c>
      <c r="H81" s="20">
        <v>392</v>
      </c>
      <c r="I81" s="20">
        <v>1641</v>
      </c>
      <c r="J81" s="24">
        <v>28044</v>
      </c>
      <c r="K81" s="20">
        <v>118714</v>
      </c>
      <c r="L81" s="31">
        <f t="shared" si="1"/>
        <v>0.14677291642097814</v>
      </c>
      <c r="M81" s="9" t="s">
        <v>18</v>
      </c>
    </row>
    <row r="82" spans="1:13" ht="14.25" customHeight="1" x14ac:dyDescent="0.3">
      <c r="A82" s="6" t="s">
        <v>181</v>
      </c>
      <c r="B82" s="7" t="s">
        <v>20</v>
      </c>
      <c r="C82" s="8">
        <v>45647</v>
      </c>
      <c r="D82" s="7" t="s">
        <v>14</v>
      </c>
      <c r="E82" s="7" t="s">
        <v>343</v>
      </c>
      <c r="F82" s="16">
        <v>12453</v>
      </c>
      <c r="G82" s="16">
        <v>376</v>
      </c>
      <c r="H82" s="20">
        <v>320</v>
      </c>
      <c r="I82" s="20">
        <v>2546</v>
      </c>
      <c r="J82" s="24">
        <v>22617</v>
      </c>
      <c r="K82" s="20">
        <v>90138</v>
      </c>
      <c r="L82" s="31">
        <f t="shared" si="1"/>
        <v>0.14587632297144379</v>
      </c>
      <c r="M82" s="9" t="s">
        <v>22</v>
      </c>
    </row>
    <row r="83" spans="1:13" ht="14.25" customHeight="1" x14ac:dyDescent="0.3">
      <c r="A83" s="6" t="s">
        <v>258</v>
      </c>
      <c r="B83" s="7" t="s">
        <v>17</v>
      </c>
      <c r="C83" s="8">
        <v>45776</v>
      </c>
      <c r="D83" s="7" t="s">
        <v>30</v>
      </c>
      <c r="E83" s="7" t="s">
        <v>348</v>
      </c>
      <c r="F83" s="16">
        <v>16277</v>
      </c>
      <c r="G83" s="16">
        <v>1109</v>
      </c>
      <c r="H83" s="20">
        <v>375</v>
      </c>
      <c r="I83" s="20">
        <v>2225</v>
      </c>
      <c r="J83" s="24">
        <v>1044</v>
      </c>
      <c r="K83" s="20">
        <v>121889</v>
      </c>
      <c r="L83" s="31">
        <f t="shared" si="1"/>
        <v>0.14571454356012437</v>
      </c>
      <c r="M83" s="9" t="s">
        <v>25</v>
      </c>
    </row>
    <row r="84" spans="1:13" ht="14.25" customHeight="1" x14ac:dyDescent="0.3">
      <c r="A84" s="6" t="s">
        <v>250</v>
      </c>
      <c r="B84" s="7" t="s">
        <v>17</v>
      </c>
      <c r="C84" s="8">
        <v>45907</v>
      </c>
      <c r="D84" s="7" t="s">
        <v>21</v>
      </c>
      <c r="E84" s="7" t="s">
        <v>352</v>
      </c>
      <c r="F84" s="16">
        <v>4472</v>
      </c>
      <c r="G84" s="16">
        <v>1301</v>
      </c>
      <c r="H84" s="20">
        <v>956</v>
      </c>
      <c r="I84" s="20">
        <v>1186</v>
      </c>
      <c r="J84" s="24">
        <v>3363</v>
      </c>
      <c r="K84" s="20">
        <v>46471</v>
      </c>
      <c r="L84" s="31">
        <f t="shared" si="1"/>
        <v>0.14479998278496267</v>
      </c>
      <c r="M84" s="9" t="s">
        <v>18</v>
      </c>
    </row>
    <row r="85" spans="1:13" ht="14.25" customHeight="1" x14ac:dyDescent="0.3">
      <c r="A85" s="6" t="s">
        <v>93</v>
      </c>
      <c r="B85" s="7" t="s">
        <v>17</v>
      </c>
      <c r="C85" s="8">
        <v>45745</v>
      </c>
      <c r="D85" s="7" t="s">
        <v>24</v>
      </c>
      <c r="E85" s="7" t="s">
        <v>348</v>
      </c>
      <c r="F85" s="16">
        <v>19461</v>
      </c>
      <c r="G85" s="16">
        <v>1382</v>
      </c>
      <c r="H85" s="20">
        <v>445</v>
      </c>
      <c r="I85" s="20">
        <v>1307</v>
      </c>
      <c r="J85" s="24">
        <v>84691</v>
      </c>
      <c r="K85" s="20">
        <v>151453</v>
      </c>
      <c r="L85" s="31">
        <f t="shared" si="1"/>
        <v>0.14055845707909384</v>
      </c>
      <c r="M85" s="9" t="s">
        <v>25</v>
      </c>
    </row>
    <row r="86" spans="1:13" ht="14.25" customHeight="1" x14ac:dyDescent="0.3">
      <c r="A86" s="6" t="s">
        <v>229</v>
      </c>
      <c r="B86" s="7" t="s">
        <v>13</v>
      </c>
      <c r="C86" s="8">
        <v>45617</v>
      </c>
      <c r="D86" s="7" t="s">
        <v>14</v>
      </c>
      <c r="E86" s="7" t="s">
        <v>348</v>
      </c>
      <c r="F86" s="16">
        <v>8229</v>
      </c>
      <c r="G86" s="16">
        <v>977</v>
      </c>
      <c r="H86" s="20">
        <v>152</v>
      </c>
      <c r="I86" s="20">
        <v>1633</v>
      </c>
      <c r="J86" s="24">
        <v>71447</v>
      </c>
      <c r="K86" s="20">
        <v>67723</v>
      </c>
      <c r="L86" s="31">
        <f t="shared" si="1"/>
        <v>0.13818052950991538</v>
      </c>
      <c r="M86" s="9" t="s">
        <v>38</v>
      </c>
    </row>
    <row r="87" spans="1:13" ht="14.25" customHeight="1" x14ac:dyDescent="0.3">
      <c r="A87" s="6" t="s">
        <v>210</v>
      </c>
      <c r="B87" s="7" t="s">
        <v>13</v>
      </c>
      <c r="C87" s="8">
        <v>45943</v>
      </c>
      <c r="D87" s="7" t="s">
        <v>24</v>
      </c>
      <c r="E87" s="7" t="s">
        <v>350</v>
      </c>
      <c r="F87" s="16">
        <v>19302</v>
      </c>
      <c r="G87" s="16">
        <v>1367</v>
      </c>
      <c r="H87" s="20">
        <v>188</v>
      </c>
      <c r="I87" s="20">
        <v>637</v>
      </c>
      <c r="J87" s="24">
        <v>31404</v>
      </c>
      <c r="K87" s="20">
        <v>154044</v>
      </c>
      <c r="L87" s="31">
        <f t="shared" si="1"/>
        <v>0.13539638025499209</v>
      </c>
      <c r="M87" s="9" t="s">
        <v>18</v>
      </c>
    </row>
    <row r="88" spans="1:13" ht="14.25" customHeight="1" x14ac:dyDescent="0.3">
      <c r="A88" s="6" t="s">
        <v>114</v>
      </c>
      <c r="B88" s="7" t="s">
        <v>20</v>
      </c>
      <c r="C88" s="8">
        <v>45480</v>
      </c>
      <c r="D88" s="7" t="s">
        <v>21</v>
      </c>
      <c r="E88" s="7" t="s">
        <v>344</v>
      </c>
      <c r="F88" s="16">
        <v>24625</v>
      </c>
      <c r="G88" s="16">
        <v>749</v>
      </c>
      <c r="H88" s="20">
        <v>193</v>
      </c>
      <c r="I88" s="20">
        <v>1340</v>
      </c>
      <c r="J88" s="24">
        <v>4890</v>
      </c>
      <c r="K88" s="20">
        <v>189381</v>
      </c>
      <c r="L88" s="31">
        <f t="shared" si="1"/>
        <v>0.13500298340382616</v>
      </c>
      <c r="M88" s="9" t="s">
        <v>15</v>
      </c>
    </row>
    <row r="89" spans="1:13" ht="14.25" customHeight="1" x14ac:dyDescent="0.3">
      <c r="A89" s="6" t="s">
        <v>65</v>
      </c>
      <c r="B89" s="7" t="s">
        <v>20</v>
      </c>
      <c r="C89" s="8">
        <v>45913</v>
      </c>
      <c r="D89" s="7" t="s">
        <v>30</v>
      </c>
      <c r="E89" s="7" t="s">
        <v>347</v>
      </c>
      <c r="F89" s="16">
        <v>17106</v>
      </c>
      <c r="G89" s="16">
        <v>702</v>
      </c>
      <c r="H89" s="20">
        <v>459</v>
      </c>
      <c r="I89" s="20">
        <v>999</v>
      </c>
      <c r="J89" s="24">
        <v>59627</v>
      </c>
      <c r="K89" s="20">
        <v>136059</v>
      </c>
      <c r="L89" s="31">
        <f t="shared" si="1"/>
        <v>0.13425793222058077</v>
      </c>
      <c r="M89" s="9" t="s">
        <v>18</v>
      </c>
    </row>
    <row r="90" spans="1:13" ht="14.25" customHeight="1" x14ac:dyDescent="0.3">
      <c r="A90" s="6" t="s">
        <v>194</v>
      </c>
      <c r="B90" s="7" t="s">
        <v>13</v>
      </c>
      <c r="C90" s="8">
        <v>45608</v>
      </c>
      <c r="D90" s="7" t="s">
        <v>14</v>
      </c>
      <c r="E90" s="7" t="s">
        <v>344</v>
      </c>
      <c r="F90" s="16">
        <v>19022</v>
      </c>
      <c r="G90" s="16">
        <v>541</v>
      </c>
      <c r="H90" s="20">
        <v>575</v>
      </c>
      <c r="I90" s="20">
        <v>2063</v>
      </c>
      <c r="J90" s="24">
        <v>42743</v>
      </c>
      <c r="K90" s="20">
        <v>150169</v>
      </c>
      <c r="L90" s="31">
        <f t="shared" si="1"/>
        <v>0.13410224480418728</v>
      </c>
      <c r="M90" s="9" t="s">
        <v>15</v>
      </c>
    </row>
    <row r="91" spans="1:13" ht="14.25" customHeight="1" x14ac:dyDescent="0.3">
      <c r="A91" s="6" t="s">
        <v>86</v>
      </c>
      <c r="B91" s="7" t="s">
        <v>20</v>
      </c>
      <c r="C91" s="8">
        <v>45685</v>
      </c>
      <c r="D91" s="7" t="s">
        <v>21</v>
      </c>
      <c r="E91" s="7" t="s">
        <v>348</v>
      </c>
      <c r="F91" s="16">
        <v>9239</v>
      </c>
      <c r="G91" s="16">
        <v>1477</v>
      </c>
      <c r="H91" s="20">
        <v>631</v>
      </c>
      <c r="I91" s="20">
        <v>1556</v>
      </c>
      <c r="J91" s="24">
        <v>11580</v>
      </c>
      <c r="K91" s="20">
        <v>84738</v>
      </c>
      <c r="L91" s="31">
        <f t="shared" si="1"/>
        <v>0.13390686586891359</v>
      </c>
      <c r="M91" s="9" t="s">
        <v>22</v>
      </c>
    </row>
    <row r="92" spans="1:13" ht="14.25" customHeight="1" x14ac:dyDescent="0.3">
      <c r="A92" s="6" t="s">
        <v>173</v>
      </c>
      <c r="B92" s="7" t="s">
        <v>13</v>
      </c>
      <c r="C92" s="8">
        <v>45586</v>
      </c>
      <c r="D92" s="7" t="s">
        <v>21</v>
      </c>
      <c r="E92" s="7" t="s">
        <v>349</v>
      </c>
      <c r="F92" s="16">
        <v>20777</v>
      </c>
      <c r="G92" s="16">
        <v>962</v>
      </c>
      <c r="H92" s="20">
        <v>308</v>
      </c>
      <c r="I92" s="20">
        <v>2777</v>
      </c>
      <c r="J92" s="24">
        <v>25529</v>
      </c>
      <c r="K92" s="20">
        <v>165354</v>
      </c>
      <c r="L92" s="31">
        <f t="shared" si="1"/>
        <v>0.13333212380710477</v>
      </c>
      <c r="M92" s="9" t="s">
        <v>15</v>
      </c>
    </row>
    <row r="93" spans="1:13" ht="14.25" customHeight="1" x14ac:dyDescent="0.3">
      <c r="A93" s="6" t="s">
        <v>98</v>
      </c>
      <c r="B93" s="7" t="s">
        <v>34</v>
      </c>
      <c r="C93" s="8">
        <v>45719</v>
      </c>
      <c r="D93" s="7" t="s">
        <v>30</v>
      </c>
      <c r="E93" s="7" t="s">
        <v>350</v>
      </c>
      <c r="F93" s="16">
        <v>24928</v>
      </c>
      <c r="G93" s="16">
        <v>214</v>
      </c>
      <c r="H93" s="20">
        <v>765</v>
      </c>
      <c r="I93" s="20">
        <v>1556</v>
      </c>
      <c r="J93" s="24">
        <v>5239</v>
      </c>
      <c r="K93" s="20">
        <v>194571</v>
      </c>
      <c r="L93" s="31">
        <f t="shared" si="1"/>
        <v>0.13314933880177415</v>
      </c>
      <c r="M93" s="9" t="s">
        <v>38</v>
      </c>
    </row>
    <row r="94" spans="1:13" ht="14.25" customHeight="1" x14ac:dyDescent="0.3">
      <c r="A94" s="6" t="s">
        <v>291</v>
      </c>
      <c r="B94" s="7" t="s">
        <v>13</v>
      </c>
      <c r="C94" s="8">
        <v>45708</v>
      </c>
      <c r="D94" s="7" t="s">
        <v>30</v>
      </c>
      <c r="E94" s="7" t="s">
        <v>349</v>
      </c>
      <c r="F94" s="16">
        <v>15703</v>
      </c>
      <c r="G94" s="16">
        <v>1381</v>
      </c>
      <c r="H94" s="20">
        <v>639</v>
      </c>
      <c r="I94" s="20">
        <v>984</v>
      </c>
      <c r="J94" s="24">
        <v>10967</v>
      </c>
      <c r="K94" s="20">
        <v>133747</v>
      </c>
      <c r="L94" s="31">
        <f t="shared" si="1"/>
        <v>0.13251138343289942</v>
      </c>
      <c r="M94" s="9" t="s">
        <v>38</v>
      </c>
    </row>
    <row r="95" spans="1:13" ht="14.25" customHeight="1" x14ac:dyDescent="0.3">
      <c r="A95" s="6" t="s">
        <v>29</v>
      </c>
      <c r="B95" s="7" t="s">
        <v>20</v>
      </c>
      <c r="C95" s="8">
        <v>45467</v>
      </c>
      <c r="D95" s="7" t="s">
        <v>30</v>
      </c>
      <c r="E95" s="7" t="s">
        <v>347</v>
      </c>
      <c r="F95" s="16">
        <v>7713</v>
      </c>
      <c r="G95" s="16">
        <v>575</v>
      </c>
      <c r="H95" s="20">
        <v>417</v>
      </c>
      <c r="I95" s="20">
        <v>336</v>
      </c>
      <c r="J95" s="24">
        <v>61660</v>
      </c>
      <c r="K95" s="20">
        <v>66017</v>
      </c>
      <c r="L95" s="31">
        <f t="shared" si="1"/>
        <v>0.13185997546086614</v>
      </c>
      <c r="M95" s="9" t="s">
        <v>25</v>
      </c>
    </row>
    <row r="96" spans="1:13" ht="14.25" customHeight="1" x14ac:dyDescent="0.3">
      <c r="A96" s="6" t="s">
        <v>126</v>
      </c>
      <c r="B96" s="7" t="s">
        <v>20</v>
      </c>
      <c r="C96" s="8">
        <v>45925</v>
      </c>
      <c r="D96" s="7" t="s">
        <v>14</v>
      </c>
      <c r="E96" s="7" t="s">
        <v>28</v>
      </c>
      <c r="F96" s="16">
        <v>20564</v>
      </c>
      <c r="G96" s="16">
        <v>1433</v>
      </c>
      <c r="H96" s="20">
        <v>488</v>
      </c>
      <c r="I96" s="20">
        <v>1015</v>
      </c>
      <c r="J96" s="24">
        <v>24333</v>
      </c>
      <c r="K96" s="20">
        <v>172130</v>
      </c>
      <c r="L96" s="31">
        <f t="shared" si="1"/>
        <v>0.13062801371056759</v>
      </c>
      <c r="M96" s="9" t="s">
        <v>18</v>
      </c>
    </row>
    <row r="97" spans="1:13" ht="14.25" customHeight="1" x14ac:dyDescent="0.3">
      <c r="A97" s="6" t="s">
        <v>320</v>
      </c>
      <c r="B97" s="7" t="s">
        <v>34</v>
      </c>
      <c r="C97" s="8">
        <v>45462</v>
      </c>
      <c r="D97" s="7" t="s">
        <v>30</v>
      </c>
      <c r="E97" s="7" t="s">
        <v>351</v>
      </c>
      <c r="F97" s="16">
        <v>20444</v>
      </c>
      <c r="G97" s="16">
        <v>233</v>
      </c>
      <c r="H97" s="20">
        <v>189</v>
      </c>
      <c r="I97" s="20">
        <v>2879</v>
      </c>
      <c r="J97" s="24">
        <v>28185</v>
      </c>
      <c r="K97" s="20">
        <v>159891</v>
      </c>
      <c r="L97" s="31">
        <f t="shared" si="1"/>
        <v>0.13050140408153055</v>
      </c>
      <c r="M97" s="9" t="s">
        <v>25</v>
      </c>
    </row>
    <row r="98" spans="1:13" ht="14.25" customHeight="1" x14ac:dyDescent="0.3">
      <c r="A98" s="6" t="s">
        <v>12</v>
      </c>
      <c r="B98" s="7" t="s">
        <v>13</v>
      </c>
      <c r="C98" s="8">
        <v>45649</v>
      </c>
      <c r="D98" s="7" t="s">
        <v>14</v>
      </c>
      <c r="E98" s="7" t="s">
        <v>343</v>
      </c>
      <c r="F98" s="16">
        <v>24516</v>
      </c>
      <c r="G98" s="16">
        <v>976</v>
      </c>
      <c r="H98" s="20">
        <v>974</v>
      </c>
      <c r="I98" s="20">
        <v>2675</v>
      </c>
      <c r="J98" s="24">
        <v>23275</v>
      </c>
      <c r="K98" s="20">
        <v>202932</v>
      </c>
      <c r="L98" s="30">
        <f t="shared" si="1"/>
        <v>0.13041807107799658</v>
      </c>
      <c r="M98" s="9" t="s">
        <v>15</v>
      </c>
    </row>
    <row r="99" spans="1:13" ht="14.25" customHeight="1" x14ac:dyDescent="0.3">
      <c r="A99" s="6" t="s">
        <v>110</v>
      </c>
      <c r="B99" s="7" t="s">
        <v>17</v>
      </c>
      <c r="C99" s="8">
        <v>45635</v>
      </c>
      <c r="D99" s="7" t="s">
        <v>14</v>
      </c>
      <c r="E99" s="7" t="s">
        <v>344</v>
      </c>
      <c r="F99" s="16">
        <v>15051</v>
      </c>
      <c r="G99" s="16">
        <v>268</v>
      </c>
      <c r="H99" s="20">
        <v>251</v>
      </c>
      <c r="I99" s="20">
        <v>783</v>
      </c>
      <c r="J99" s="24">
        <v>34154</v>
      </c>
      <c r="K99" s="20">
        <v>119671</v>
      </c>
      <c r="L99" s="31">
        <f t="shared" si="1"/>
        <v>0.13010670922779954</v>
      </c>
      <c r="M99" s="9" t="s">
        <v>25</v>
      </c>
    </row>
    <row r="100" spans="1:13" ht="14.25" customHeight="1" x14ac:dyDescent="0.3">
      <c r="A100" s="6" t="s">
        <v>79</v>
      </c>
      <c r="B100" s="7" t="s">
        <v>13</v>
      </c>
      <c r="C100" s="8">
        <v>45712</v>
      </c>
      <c r="D100" s="7" t="s">
        <v>14</v>
      </c>
      <c r="E100" s="7" t="s">
        <v>350</v>
      </c>
      <c r="F100" s="16">
        <v>23949</v>
      </c>
      <c r="G100" s="16">
        <v>356</v>
      </c>
      <c r="H100" s="20">
        <v>616</v>
      </c>
      <c r="I100" s="20">
        <v>1847</v>
      </c>
      <c r="J100" s="24">
        <v>3144</v>
      </c>
      <c r="K100" s="20">
        <v>192999</v>
      </c>
      <c r="L100" s="31">
        <f t="shared" si="1"/>
        <v>0.12912502137316773</v>
      </c>
      <c r="M100" s="9" t="s">
        <v>25</v>
      </c>
    </row>
    <row r="101" spans="1:13" ht="14.25" customHeight="1" x14ac:dyDescent="0.3">
      <c r="A101" s="6" t="s">
        <v>164</v>
      </c>
      <c r="B101" s="7" t="s">
        <v>20</v>
      </c>
      <c r="C101" s="8">
        <v>45745</v>
      </c>
      <c r="D101" s="7" t="s">
        <v>30</v>
      </c>
      <c r="E101" s="7" t="s">
        <v>345</v>
      </c>
      <c r="F101" s="16">
        <v>23508</v>
      </c>
      <c r="G101" s="16">
        <v>585</v>
      </c>
      <c r="H101" s="20">
        <v>743</v>
      </c>
      <c r="I101" s="20">
        <v>2155</v>
      </c>
      <c r="J101" s="24">
        <v>3704</v>
      </c>
      <c r="K101" s="20">
        <v>194268</v>
      </c>
      <c r="L101" s="31">
        <f t="shared" si="1"/>
        <v>0.1278440093067309</v>
      </c>
      <c r="M101" s="9" t="s">
        <v>25</v>
      </c>
    </row>
    <row r="102" spans="1:13" ht="14.25" customHeight="1" x14ac:dyDescent="0.3">
      <c r="A102" s="6" t="s">
        <v>220</v>
      </c>
      <c r="B102" s="7" t="s">
        <v>13</v>
      </c>
      <c r="C102" s="8">
        <v>45567</v>
      </c>
      <c r="D102" s="7" t="s">
        <v>24</v>
      </c>
      <c r="E102" s="7" t="s">
        <v>347</v>
      </c>
      <c r="F102" s="16">
        <v>5086</v>
      </c>
      <c r="G102" s="16">
        <v>1336</v>
      </c>
      <c r="H102" s="20">
        <v>897</v>
      </c>
      <c r="I102" s="20">
        <v>1715</v>
      </c>
      <c r="J102" s="24">
        <v>60592</v>
      </c>
      <c r="K102" s="20">
        <v>57772</v>
      </c>
      <c r="L102" s="31">
        <f t="shared" si="1"/>
        <v>0.12668766876687668</v>
      </c>
      <c r="M102" s="9" t="s">
        <v>22</v>
      </c>
    </row>
    <row r="103" spans="1:13" ht="14.25" customHeight="1" x14ac:dyDescent="0.3">
      <c r="A103" s="6" t="s">
        <v>161</v>
      </c>
      <c r="B103" s="7" t="s">
        <v>13</v>
      </c>
      <c r="C103" s="8">
        <v>45624</v>
      </c>
      <c r="D103" s="7" t="s">
        <v>30</v>
      </c>
      <c r="E103" s="7" t="s">
        <v>349</v>
      </c>
      <c r="F103" s="16">
        <v>19055</v>
      </c>
      <c r="G103" s="16">
        <v>443</v>
      </c>
      <c r="H103" s="20">
        <v>976</v>
      </c>
      <c r="I103" s="20">
        <v>869</v>
      </c>
      <c r="J103" s="24">
        <v>75437</v>
      </c>
      <c r="K103" s="20">
        <v>161863</v>
      </c>
      <c r="L103" s="31">
        <f t="shared" si="1"/>
        <v>0.12648968572187591</v>
      </c>
      <c r="M103" s="9" t="s">
        <v>22</v>
      </c>
    </row>
    <row r="104" spans="1:13" ht="14.25" customHeight="1" x14ac:dyDescent="0.3">
      <c r="A104" s="6" t="s">
        <v>231</v>
      </c>
      <c r="B104" s="7" t="s">
        <v>17</v>
      </c>
      <c r="C104" s="8">
        <v>45923</v>
      </c>
      <c r="D104" s="7" t="s">
        <v>21</v>
      </c>
      <c r="E104" s="7" t="s">
        <v>350</v>
      </c>
      <c r="F104" s="16">
        <v>17147</v>
      </c>
      <c r="G104" s="16">
        <v>286</v>
      </c>
      <c r="H104" s="20">
        <v>291</v>
      </c>
      <c r="I104" s="20">
        <v>2439</v>
      </c>
      <c r="J104" s="24">
        <v>45631</v>
      </c>
      <c r="K104" s="20">
        <v>140494</v>
      </c>
      <c r="L104" s="31">
        <f t="shared" si="1"/>
        <v>0.12615485358805359</v>
      </c>
      <c r="M104" s="9" t="s">
        <v>18</v>
      </c>
    </row>
    <row r="105" spans="1:13" ht="14.25" customHeight="1" x14ac:dyDescent="0.3">
      <c r="A105" s="6" t="s">
        <v>49</v>
      </c>
      <c r="B105" s="7" t="s">
        <v>17</v>
      </c>
      <c r="C105" s="8">
        <v>45680</v>
      </c>
      <c r="D105" s="7" t="s">
        <v>24</v>
      </c>
      <c r="E105" s="7" t="s">
        <v>349</v>
      </c>
      <c r="F105" s="16">
        <v>23168</v>
      </c>
      <c r="G105" s="16">
        <v>1265</v>
      </c>
      <c r="H105" s="20">
        <v>441</v>
      </c>
      <c r="I105" s="20">
        <v>1612</v>
      </c>
      <c r="J105" s="24">
        <v>66615</v>
      </c>
      <c r="K105" s="20">
        <v>197795</v>
      </c>
      <c r="L105" s="31">
        <f t="shared" si="1"/>
        <v>0.12575646502692181</v>
      </c>
      <c r="M105" s="9" t="s">
        <v>25</v>
      </c>
    </row>
    <row r="106" spans="1:13" ht="14.25" customHeight="1" x14ac:dyDescent="0.3">
      <c r="A106" s="6" t="s">
        <v>297</v>
      </c>
      <c r="B106" s="7" t="s">
        <v>34</v>
      </c>
      <c r="C106" s="8">
        <v>45582</v>
      </c>
      <c r="D106" s="7" t="s">
        <v>24</v>
      </c>
      <c r="E106" s="7" t="s">
        <v>345</v>
      </c>
      <c r="F106" s="16">
        <v>18608</v>
      </c>
      <c r="G106" s="16">
        <v>1338</v>
      </c>
      <c r="H106" s="20">
        <v>365</v>
      </c>
      <c r="I106" s="20">
        <v>2289</v>
      </c>
      <c r="J106" s="24">
        <v>20785</v>
      </c>
      <c r="K106" s="20">
        <v>161999</v>
      </c>
      <c r="L106" s="31">
        <f t="shared" si="1"/>
        <v>0.12537731714393299</v>
      </c>
      <c r="M106" s="9" t="s">
        <v>15</v>
      </c>
    </row>
    <row r="107" spans="1:13" ht="14.25" customHeight="1" x14ac:dyDescent="0.3">
      <c r="A107" s="6" t="s">
        <v>157</v>
      </c>
      <c r="B107" s="7" t="s">
        <v>17</v>
      </c>
      <c r="C107" s="8">
        <v>45586</v>
      </c>
      <c r="D107" s="7" t="s">
        <v>14</v>
      </c>
      <c r="E107" s="7" t="s">
        <v>349</v>
      </c>
      <c r="F107" s="16">
        <v>20271</v>
      </c>
      <c r="G107" s="16">
        <v>512</v>
      </c>
      <c r="H107" s="20">
        <v>286</v>
      </c>
      <c r="I107" s="20">
        <v>1982</v>
      </c>
      <c r="J107" s="24">
        <v>43225</v>
      </c>
      <c r="K107" s="20">
        <v>168335</v>
      </c>
      <c r="L107" s="31">
        <f t="shared" si="1"/>
        <v>0.12516113701844536</v>
      </c>
      <c r="M107" s="9" t="s">
        <v>25</v>
      </c>
    </row>
    <row r="108" spans="1:13" ht="14.25" customHeight="1" x14ac:dyDescent="0.3">
      <c r="A108" s="6" t="s">
        <v>62</v>
      </c>
      <c r="B108" s="7" t="s">
        <v>20</v>
      </c>
      <c r="C108" s="8">
        <v>45766</v>
      </c>
      <c r="D108" s="7" t="s">
        <v>30</v>
      </c>
      <c r="E108" s="7" t="s">
        <v>55</v>
      </c>
      <c r="F108" s="16">
        <v>20384</v>
      </c>
      <c r="G108" s="16">
        <v>344</v>
      </c>
      <c r="H108" s="20">
        <v>956</v>
      </c>
      <c r="I108" s="20">
        <v>655</v>
      </c>
      <c r="J108" s="24">
        <v>67621</v>
      </c>
      <c r="K108" s="20">
        <v>175720</v>
      </c>
      <c r="L108" s="31">
        <f t="shared" si="1"/>
        <v>0.12340086501251991</v>
      </c>
      <c r="M108" s="9" t="s">
        <v>22</v>
      </c>
    </row>
    <row r="109" spans="1:13" ht="14.25" customHeight="1" x14ac:dyDescent="0.3">
      <c r="A109" s="6" t="s">
        <v>170</v>
      </c>
      <c r="B109" s="7" t="s">
        <v>17</v>
      </c>
      <c r="C109" s="8">
        <v>45593</v>
      </c>
      <c r="D109" s="7" t="s">
        <v>30</v>
      </c>
      <c r="E109" s="7" t="s">
        <v>351</v>
      </c>
      <c r="F109" s="16">
        <v>8981</v>
      </c>
      <c r="G109" s="16">
        <v>1138</v>
      </c>
      <c r="H109" s="20">
        <v>764</v>
      </c>
      <c r="I109" s="20">
        <v>2555</v>
      </c>
      <c r="J109" s="24">
        <v>92810</v>
      </c>
      <c r="K109" s="20">
        <v>88320</v>
      </c>
      <c r="L109" s="31">
        <f t="shared" si="1"/>
        <v>0.1232223731884058</v>
      </c>
      <c r="M109" s="9" t="s">
        <v>38</v>
      </c>
    </row>
    <row r="110" spans="1:13" ht="14.25" customHeight="1" x14ac:dyDescent="0.3">
      <c r="A110" s="6" t="s">
        <v>183</v>
      </c>
      <c r="B110" s="7" t="s">
        <v>13</v>
      </c>
      <c r="C110" s="8">
        <v>45496</v>
      </c>
      <c r="D110" s="7" t="s">
        <v>24</v>
      </c>
      <c r="E110" s="7" t="s">
        <v>351</v>
      </c>
      <c r="F110" s="16">
        <v>24877</v>
      </c>
      <c r="G110" s="16">
        <v>262</v>
      </c>
      <c r="H110" s="20">
        <v>513</v>
      </c>
      <c r="I110" s="20">
        <v>648</v>
      </c>
      <c r="J110" s="24">
        <v>47544</v>
      </c>
      <c r="K110" s="20">
        <v>208280</v>
      </c>
      <c r="L110" s="31">
        <f t="shared" si="1"/>
        <v>0.12316112924908777</v>
      </c>
      <c r="M110" s="9" t="s">
        <v>22</v>
      </c>
    </row>
    <row r="111" spans="1:13" ht="14.25" customHeight="1" x14ac:dyDescent="0.3">
      <c r="A111" s="6" t="s">
        <v>135</v>
      </c>
      <c r="B111" s="7" t="s">
        <v>34</v>
      </c>
      <c r="C111" s="8">
        <v>45512</v>
      </c>
      <c r="D111" s="7" t="s">
        <v>30</v>
      </c>
      <c r="E111" s="7" t="s">
        <v>348</v>
      </c>
      <c r="F111" s="16">
        <v>24355</v>
      </c>
      <c r="G111" s="16">
        <v>1087</v>
      </c>
      <c r="H111" s="20">
        <v>686</v>
      </c>
      <c r="I111" s="20">
        <v>2426</v>
      </c>
      <c r="J111" s="24">
        <v>24963</v>
      </c>
      <c r="K111" s="20">
        <v>212307</v>
      </c>
      <c r="L111" s="31">
        <f t="shared" si="1"/>
        <v>0.1230670679723231</v>
      </c>
      <c r="M111" s="9" t="s">
        <v>15</v>
      </c>
    </row>
    <row r="112" spans="1:13" ht="14.25" customHeight="1" x14ac:dyDescent="0.3">
      <c r="A112" s="6" t="s">
        <v>243</v>
      </c>
      <c r="B112" s="7" t="s">
        <v>17</v>
      </c>
      <c r="C112" s="8">
        <v>45926</v>
      </c>
      <c r="D112" s="7" t="s">
        <v>30</v>
      </c>
      <c r="E112" s="7" t="s">
        <v>343</v>
      </c>
      <c r="F112" s="16">
        <v>16369</v>
      </c>
      <c r="G112" s="16">
        <v>1452</v>
      </c>
      <c r="H112" s="20">
        <v>493</v>
      </c>
      <c r="I112" s="20">
        <v>1217</v>
      </c>
      <c r="J112" s="24">
        <v>91440</v>
      </c>
      <c r="K112" s="20">
        <v>149834</v>
      </c>
      <c r="L112" s="31">
        <f t="shared" si="1"/>
        <v>0.12222859965027964</v>
      </c>
      <c r="M112" s="9" t="s">
        <v>18</v>
      </c>
    </row>
    <row r="113" spans="1:13" ht="14.25" customHeight="1" x14ac:dyDescent="0.3">
      <c r="A113" s="6" t="s">
        <v>92</v>
      </c>
      <c r="B113" s="7" t="s">
        <v>34</v>
      </c>
      <c r="C113" s="8">
        <v>45499</v>
      </c>
      <c r="D113" s="7" t="s">
        <v>21</v>
      </c>
      <c r="E113" s="7" t="s">
        <v>348</v>
      </c>
      <c r="F113" s="16">
        <v>12176</v>
      </c>
      <c r="G113" s="16">
        <v>1005</v>
      </c>
      <c r="H113" s="20">
        <v>862</v>
      </c>
      <c r="I113" s="20">
        <v>974</v>
      </c>
      <c r="J113" s="24">
        <v>2285</v>
      </c>
      <c r="K113" s="20">
        <v>116619</v>
      </c>
      <c r="L113" s="31">
        <f t="shared" si="1"/>
        <v>0.12041777068916729</v>
      </c>
      <c r="M113" s="9" t="s">
        <v>25</v>
      </c>
    </row>
    <row r="114" spans="1:13" ht="14.25" customHeight="1" x14ac:dyDescent="0.3">
      <c r="A114" s="6" t="s">
        <v>254</v>
      </c>
      <c r="B114" s="7" t="s">
        <v>34</v>
      </c>
      <c r="C114" s="8">
        <v>45474</v>
      </c>
      <c r="D114" s="7" t="s">
        <v>24</v>
      </c>
      <c r="E114" s="7" t="s">
        <v>345</v>
      </c>
      <c r="F114" s="16">
        <v>3761</v>
      </c>
      <c r="G114" s="16">
        <v>651</v>
      </c>
      <c r="H114" s="20">
        <v>493</v>
      </c>
      <c r="I114" s="20">
        <v>2294</v>
      </c>
      <c r="J114" s="24">
        <v>71696</v>
      </c>
      <c r="K114" s="20">
        <v>41177</v>
      </c>
      <c r="L114" s="31">
        <f t="shared" si="1"/>
        <v>0.11911989702989532</v>
      </c>
      <c r="M114" s="9" t="s">
        <v>15</v>
      </c>
    </row>
    <row r="115" spans="1:13" ht="14.25" customHeight="1" x14ac:dyDescent="0.3">
      <c r="A115" s="6" t="s">
        <v>260</v>
      </c>
      <c r="B115" s="7" t="s">
        <v>17</v>
      </c>
      <c r="C115" s="8">
        <v>45444</v>
      </c>
      <c r="D115" s="7" t="s">
        <v>14</v>
      </c>
      <c r="E115" s="7" t="s">
        <v>347</v>
      </c>
      <c r="F115" s="16">
        <v>19844</v>
      </c>
      <c r="G115" s="16">
        <v>1022</v>
      </c>
      <c r="H115" s="20">
        <v>860</v>
      </c>
      <c r="I115" s="20">
        <v>2570</v>
      </c>
      <c r="J115" s="24">
        <v>23719</v>
      </c>
      <c r="K115" s="20">
        <v>182628</v>
      </c>
      <c r="L115" s="31">
        <f t="shared" si="1"/>
        <v>0.11896313818253498</v>
      </c>
      <c r="M115" s="9" t="s">
        <v>22</v>
      </c>
    </row>
    <row r="116" spans="1:13" ht="14.25" customHeight="1" x14ac:dyDescent="0.3">
      <c r="A116" s="6" t="s">
        <v>133</v>
      </c>
      <c r="B116" s="7" t="s">
        <v>34</v>
      </c>
      <c r="C116" s="8">
        <v>45464</v>
      </c>
      <c r="D116" s="7" t="s">
        <v>24</v>
      </c>
      <c r="E116" s="7" t="s">
        <v>346</v>
      </c>
      <c r="F116" s="16">
        <v>21216</v>
      </c>
      <c r="G116" s="16">
        <v>1207</v>
      </c>
      <c r="H116" s="20">
        <v>859</v>
      </c>
      <c r="I116" s="20">
        <v>328</v>
      </c>
      <c r="J116" s="24">
        <v>91296</v>
      </c>
      <c r="K116" s="20">
        <v>196683</v>
      </c>
      <c r="L116" s="31">
        <f t="shared" si="1"/>
        <v>0.1183732198512327</v>
      </c>
      <c r="M116" s="9" t="s">
        <v>22</v>
      </c>
    </row>
    <row r="117" spans="1:13" ht="14.25" customHeight="1" x14ac:dyDescent="0.3">
      <c r="A117" s="6" t="s">
        <v>89</v>
      </c>
      <c r="B117" s="7" t="s">
        <v>20</v>
      </c>
      <c r="C117" s="8">
        <v>45504</v>
      </c>
      <c r="D117" s="7" t="s">
        <v>14</v>
      </c>
      <c r="E117" s="7" t="s">
        <v>343</v>
      </c>
      <c r="F117" s="16">
        <v>12357</v>
      </c>
      <c r="G117" s="16">
        <v>716</v>
      </c>
      <c r="H117" s="20">
        <v>599</v>
      </c>
      <c r="I117" s="20">
        <v>999</v>
      </c>
      <c r="J117" s="24">
        <v>89591</v>
      </c>
      <c r="K117" s="20">
        <v>116367</v>
      </c>
      <c r="L117" s="31">
        <f t="shared" si="1"/>
        <v>0.11749035379446063</v>
      </c>
      <c r="M117" s="9" t="s">
        <v>15</v>
      </c>
    </row>
    <row r="118" spans="1:13" ht="14.25" customHeight="1" x14ac:dyDescent="0.3">
      <c r="A118" s="6" t="s">
        <v>230</v>
      </c>
      <c r="B118" s="7" t="s">
        <v>20</v>
      </c>
      <c r="C118" s="8">
        <v>45922</v>
      </c>
      <c r="D118" s="7" t="s">
        <v>30</v>
      </c>
      <c r="E118" s="7" t="s">
        <v>28</v>
      </c>
      <c r="F118" s="16">
        <v>18509</v>
      </c>
      <c r="G118" s="16">
        <v>361</v>
      </c>
      <c r="H118" s="20">
        <v>578</v>
      </c>
      <c r="I118" s="20">
        <v>1409</v>
      </c>
      <c r="J118" s="24">
        <v>10569</v>
      </c>
      <c r="K118" s="20">
        <v>166969</v>
      </c>
      <c r="L118" s="31">
        <f t="shared" si="1"/>
        <v>0.11647671124580011</v>
      </c>
      <c r="M118" s="9" t="s">
        <v>18</v>
      </c>
    </row>
    <row r="119" spans="1:13" ht="14.25" customHeight="1" x14ac:dyDescent="0.3">
      <c r="A119" s="6" t="s">
        <v>276</v>
      </c>
      <c r="B119" s="7" t="s">
        <v>13</v>
      </c>
      <c r="C119" s="8">
        <v>45465</v>
      </c>
      <c r="D119" s="7" t="s">
        <v>21</v>
      </c>
      <c r="E119" s="7" t="s">
        <v>348</v>
      </c>
      <c r="F119" s="16">
        <v>7342</v>
      </c>
      <c r="G119" s="16">
        <v>906</v>
      </c>
      <c r="H119" s="20">
        <v>902</v>
      </c>
      <c r="I119" s="20">
        <v>1199</v>
      </c>
      <c r="J119" s="24">
        <v>68488</v>
      </c>
      <c r="K119" s="20">
        <v>79310</v>
      </c>
      <c r="L119" s="31">
        <f t="shared" si="1"/>
        <v>0.1153700668263775</v>
      </c>
      <c r="M119" s="9" t="s">
        <v>15</v>
      </c>
    </row>
    <row r="120" spans="1:13" ht="14.25" customHeight="1" x14ac:dyDescent="0.3">
      <c r="A120" s="6" t="s">
        <v>121</v>
      </c>
      <c r="B120" s="7" t="s">
        <v>34</v>
      </c>
      <c r="C120" s="8">
        <v>45604</v>
      </c>
      <c r="D120" s="7" t="s">
        <v>21</v>
      </c>
      <c r="E120" s="7" t="s">
        <v>346</v>
      </c>
      <c r="F120" s="16">
        <v>23499</v>
      </c>
      <c r="G120" s="16">
        <v>562</v>
      </c>
      <c r="H120" s="20">
        <v>964</v>
      </c>
      <c r="I120" s="20">
        <v>2557</v>
      </c>
      <c r="J120" s="24">
        <v>56890</v>
      </c>
      <c r="K120" s="20">
        <v>218686</v>
      </c>
      <c r="L120" s="31">
        <f t="shared" si="1"/>
        <v>0.11443347996671026</v>
      </c>
      <c r="M120" s="9" t="s">
        <v>25</v>
      </c>
    </row>
    <row r="121" spans="1:13" ht="14.25" customHeight="1" x14ac:dyDescent="0.3">
      <c r="A121" s="6" t="s">
        <v>169</v>
      </c>
      <c r="B121" s="7" t="s">
        <v>17</v>
      </c>
      <c r="C121" s="8">
        <v>45567</v>
      </c>
      <c r="D121" s="7" t="s">
        <v>14</v>
      </c>
      <c r="E121" s="7" t="s">
        <v>345</v>
      </c>
      <c r="F121" s="16">
        <v>15716</v>
      </c>
      <c r="G121" s="16">
        <v>839</v>
      </c>
      <c r="H121" s="20">
        <v>639</v>
      </c>
      <c r="I121" s="20">
        <v>2839</v>
      </c>
      <c r="J121" s="24">
        <v>349</v>
      </c>
      <c r="K121" s="20">
        <v>150677</v>
      </c>
      <c r="L121" s="31">
        <f t="shared" si="1"/>
        <v>0.11411164278556117</v>
      </c>
      <c r="M121" s="9" t="s">
        <v>22</v>
      </c>
    </row>
    <row r="122" spans="1:13" ht="14.25" customHeight="1" x14ac:dyDescent="0.3">
      <c r="A122" s="6" t="s">
        <v>124</v>
      </c>
      <c r="B122" s="7" t="s">
        <v>17</v>
      </c>
      <c r="C122" s="8">
        <v>45453</v>
      </c>
      <c r="D122" s="7" t="s">
        <v>24</v>
      </c>
      <c r="E122" s="7" t="s">
        <v>347</v>
      </c>
      <c r="F122" s="16">
        <v>21561</v>
      </c>
      <c r="G122" s="16">
        <v>340</v>
      </c>
      <c r="H122" s="20">
        <v>741</v>
      </c>
      <c r="I122" s="20">
        <v>986</v>
      </c>
      <c r="J122" s="24">
        <v>24826</v>
      </c>
      <c r="K122" s="20">
        <v>198492</v>
      </c>
      <c r="L122" s="31">
        <f t="shared" si="1"/>
        <v>0.11407008846704149</v>
      </c>
      <c r="M122" s="9" t="s">
        <v>15</v>
      </c>
    </row>
    <row r="123" spans="1:13" ht="14.25" customHeight="1" x14ac:dyDescent="0.3">
      <c r="A123" s="6" t="s">
        <v>187</v>
      </c>
      <c r="B123" s="7" t="s">
        <v>13</v>
      </c>
      <c r="C123" s="8">
        <v>45936</v>
      </c>
      <c r="D123" s="7" t="s">
        <v>24</v>
      </c>
      <c r="E123" s="7" t="s">
        <v>345</v>
      </c>
      <c r="F123" s="16">
        <v>22028</v>
      </c>
      <c r="G123" s="16">
        <v>355</v>
      </c>
      <c r="H123" s="20">
        <v>665</v>
      </c>
      <c r="I123" s="20">
        <v>1859</v>
      </c>
      <c r="J123" s="24">
        <v>50565</v>
      </c>
      <c r="K123" s="20">
        <v>202962</v>
      </c>
      <c r="L123" s="31">
        <f t="shared" si="1"/>
        <v>0.11355820301337197</v>
      </c>
      <c r="M123" s="9" t="s">
        <v>18</v>
      </c>
    </row>
    <row r="124" spans="1:13" ht="14.25" customHeight="1" x14ac:dyDescent="0.3">
      <c r="A124" s="6" t="s">
        <v>52</v>
      </c>
      <c r="B124" s="7" t="s">
        <v>34</v>
      </c>
      <c r="C124" s="8">
        <v>45552</v>
      </c>
      <c r="D124" s="7" t="s">
        <v>21</v>
      </c>
      <c r="E124" s="7" t="s">
        <v>349</v>
      </c>
      <c r="F124" s="16">
        <v>20017</v>
      </c>
      <c r="G124" s="16">
        <v>495</v>
      </c>
      <c r="H124" s="20">
        <v>178</v>
      </c>
      <c r="I124" s="20">
        <v>2683</v>
      </c>
      <c r="J124" s="24">
        <v>32244</v>
      </c>
      <c r="K124" s="20">
        <v>182633</v>
      </c>
      <c r="L124" s="31">
        <f t="shared" si="1"/>
        <v>0.11328730295182141</v>
      </c>
      <c r="M124" s="9" t="s">
        <v>15</v>
      </c>
    </row>
    <row r="125" spans="1:13" ht="14.25" customHeight="1" x14ac:dyDescent="0.3">
      <c r="A125" s="6" t="s">
        <v>154</v>
      </c>
      <c r="B125" s="7" t="s">
        <v>20</v>
      </c>
      <c r="C125" s="8">
        <v>45667</v>
      </c>
      <c r="D125" s="7" t="s">
        <v>30</v>
      </c>
      <c r="E125" s="7" t="s">
        <v>351</v>
      </c>
      <c r="F125" s="16">
        <v>14647</v>
      </c>
      <c r="G125" s="16">
        <v>1168</v>
      </c>
      <c r="H125" s="20">
        <v>484</v>
      </c>
      <c r="I125" s="20">
        <v>2650</v>
      </c>
      <c r="J125" s="24">
        <v>27217</v>
      </c>
      <c r="K125" s="20">
        <v>144061</v>
      </c>
      <c r="L125" s="31">
        <f t="shared" si="1"/>
        <v>0.11313957281984714</v>
      </c>
      <c r="M125" s="9" t="s">
        <v>25</v>
      </c>
    </row>
    <row r="126" spans="1:13" ht="14.25" customHeight="1" x14ac:dyDescent="0.3">
      <c r="A126" s="6" t="s">
        <v>185</v>
      </c>
      <c r="B126" s="7" t="s">
        <v>20</v>
      </c>
      <c r="C126" s="8">
        <v>45935</v>
      </c>
      <c r="D126" s="7" t="s">
        <v>21</v>
      </c>
      <c r="E126" s="7" t="s">
        <v>347</v>
      </c>
      <c r="F126" s="16">
        <v>21262</v>
      </c>
      <c r="G126" s="16">
        <v>861</v>
      </c>
      <c r="H126" s="20">
        <v>676</v>
      </c>
      <c r="I126" s="20">
        <v>2263</v>
      </c>
      <c r="J126" s="24">
        <v>12085</v>
      </c>
      <c r="K126" s="20">
        <v>201731</v>
      </c>
      <c r="L126" s="31">
        <f t="shared" si="1"/>
        <v>0.11301683925623726</v>
      </c>
      <c r="M126" s="9" t="s">
        <v>18</v>
      </c>
    </row>
    <row r="127" spans="1:13" ht="14.25" customHeight="1" x14ac:dyDescent="0.3">
      <c r="A127" s="6" t="s">
        <v>221</v>
      </c>
      <c r="B127" s="7" t="s">
        <v>13</v>
      </c>
      <c r="C127" s="8">
        <v>45519</v>
      </c>
      <c r="D127" s="7" t="s">
        <v>14</v>
      </c>
      <c r="E127" s="7" t="s">
        <v>349</v>
      </c>
      <c r="F127" s="16">
        <v>15503</v>
      </c>
      <c r="G127" s="16">
        <v>313</v>
      </c>
      <c r="H127" s="20">
        <v>388</v>
      </c>
      <c r="I127" s="20">
        <v>1078</v>
      </c>
      <c r="J127" s="24">
        <v>11500</v>
      </c>
      <c r="K127" s="20">
        <v>143754</v>
      </c>
      <c r="L127" s="31">
        <f t="shared" si="1"/>
        <v>0.1127203416948398</v>
      </c>
      <c r="M127" s="9" t="s">
        <v>25</v>
      </c>
    </row>
    <row r="128" spans="1:13" ht="14.25" customHeight="1" x14ac:dyDescent="0.3">
      <c r="A128" s="6" t="s">
        <v>97</v>
      </c>
      <c r="B128" s="7" t="s">
        <v>34</v>
      </c>
      <c r="C128" s="8">
        <v>45537</v>
      </c>
      <c r="D128" s="7" t="s">
        <v>30</v>
      </c>
      <c r="E128" s="7" t="s">
        <v>346</v>
      </c>
      <c r="F128" s="16">
        <v>12040</v>
      </c>
      <c r="G128" s="16">
        <v>1147</v>
      </c>
      <c r="H128" s="20">
        <v>210</v>
      </c>
      <c r="I128" s="20">
        <v>885</v>
      </c>
      <c r="J128" s="24">
        <v>30360</v>
      </c>
      <c r="K128" s="20">
        <v>119530</v>
      </c>
      <c r="L128" s="31">
        <f t="shared" si="1"/>
        <v>0.1120806492094035</v>
      </c>
      <c r="M128" s="9" t="s">
        <v>25</v>
      </c>
    </row>
    <row r="129" spans="1:13" ht="14.25" customHeight="1" x14ac:dyDescent="0.3">
      <c r="A129" s="6" t="s">
        <v>118</v>
      </c>
      <c r="B129" s="7" t="s">
        <v>17</v>
      </c>
      <c r="C129" s="8">
        <v>45586</v>
      </c>
      <c r="D129" s="7" t="s">
        <v>21</v>
      </c>
      <c r="E129" s="7" t="s">
        <v>344</v>
      </c>
      <c r="F129" s="16">
        <v>19715</v>
      </c>
      <c r="G129" s="16">
        <v>1014</v>
      </c>
      <c r="H129" s="20">
        <v>718</v>
      </c>
      <c r="I129" s="20">
        <v>1185</v>
      </c>
      <c r="J129" s="24">
        <v>37625</v>
      </c>
      <c r="K129" s="20">
        <v>191409</v>
      </c>
      <c r="L129" s="31">
        <f t="shared" si="1"/>
        <v>0.11204802282024356</v>
      </c>
      <c r="M129" s="9" t="s">
        <v>15</v>
      </c>
    </row>
    <row r="130" spans="1:13" ht="14.25" customHeight="1" x14ac:dyDescent="0.3">
      <c r="A130" s="6" t="s">
        <v>251</v>
      </c>
      <c r="B130" s="7" t="s">
        <v>34</v>
      </c>
      <c r="C130" s="8">
        <v>45463</v>
      </c>
      <c r="D130" s="7" t="s">
        <v>24</v>
      </c>
      <c r="E130" s="7" t="s">
        <v>348</v>
      </c>
      <c r="F130" s="16">
        <v>21123</v>
      </c>
      <c r="G130" s="16">
        <v>1343</v>
      </c>
      <c r="H130" s="20">
        <v>589</v>
      </c>
      <c r="I130" s="20">
        <v>727</v>
      </c>
      <c r="J130" s="24">
        <v>87833</v>
      </c>
      <c r="K130" s="20">
        <v>206703</v>
      </c>
      <c r="L130" s="31">
        <f t="shared" ref="L130:L193" si="2">(F130+G130+H130)/K130</f>
        <v>0.11153684271636116</v>
      </c>
      <c r="M130" s="9" t="s">
        <v>15</v>
      </c>
    </row>
    <row r="131" spans="1:13" ht="14.25" customHeight="1" x14ac:dyDescent="0.3">
      <c r="A131" s="6" t="s">
        <v>44</v>
      </c>
      <c r="B131" s="7" t="s">
        <v>17</v>
      </c>
      <c r="C131" s="8">
        <v>45466</v>
      </c>
      <c r="D131" s="7" t="s">
        <v>21</v>
      </c>
      <c r="E131" s="7" t="s">
        <v>350</v>
      </c>
      <c r="F131" s="16">
        <v>16512</v>
      </c>
      <c r="G131" s="16">
        <v>1050</v>
      </c>
      <c r="H131" s="20">
        <v>971</v>
      </c>
      <c r="I131" s="20">
        <v>1891</v>
      </c>
      <c r="J131" s="24">
        <v>15865</v>
      </c>
      <c r="K131" s="20">
        <v>166503</v>
      </c>
      <c r="L131" s="31">
        <f t="shared" si="2"/>
        <v>0.1113073037723044</v>
      </c>
      <c r="M131" s="9" t="s">
        <v>25</v>
      </c>
    </row>
    <row r="132" spans="1:13" ht="14.25" customHeight="1" x14ac:dyDescent="0.3">
      <c r="A132" s="6" t="s">
        <v>19</v>
      </c>
      <c r="B132" s="7" t="s">
        <v>20</v>
      </c>
      <c r="C132" s="8">
        <v>45789</v>
      </c>
      <c r="D132" s="7" t="s">
        <v>21</v>
      </c>
      <c r="E132" s="7" t="s">
        <v>345</v>
      </c>
      <c r="F132" s="16">
        <v>19308</v>
      </c>
      <c r="G132" s="16">
        <v>1318</v>
      </c>
      <c r="H132" s="20">
        <v>795</v>
      </c>
      <c r="I132" s="20">
        <v>1499</v>
      </c>
      <c r="J132" s="24">
        <v>52307</v>
      </c>
      <c r="K132" s="20">
        <v>193087</v>
      </c>
      <c r="L132" s="31">
        <f t="shared" si="2"/>
        <v>0.11093962825047776</v>
      </c>
      <c r="M132" s="9" t="s">
        <v>22</v>
      </c>
    </row>
    <row r="133" spans="1:13" ht="14.25" customHeight="1" x14ac:dyDescent="0.3">
      <c r="A133" s="6" t="s">
        <v>172</v>
      </c>
      <c r="B133" s="7" t="s">
        <v>13</v>
      </c>
      <c r="C133" s="8">
        <v>45448</v>
      </c>
      <c r="D133" s="7" t="s">
        <v>21</v>
      </c>
      <c r="E133" s="7" t="s">
        <v>351</v>
      </c>
      <c r="F133" s="16">
        <v>18907</v>
      </c>
      <c r="G133" s="16">
        <v>1075</v>
      </c>
      <c r="H133" s="20">
        <v>675</v>
      </c>
      <c r="I133" s="20">
        <v>1383</v>
      </c>
      <c r="J133" s="24">
        <v>17875</v>
      </c>
      <c r="K133" s="20">
        <v>186649</v>
      </c>
      <c r="L133" s="31">
        <f t="shared" si="2"/>
        <v>0.11067297440650634</v>
      </c>
      <c r="M133" s="9" t="s">
        <v>15</v>
      </c>
    </row>
    <row r="134" spans="1:13" ht="14.25" customHeight="1" x14ac:dyDescent="0.3">
      <c r="A134" s="6" t="s">
        <v>310</v>
      </c>
      <c r="B134" s="7" t="s">
        <v>13</v>
      </c>
      <c r="C134" s="8">
        <v>45552</v>
      </c>
      <c r="D134" s="7" t="s">
        <v>24</v>
      </c>
      <c r="E134" s="7" t="s">
        <v>347</v>
      </c>
      <c r="F134" s="16">
        <v>20410</v>
      </c>
      <c r="G134" s="16">
        <v>1332</v>
      </c>
      <c r="H134" s="20">
        <v>472</v>
      </c>
      <c r="I134" s="20">
        <v>1202</v>
      </c>
      <c r="J134" s="24">
        <v>9418</v>
      </c>
      <c r="K134" s="20">
        <v>200806</v>
      </c>
      <c r="L134" s="31">
        <f t="shared" si="2"/>
        <v>0.11062418453631864</v>
      </c>
      <c r="M134" s="9" t="s">
        <v>15</v>
      </c>
    </row>
    <row r="135" spans="1:13" ht="14.25" customHeight="1" x14ac:dyDescent="0.3">
      <c r="A135" s="6" t="s">
        <v>261</v>
      </c>
      <c r="B135" s="7" t="s">
        <v>17</v>
      </c>
      <c r="C135" s="8">
        <v>45648</v>
      </c>
      <c r="D135" s="7" t="s">
        <v>21</v>
      </c>
      <c r="E135" s="7" t="s">
        <v>346</v>
      </c>
      <c r="F135" s="16">
        <v>20117</v>
      </c>
      <c r="G135" s="16">
        <v>1143</v>
      </c>
      <c r="H135" s="20">
        <v>713</v>
      </c>
      <c r="I135" s="20">
        <v>1739</v>
      </c>
      <c r="J135" s="24">
        <v>34444</v>
      </c>
      <c r="K135" s="20">
        <v>198670</v>
      </c>
      <c r="L135" s="31">
        <f t="shared" si="2"/>
        <v>0.11060049328031409</v>
      </c>
      <c r="M135" s="9" t="s">
        <v>38</v>
      </c>
    </row>
    <row r="136" spans="1:13" ht="14.25" customHeight="1" x14ac:dyDescent="0.3">
      <c r="A136" s="6" t="s">
        <v>308</v>
      </c>
      <c r="B136" s="7" t="s">
        <v>17</v>
      </c>
      <c r="C136" s="8">
        <v>45568</v>
      </c>
      <c r="D136" s="7" t="s">
        <v>14</v>
      </c>
      <c r="E136" s="7" t="s">
        <v>346</v>
      </c>
      <c r="F136" s="16">
        <v>22618</v>
      </c>
      <c r="G136" s="16">
        <v>641</v>
      </c>
      <c r="H136" s="20">
        <v>416</v>
      </c>
      <c r="I136" s="20">
        <v>1530</v>
      </c>
      <c r="J136" s="24">
        <v>18395</v>
      </c>
      <c r="K136" s="20">
        <v>215211</v>
      </c>
      <c r="L136" s="31">
        <f t="shared" si="2"/>
        <v>0.1100083174187193</v>
      </c>
      <c r="M136" s="9" t="s">
        <v>38</v>
      </c>
    </row>
    <row r="137" spans="1:13" ht="14.25" customHeight="1" x14ac:dyDescent="0.3">
      <c r="A137" s="6" t="s">
        <v>284</v>
      </c>
      <c r="B137" s="7" t="s">
        <v>34</v>
      </c>
      <c r="C137" s="8">
        <v>45509</v>
      </c>
      <c r="D137" s="7" t="s">
        <v>24</v>
      </c>
      <c r="E137" s="7" t="s">
        <v>343</v>
      </c>
      <c r="F137" s="16">
        <v>20935</v>
      </c>
      <c r="G137" s="16">
        <v>1104</v>
      </c>
      <c r="H137" s="20">
        <v>876</v>
      </c>
      <c r="I137" s="20">
        <v>1270</v>
      </c>
      <c r="J137" s="24">
        <v>21454</v>
      </c>
      <c r="K137" s="20">
        <v>208722</v>
      </c>
      <c r="L137" s="31">
        <f t="shared" si="2"/>
        <v>0.10978718103506099</v>
      </c>
      <c r="M137" s="9" t="s">
        <v>22</v>
      </c>
    </row>
    <row r="138" spans="1:13" ht="14.25" customHeight="1" x14ac:dyDescent="0.3">
      <c r="A138" s="6" t="s">
        <v>179</v>
      </c>
      <c r="B138" s="7" t="s">
        <v>20</v>
      </c>
      <c r="C138" s="8">
        <v>45658</v>
      </c>
      <c r="D138" s="7" t="s">
        <v>24</v>
      </c>
      <c r="E138" s="7" t="s">
        <v>344</v>
      </c>
      <c r="F138" s="16">
        <v>24574</v>
      </c>
      <c r="G138" s="16">
        <v>909</v>
      </c>
      <c r="H138" s="20">
        <v>280</v>
      </c>
      <c r="I138" s="20">
        <v>2009</v>
      </c>
      <c r="J138" s="24">
        <v>6221</v>
      </c>
      <c r="K138" s="20">
        <v>236910</v>
      </c>
      <c r="L138" s="31">
        <f t="shared" si="2"/>
        <v>0.10874593727575872</v>
      </c>
      <c r="M138" s="9" t="s">
        <v>38</v>
      </c>
    </row>
    <row r="139" spans="1:13" ht="14.25" customHeight="1" x14ac:dyDescent="0.3">
      <c r="A139" s="6" t="s">
        <v>59</v>
      </c>
      <c r="B139" s="7" t="s">
        <v>17</v>
      </c>
      <c r="C139" s="8">
        <v>45911</v>
      </c>
      <c r="D139" s="7" t="s">
        <v>30</v>
      </c>
      <c r="E139" s="7" t="s">
        <v>349</v>
      </c>
      <c r="F139" s="16">
        <v>10175</v>
      </c>
      <c r="G139" s="16">
        <v>342</v>
      </c>
      <c r="H139" s="20">
        <v>825</v>
      </c>
      <c r="I139" s="20">
        <v>2904</v>
      </c>
      <c r="J139" s="24">
        <v>15954</v>
      </c>
      <c r="K139" s="20">
        <v>104324</v>
      </c>
      <c r="L139" s="31">
        <f t="shared" si="2"/>
        <v>0.10871899083624094</v>
      </c>
      <c r="M139" s="9" t="s">
        <v>18</v>
      </c>
    </row>
    <row r="140" spans="1:13" ht="14.25" customHeight="1" x14ac:dyDescent="0.3">
      <c r="A140" s="6" t="s">
        <v>209</v>
      </c>
      <c r="B140" s="7" t="s">
        <v>34</v>
      </c>
      <c r="C140" s="8">
        <v>45643</v>
      </c>
      <c r="D140" s="7" t="s">
        <v>14</v>
      </c>
      <c r="E140" s="7" t="s">
        <v>348</v>
      </c>
      <c r="F140" s="16">
        <v>20030</v>
      </c>
      <c r="G140" s="16">
        <v>485</v>
      </c>
      <c r="H140" s="20">
        <v>888</v>
      </c>
      <c r="I140" s="20">
        <v>1643</v>
      </c>
      <c r="J140" s="24">
        <v>4322</v>
      </c>
      <c r="K140" s="20">
        <v>196995</v>
      </c>
      <c r="L140" s="31">
        <f t="shared" si="2"/>
        <v>0.10864742759968526</v>
      </c>
      <c r="M140" s="9" t="s">
        <v>22</v>
      </c>
    </row>
    <row r="141" spans="1:13" ht="14.25" customHeight="1" x14ac:dyDescent="0.3">
      <c r="A141" s="6" t="s">
        <v>78</v>
      </c>
      <c r="B141" s="7" t="s">
        <v>34</v>
      </c>
      <c r="C141" s="8">
        <v>45919</v>
      </c>
      <c r="D141" s="7" t="s">
        <v>14</v>
      </c>
      <c r="E141" s="7" t="s">
        <v>348</v>
      </c>
      <c r="F141" s="16">
        <v>19100</v>
      </c>
      <c r="G141" s="16">
        <v>619</v>
      </c>
      <c r="H141" s="20">
        <v>297</v>
      </c>
      <c r="I141" s="20">
        <v>2312</v>
      </c>
      <c r="J141" s="24">
        <v>9730</v>
      </c>
      <c r="K141" s="20">
        <v>184832</v>
      </c>
      <c r="L141" s="31">
        <f t="shared" si="2"/>
        <v>0.10829293628808864</v>
      </c>
      <c r="M141" s="9" t="s">
        <v>18</v>
      </c>
    </row>
    <row r="142" spans="1:13" ht="14.25" customHeight="1" x14ac:dyDescent="0.3">
      <c r="A142" s="6" t="s">
        <v>225</v>
      </c>
      <c r="B142" s="7" t="s">
        <v>20</v>
      </c>
      <c r="C142" s="8">
        <v>45920</v>
      </c>
      <c r="D142" s="7" t="s">
        <v>14</v>
      </c>
      <c r="E142" s="7" t="s">
        <v>348</v>
      </c>
      <c r="F142" s="16">
        <v>12267</v>
      </c>
      <c r="G142" s="16">
        <v>1487</v>
      </c>
      <c r="H142" s="20">
        <v>489</v>
      </c>
      <c r="I142" s="20">
        <v>2748</v>
      </c>
      <c r="J142" s="24">
        <v>34685</v>
      </c>
      <c r="K142" s="20">
        <v>131736</v>
      </c>
      <c r="L142" s="31">
        <f t="shared" si="2"/>
        <v>0.1081177506528208</v>
      </c>
      <c r="M142" s="9" t="s">
        <v>18</v>
      </c>
    </row>
    <row r="143" spans="1:13" ht="14.25" customHeight="1" x14ac:dyDescent="0.3">
      <c r="A143" s="6" t="s">
        <v>288</v>
      </c>
      <c r="B143" s="7" t="s">
        <v>34</v>
      </c>
      <c r="C143" s="8">
        <v>45675</v>
      </c>
      <c r="D143" s="7" t="s">
        <v>21</v>
      </c>
      <c r="E143" s="7" t="s">
        <v>351</v>
      </c>
      <c r="F143" s="16">
        <v>22673</v>
      </c>
      <c r="G143" s="16">
        <v>1053</v>
      </c>
      <c r="H143" s="20">
        <v>169</v>
      </c>
      <c r="I143" s="20">
        <v>1566</v>
      </c>
      <c r="J143" s="24">
        <v>9417</v>
      </c>
      <c r="K143" s="20">
        <v>221187</v>
      </c>
      <c r="L143" s="31">
        <f t="shared" si="2"/>
        <v>0.10803076130152314</v>
      </c>
      <c r="M143" s="9" t="s">
        <v>25</v>
      </c>
    </row>
    <row r="144" spans="1:13" ht="14.25" customHeight="1" x14ac:dyDescent="0.3">
      <c r="A144" s="6" t="s">
        <v>294</v>
      </c>
      <c r="B144" s="7" t="s">
        <v>17</v>
      </c>
      <c r="C144" s="8">
        <v>45760</v>
      </c>
      <c r="D144" s="7" t="s">
        <v>30</v>
      </c>
      <c r="E144" s="7" t="s">
        <v>55</v>
      </c>
      <c r="F144" s="16">
        <v>24700</v>
      </c>
      <c r="G144" s="16">
        <v>327</v>
      </c>
      <c r="H144" s="20">
        <v>999</v>
      </c>
      <c r="I144" s="20">
        <v>994</v>
      </c>
      <c r="J144" s="24">
        <v>59400</v>
      </c>
      <c r="K144" s="20">
        <v>243502</v>
      </c>
      <c r="L144" s="31">
        <f t="shared" si="2"/>
        <v>0.10688207899729776</v>
      </c>
      <c r="M144" s="9" t="s">
        <v>22</v>
      </c>
    </row>
    <row r="145" spans="1:13" ht="14.25" customHeight="1" x14ac:dyDescent="0.3">
      <c r="A145" s="6" t="s">
        <v>206</v>
      </c>
      <c r="B145" s="7" t="s">
        <v>13</v>
      </c>
      <c r="C145" s="8">
        <v>45941</v>
      </c>
      <c r="D145" s="7" t="s">
        <v>30</v>
      </c>
      <c r="E145" s="7" t="s">
        <v>348</v>
      </c>
      <c r="F145" s="16">
        <v>15623</v>
      </c>
      <c r="G145" s="16">
        <v>869</v>
      </c>
      <c r="H145" s="20">
        <v>423</v>
      </c>
      <c r="I145" s="20">
        <v>371</v>
      </c>
      <c r="J145" s="24">
        <v>47579</v>
      </c>
      <c r="K145" s="20">
        <v>158516</v>
      </c>
      <c r="L145" s="31">
        <f t="shared" si="2"/>
        <v>0.10670847106916652</v>
      </c>
      <c r="M145" s="9" t="s">
        <v>18</v>
      </c>
    </row>
    <row r="146" spans="1:13" ht="14.25" customHeight="1" x14ac:dyDescent="0.3">
      <c r="A146" s="6" t="s">
        <v>240</v>
      </c>
      <c r="B146" s="7" t="s">
        <v>13</v>
      </c>
      <c r="C146" s="8">
        <v>45649</v>
      </c>
      <c r="D146" s="7" t="s">
        <v>24</v>
      </c>
      <c r="E146" s="7" t="s">
        <v>345</v>
      </c>
      <c r="F146" s="16">
        <v>18616</v>
      </c>
      <c r="G146" s="16">
        <v>1277</v>
      </c>
      <c r="H146" s="20">
        <v>734</v>
      </c>
      <c r="I146" s="20">
        <v>2249</v>
      </c>
      <c r="J146" s="24">
        <v>3399</v>
      </c>
      <c r="K146" s="20">
        <v>193515</v>
      </c>
      <c r="L146" s="31">
        <f t="shared" si="2"/>
        <v>0.10659122031883833</v>
      </c>
      <c r="M146" s="9" t="s">
        <v>25</v>
      </c>
    </row>
    <row r="147" spans="1:13" ht="14.25" customHeight="1" x14ac:dyDescent="0.3">
      <c r="A147" s="6" t="s">
        <v>298</v>
      </c>
      <c r="B147" s="7" t="s">
        <v>17</v>
      </c>
      <c r="C147" s="8">
        <v>45743</v>
      </c>
      <c r="D147" s="7" t="s">
        <v>21</v>
      </c>
      <c r="E147" s="7" t="s">
        <v>351</v>
      </c>
      <c r="F147" s="16">
        <v>14819</v>
      </c>
      <c r="G147" s="16">
        <v>1432</v>
      </c>
      <c r="H147" s="20">
        <v>152</v>
      </c>
      <c r="I147" s="20">
        <v>961</v>
      </c>
      <c r="J147" s="24">
        <v>39154</v>
      </c>
      <c r="K147" s="20">
        <v>154793</v>
      </c>
      <c r="L147" s="31">
        <f t="shared" si="2"/>
        <v>0.10596732410380315</v>
      </c>
      <c r="M147" s="9" t="s">
        <v>25</v>
      </c>
    </row>
    <row r="148" spans="1:13" ht="14.25" customHeight="1" x14ac:dyDescent="0.3">
      <c r="A148" s="6" t="s">
        <v>224</v>
      </c>
      <c r="B148" s="7" t="s">
        <v>17</v>
      </c>
      <c r="C148" s="8">
        <v>45919</v>
      </c>
      <c r="D148" s="7" t="s">
        <v>30</v>
      </c>
      <c r="E148" s="7" t="s">
        <v>346</v>
      </c>
      <c r="F148" s="16">
        <v>14772</v>
      </c>
      <c r="G148" s="16">
        <v>1030</v>
      </c>
      <c r="H148" s="20">
        <v>508</v>
      </c>
      <c r="I148" s="20">
        <v>1876</v>
      </c>
      <c r="J148" s="24">
        <v>8882</v>
      </c>
      <c r="K148" s="20">
        <v>155142</v>
      </c>
      <c r="L148" s="31">
        <f t="shared" si="2"/>
        <v>0.10512949426976577</v>
      </c>
      <c r="M148" s="9" t="s">
        <v>18</v>
      </c>
    </row>
    <row r="149" spans="1:13" ht="14.25" customHeight="1" x14ac:dyDescent="0.3">
      <c r="A149" s="6" t="s">
        <v>322</v>
      </c>
      <c r="B149" s="7" t="s">
        <v>17</v>
      </c>
      <c r="C149" s="8">
        <v>45699</v>
      </c>
      <c r="D149" s="7" t="s">
        <v>30</v>
      </c>
      <c r="E149" s="7" t="s">
        <v>352</v>
      </c>
      <c r="F149" s="16">
        <v>3619</v>
      </c>
      <c r="G149" s="16">
        <v>1376</v>
      </c>
      <c r="H149" s="20">
        <v>410</v>
      </c>
      <c r="I149" s="20">
        <v>2499</v>
      </c>
      <c r="J149" s="24">
        <v>58146</v>
      </c>
      <c r="K149" s="20">
        <v>52149</v>
      </c>
      <c r="L149" s="31">
        <f t="shared" si="2"/>
        <v>0.10364532397553165</v>
      </c>
      <c r="M149" s="9" t="s">
        <v>15</v>
      </c>
    </row>
    <row r="150" spans="1:13" ht="14.25" customHeight="1" x14ac:dyDescent="0.3">
      <c r="A150" s="6" t="s">
        <v>266</v>
      </c>
      <c r="B150" s="7" t="s">
        <v>17</v>
      </c>
      <c r="C150" s="8">
        <v>45911</v>
      </c>
      <c r="D150" s="7" t="s">
        <v>24</v>
      </c>
      <c r="E150" s="7" t="s">
        <v>347</v>
      </c>
      <c r="F150" s="16">
        <v>21901</v>
      </c>
      <c r="G150" s="16">
        <v>1308</v>
      </c>
      <c r="H150" s="20">
        <v>724</v>
      </c>
      <c r="I150" s="20">
        <v>2183</v>
      </c>
      <c r="J150" s="24">
        <v>15996</v>
      </c>
      <c r="K150" s="20">
        <v>230961</v>
      </c>
      <c r="L150" s="31">
        <f t="shared" si="2"/>
        <v>0.10362355549205277</v>
      </c>
      <c r="M150" s="9" t="s">
        <v>18</v>
      </c>
    </row>
    <row r="151" spans="1:13" ht="14.25" customHeight="1" x14ac:dyDescent="0.3">
      <c r="A151" s="6" t="s">
        <v>269</v>
      </c>
      <c r="B151" s="7" t="s">
        <v>17</v>
      </c>
      <c r="C151" s="8">
        <v>45722</v>
      </c>
      <c r="D151" s="7" t="s">
        <v>21</v>
      </c>
      <c r="E151" s="7" t="s">
        <v>349</v>
      </c>
      <c r="F151" s="16">
        <v>22119</v>
      </c>
      <c r="G151" s="16">
        <v>899</v>
      </c>
      <c r="H151" s="20">
        <v>642</v>
      </c>
      <c r="I151" s="20">
        <v>410</v>
      </c>
      <c r="J151" s="24">
        <v>49490</v>
      </c>
      <c r="K151" s="20">
        <v>229420</v>
      </c>
      <c r="L151" s="31">
        <f t="shared" si="2"/>
        <v>0.10312963124400662</v>
      </c>
      <c r="M151" s="9" t="s">
        <v>25</v>
      </c>
    </row>
    <row r="152" spans="1:13" ht="14.25" customHeight="1" x14ac:dyDescent="0.3">
      <c r="A152" s="6" t="s">
        <v>316</v>
      </c>
      <c r="B152" s="7" t="s">
        <v>17</v>
      </c>
      <c r="C152" s="8">
        <v>45920</v>
      </c>
      <c r="D152" s="7" t="s">
        <v>14</v>
      </c>
      <c r="E152" s="7" t="s">
        <v>28</v>
      </c>
      <c r="F152" s="16">
        <v>24422</v>
      </c>
      <c r="G152" s="16">
        <v>327</v>
      </c>
      <c r="H152" s="20">
        <v>481</v>
      </c>
      <c r="I152" s="20">
        <v>2371</v>
      </c>
      <c r="J152" s="24">
        <v>35340</v>
      </c>
      <c r="K152" s="20">
        <v>245244</v>
      </c>
      <c r="L152" s="31">
        <f t="shared" si="2"/>
        <v>0.10287713460879777</v>
      </c>
      <c r="M152" s="9" t="s">
        <v>18</v>
      </c>
    </row>
    <row r="153" spans="1:13" ht="14.25" customHeight="1" x14ac:dyDescent="0.3">
      <c r="A153" s="6" t="s">
        <v>263</v>
      </c>
      <c r="B153" s="7" t="s">
        <v>34</v>
      </c>
      <c r="C153" s="8">
        <v>45587</v>
      </c>
      <c r="D153" s="7" t="s">
        <v>30</v>
      </c>
      <c r="E153" s="7" t="s">
        <v>345</v>
      </c>
      <c r="F153" s="16">
        <v>7622</v>
      </c>
      <c r="G153" s="16">
        <v>529</v>
      </c>
      <c r="H153" s="20">
        <v>720</v>
      </c>
      <c r="I153" s="20">
        <v>1015</v>
      </c>
      <c r="J153" s="24">
        <v>71322</v>
      </c>
      <c r="K153" s="20">
        <v>86819</v>
      </c>
      <c r="L153" s="31">
        <f t="shared" si="2"/>
        <v>0.10217809465669957</v>
      </c>
      <c r="M153" s="9" t="s">
        <v>38</v>
      </c>
    </row>
    <row r="154" spans="1:13" ht="14.25" customHeight="1" x14ac:dyDescent="0.3">
      <c r="A154" s="6" t="s">
        <v>192</v>
      </c>
      <c r="B154" s="7" t="s">
        <v>20</v>
      </c>
      <c r="C154" s="8">
        <v>45704</v>
      </c>
      <c r="D154" s="7" t="s">
        <v>21</v>
      </c>
      <c r="E154" s="7" t="s">
        <v>350</v>
      </c>
      <c r="F154" s="16">
        <v>24195</v>
      </c>
      <c r="G154" s="16">
        <v>888</v>
      </c>
      <c r="H154" s="20">
        <v>165</v>
      </c>
      <c r="I154" s="20">
        <v>1559</v>
      </c>
      <c r="J154" s="24">
        <v>11596</v>
      </c>
      <c r="K154" s="20">
        <v>249988</v>
      </c>
      <c r="L154" s="31">
        <f t="shared" si="2"/>
        <v>0.10099684784869674</v>
      </c>
      <c r="M154" s="9" t="s">
        <v>22</v>
      </c>
    </row>
    <row r="155" spans="1:13" ht="14.25" customHeight="1" x14ac:dyDescent="0.3">
      <c r="A155" s="6" t="s">
        <v>148</v>
      </c>
      <c r="B155" s="7" t="s">
        <v>20</v>
      </c>
      <c r="C155" s="8">
        <v>45567</v>
      </c>
      <c r="D155" s="7" t="s">
        <v>24</v>
      </c>
      <c r="E155" s="7" t="s">
        <v>351</v>
      </c>
      <c r="F155" s="16">
        <v>9350</v>
      </c>
      <c r="G155" s="16">
        <v>1024</v>
      </c>
      <c r="H155" s="20">
        <v>550</v>
      </c>
      <c r="I155" s="20">
        <v>2123</v>
      </c>
      <c r="J155" s="24">
        <v>53916</v>
      </c>
      <c r="K155" s="20">
        <v>108785</v>
      </c>
      <c r="L155" s="31">
        <f t="shared" si="2"/>
        <v>0.10041825619340902</v>
      </c>
      <c r="M155" s="9" t="s">
        <v>22</v>
      </c>
    </row>
    <row r="156" spans="1:13" ht="14.25" customHeight="1" x14ac:dyDescent="0.3">
      <c r="A156" s="6" t="s">
        <v>275</v>
      </c>
      <c r="B156" s="7" t="s">
        <v>20</v>
      </c>
      <c r="C156" s="8">
        <v>45491</v>
      </c>
      <c r="D156" s="7" t="s">
        <v>24</v>
      </c>
      <c r="E156" s="7" t="s">
        <v>55</v>
      </c>
      <c r="F156" s="16">
        <v>11111</v>
      </c>
      <c r="G156" s="16">
        <v>1222</v>
      </c>
      <c r="H156" s="20">
        <v>367</v>
      </c>
      <c r="I156" s="20">
        <v>507</v>
      </c>
      <c r="J156" s="24">
        <v>14129</v>
      </c>
      <c r="K156" s="20">
        <v>127163</v>
      </c>
      <c r="L156" s="31">
        <f t="shared" si="2"/>
        <v>9.9871818060284834E-2</v>
      </c>
      <c r="M156" s="9" t="s">
        <v>38</v>
      </c>
    </row>
    <row r="157" spans="1:13" ht="14.25" customHeight="1" x14ac:dyDescent="0.3">
      <c r="A157" s="6" t="s">
        <v>191</v>
      </c>
      <c r="B157" s="7" t="s">
        <v>34</v>
      </c>
      <c r="C157" s="8">
        <v>45937</v>
      </c>
      <c r="D157" s="7" t="s">
        <v>30</v>
      </c>
      <c r="E157" s="7" t="s">
        <v>348</v>
      </c>
      <c r="F157" s="16">
        <v>19660</v>
      </c>
      <c r="G157" s="16">
        <v>1307</v>
      </c>
      <c r="H157" s="20">
        <v>310</v>
      </c>
      <c r="I157" s="20">
        <v>2802</v>
      </c>
      <c r="J157" s="24">
        <v>22171</v>
      </c>
      <c r="K157" s="20">
        <v>213359</v>
      </c>
      <c r="L157" s="31">
        <f t="shared" si="2"/>
        <v>9.9723939463533293E-2</v>
      </c>
      <c r="M157" s="9" t="s">
        <v>18</v>
      </c>
    </row>
    <row r="158" spans="1:13" ht="14.25" customHeight="1" x14ac:dyDescent="0.3">
      <c r="A158" s="6" t="s">
        <v>33</v>
      </c>
      <c r="B158" s="7" t="s">
        <v>34</v>
      </c>
      <c r="C158" s="8">
        <v>45727</v>
      </c>
      <c r="D158" s="7" t="s">
        <v>24</v>
      </c>
      <c r="E158" s="7" t="s">
        <v>349</v>
      </c>
      <c r="F158" s="16">
        <v>20222</v>
      </c>
      <c r="G158" s="16">
        <v>712</v>
      </c>
      <c r="H158" s="20">
        <v>604</v>
      </c>
      <c r="I158" s="20">
        <v>1272</v>
      </c>
      <c r="J158" s="24">
        <v>71598</v>
      </c>
      <c r="K158" s="20">
        <v>216422</v>
      </c>
      <c r="L158" s="31">
        <f t="shared" si="2"/>
        <v>9.9518533235992648E-2</v>
      </c>
      <c r="M158" s="9" t="s">
        <v>22</v>
      </c>
    </row>
    <row r="159" spans="1:13" ht="14.25" customHeight="1" x14ac:dyDescent="0.3">
      <c r="A159" s="6" t="s">
        <v>129</v>
      </c>
      <c r="B159" s="7" t="s">
        <v>34</v>
      </c>
      <c r="C159" s="8">
        <v>45927</v>
      </c>
      <c r="D159" s="7" t="s">
        <v>21</v>
      </c>
      <c r="E159" s="7" t="s">
        <v>344</v>
      </c>
      <c r="F159" s="16">
        <v>18521</v>
      </c>
      <c r="G159" s="16">
        <v>1027</v>
      </c>
      <c r="H159" s="20">
        <v>230</v>
      </c>
      <c r="I159" s="20">
        <v>1247</v>
      </c>
      <c r="J159" s="24">
        <v>39588</v>
      </c>
      <c r="K159" s="20">
        <v>200928</v>
      </c>
      <c r="L159" s="31">
        <f t="shared" si="2"/>
        <v>9.8433269628921807E-2</v>
      </c>
      <c r="M159" s="9" t="s">
        <v>18</v>
      </c>
    </row>
    <row r="160" spans="1:13" ht="14.25" customHeight="1" x14ac:dyDescent="0.3">
      <c r="A160" s="6" t="s">
        <v>144</v>
      </c>
      <c r="B160" s="7" t="s">
        <v>34</v>
      </c>
      <c r="C160" s="8">
        <v>45600</v>
      </c>
      <c r="D160" s="7" t="s">
        <v>24</v>
      </c>
      <c r="E160" s="7" t="s">
        <v>28</v>
      </c>
      <c r="F160" s="16">
        <v>14234</v>
      </c>
      <c r="G160" s="16">
        <v>1013</v>
      </c>
      <c r="H160" s="20">
        <v>437</v>
      </c>
      <c r="I160" s="20">
        <v>338</v>
      </c>
      <c r="J160" s="24">
        <v>67754</v>
      </c>
      <c r="K160" s="20">
        <v>160030</v>
      </c>
      <c r="L160" s="31">
        <f t="shared" si="2"/>
        <v>9.8006623758045364E-2</v>
      </c>
      <c r="M160" s="9" t="s">
        <v>22</v>
      </c>
    </row>
    <row r="161" spans="1:13" ht="14.25" customHeight="1" x14ac:dyDescent="0.3">
      <c r="A161" s="6" t="s">
        <v>279</v>
      </c>
      <c r="B161" s="7" t="s">
        <v>17</v>
      </c>
      <c r="C161" s="8">
        <v>45916</v>
      </c>
      <c r="D161" s="7" t="s">
        <v>14</v>
      </c>
      <c r="E161" s="7" t="s">
        <v>55</v>
      </c>
      <c r="F161" s="16">
        <v>16043</v>
      </c>
      <c r="G161" s="16">
        <v>595</v>
      </c>
      <c r="H161" s="20">
        <v>923</v>
      </c>
      <c r="I161" s="20">
        <v>1194</v>
      </c>
      <c r="J161" s="24">
        <v>52613</v>
      </c>
      <c r="K161" s="20">
        <v>179978</v>
      </c>
      <c r="L161" s="31">
        <f t="shared" si="2"/>
        <v>9.757303670448611E-2</v>
      </c>
      <c r="M161" s="9" t="s">
        <v>18</v>
      </c>
    </row>
    <row r="162" spans="1:13" ht="14.25" customHeight="1" x14ac:dyDescent="0.3">
      <c r="A162" s="6" t="s">
        <v>140</v>
      </c>
      <c r="B162" s="7" t="s">
        <v>34</v>
      </c>
      <c r="C162" s="8">
        <v>45610</v>
      </c>
      <c r="D162" s="7" t="s">
        <v>14</v>
      </c>
      <c r="E162" s="7" t="s">
        <v>345</v>
      </c>
      <c r="F162" s="16">
        <v>6300</v>
      </c>
      <c r="G162" s="16">
        <v>1213</v>
      </c>
      <c r="H162" s="20">
        <v>720</v>
      </c>
      <c r="I162" s="20">
        <v>1037</v>
      </c>
      <c r="J162" s="24">
        <v>39569</v>
      </c>
      <c r="K162" s="20">
        <v>85272</v>
      </c>
      <c r="L162" s="31">
        <f t="shared" si="2"/>
        <v>9.6549863964724647E-2</v>
      </c>
      <c r="M162" s="9" t="s">
        <v>25</v>
      </c>
    </row>
    <row r="163" spans="1:13" ht="14.25" customHeight="1" x14ac:dyDescent="0.3">
      <c r="A163" s="6" t="s">
        <v>234</v>
      </c>
      <c r="B163" s="7" t="s">
        <v>17</v>
      </c>
      <c r="C163" s="8">
        <v>45467</v>
      </c>
      <c r="D163" s="7" t="s">
        <v>21</v>
      </c>
      <c r="E163" s="7" t="s">
        <v>344</v>
      </c>
      <c r="F163" s="16">
        <v>5596</v>
      </c>
      <c r="G163" s="16">
        <v>1231</v>
      </c>
      <c r="H163" s="20">
        <v>473</v>
      </c>
      <c r="I163" s="20">
        <v>2251</v>
      </c>
      <c r="J163" s="24">
        <v>43705</v>
      </c>
      <c r="K163" s="20">
        <v>75643</v>
      </c>
      <c r="L163" s="31">
        <f t="shared" si="2"/>
        <v>9.6505955607260427E-2</v>
      </c>
      <c r="M163" s="9" t="s">
        <v>15</v>
      </c>
    </row>
    <row r="164" spans="1:13" ht="14.25" customHeight="1" x14ac:dyDescent="0.3">
      <c r="A164" s="6" t="s">
        <v>289</v>
      </c>
      <c r="B164" s="7" t="s">
        <v>20</v>
      </c>
      <c r="C164" s="8">
        <v>45524</v>
      </c>
      <c r="D164" s="7" t="s">
        <v>21</v>
      </c>
      <c r="E164" s="7" t="s">
        <v>28</v>
      </c>
      <c r="F164" s="16">
        <v>2846</v>
      </c>
      <c r="G164" s="16">
        <v>792</v>
      </c>
      <c r="H164" s="20">
        <v>902</v>
      </c>
      <c r="I164" s="20">
        <v>2469</v>
      </c>
      <c r="J164" s="24">
        <v>12130</v>
      </c>
      <c r="K164" s="20">
        <v>47151</v>
      </c>
      <c r="L164" s="31">
        <f t="shared" si="2"/>
        <v>9.6286399015927546E-2</v>
      </c>
      <c r="M164" s="9" t="s">
        <v>15</v>
      </c>
    </row>
    <row r="165" spans="1:13" ht="14.25" customHeight="1" x14ac:dyDescent="0.3">
      <c r="A165" s="6" t="s">
        <v>61</v>
      </c>
      <c r="B165" s="7" t="s">
        <v>34</v>
      </c>
      <c r="C165" s="8">
        <v>45626</v>
      </c>
      <c r="D165" s="7" t="s">
        <v>24</v>
      </c>
      <c r="E165" s="7" t="s">
        <v>350</v>
      </c>
      <c r="F165" s="16">
        <v>14763</v>
      </c>
      <c r="G165" s="16">
        <v>864</v>
      </c>
      <c r="H165" s="20">
        <v>336</v>
      </c>
      <c r="I165" s="20">
        <v>1493</v>
      </c>
      <c r="J165" s="24">
        <v>33310</v>
      </c>
      <c r="K165" s="20">
        <v>165932</v>
      </c>
      <c r="L165" s="31">
        <f t="shared" si="2"/>
        <v>9.6202058674637797E-2</v>
      </c>
      <c r="M165" s="9" t="s">
        <v>25</v>
      </c>
    </row>
    <row r="166" spans="1:13" ht="14.25" customHeight="1" x14ac:dyDescent="0.3">
      <c r="A166" s="6" t="s">
        <v>51</v>
      </c>
      <c r="B166" s="7" t="s">
        <v>34</v>
      </c>
      <c r="C166" s="8">
        <v>45752</v>
      </c>
      <c r="D166" s="7" t="s">
        <v>24</v>
      </c>
      <c r="E166" s="7" t="s">
        <v>348</v>
      </c>
      <c r="F166" s="16">
        <v>22384</v>
      </c>
      <c r="G166" s="16">
        <v>601</v>
      </c>
      <c r="H166" s="20">
        <v>943</v>
      </c>
      <c r="I166" s="20">
        <v>515</v>
      </c>
      <c r="J166" s="24">
        <v>41309</v>
      </c>
      <c r="K166" s="20">
        <v>249373</v>
      </c>
      <c r="L166" s="31">
        <f t="shared" si="2"/>
        <v>9.5952649244304716E-2</v>
      </c>
      <c r="M166" s="9" t="s">
        <v>15</v>
      </c>
    </row>
    <row r="167" spans="1:13" ht="14.25" customHeight="1" x14ac:dyDescent="0.3">
      <c r="A167" s="6" t="s">
        <v>264</v>
      </c>
      <c r="B167" s="7" t="s">
        <v>34</v>
      </c>
      <c r="C167" s="8">
        <v>45489</v>
      </c>
      <c r="D167" s="7" t="s">
        <v>21</v>
      </c>
      <c r="E167" s="7" t="s">
        <v>349</v>
      </c>
      <c r="F167" s="16">
        <v>8767</v>
      </c>
      <c r="G167" s="16">
        <v>974</v>
      </c>
      <c r="H167" s="20">
        <v>733</v>
      </c>
      <c r="I167" s="20">
        <v>1587</v>
      </c>
      <c r="J167" s="24">
        <v>74927</v>
      </c>
      <c r="K167" s="20">
        <v>113770</v>
      </c>
      <c r="L167" s="31">
        <f t="shared" si="2"/>
        <v>9.2062933989628198E-2</v>
      </c>
      <c r="M167" s="9" t="s">
        <v>15</v>
      </c>
    </row>
    <row r="168" spans="1:13" ht="14.25" customHeight="1" x14ac:dyDescent="0.3">
      <c r="A168" s="6" t="s">
        <v>82</v>
      </c>
      <c r="B168" s="7" t="s">
        <v>17</v>
      </c>
      <c r="C168" s="8">
        <v>45644</v>
      </c>
      <c r="D168" s="7" t="s">
        <v>21</v>
      </c>
      <c r="E168" s="7" t="s">
        <v>349</v>
      </c>
      <c r="F168" s="16">
        <v>14775</v>
      </c>
      <c r="G168" s="16">
        <v>1220</v>
      </c>
      <c r="H168" s="20">
        <v>640</v>
      </c>
      <c r="I168" s="20">
        <v>1547</v>
      </c>
      <c r="J168" s="24">
        <v>28527</v>
      </c>
      <c r="K168" s="20">
        <v>183660</v>
      </c>
      <c r="L168" s="31">
        <f t="shared" si="2"/>
        <v>9.0574975498203203E-2</v>
      </c>
      <c r="M168" s="9" t="s">
        <v>38</v>
      </c>
    </row>
    <row r="169" spans="1:13" ht="14.25" customHeight="1" x14ac:dyDescent="0.3">
      <c r="A169" s="6" t="s">
        <v>292</v>
      </c>
      <c r="B169" s="7" t="s">
        <v>34</v>
      </c>
      <c r="C169" s="8">
        <v>45621</v>
      </c>
      <c r="D169" s="7" t="s">
        <v>24</v>
      </c>
      <c r="E169" s="7" t="s">
        <v>349</v>
      </c>
      <c r="F169" s="16">
        <v>17385</v>
      </c>
      <c r="G169" s="16">
        <v>831</v>
      </c>
      <c r="H169" s="20">
        <v>568</v>
      </c>
      <c r="I169" s="20">
        <v>2227</v>
      </c>
      <c r="J169" s="24">
        <v>49351</v>
      </c>
      <c r="K169" s="20">
        <v>207450</v>
      </c>
      <c r="L169" s="31">
        <f t="shared" si="2"/>
        <v>9.0547119787900698E-2</v>
      </c>
      <c r="M169" s="9" t="s">
        <v>22</v>
      </c>
    </row>
    <row r="170" spans="1:13" ht="14.25" customHeight="1" x14ac:dyDescent="0.3">
      <c r="A170" s="6" t="s">
        <v>205</v>
      </c>
      <c r="B170" s="7" t="s">
        <v>20</v>
      </c>
      <c r="C170" s="8">
        <v>45488</v>
      </c>
      <c r="D170" s="7" t="s">
        <v>14</v>
      </c>
      <c r="E170" s="7" t="s">
        <v>350</v>
      </c>
      <c r="F170" s="16">
        <v>17034</v>
      </c>
      <c r="G170" s="16">
        <v>231</v>
      </c>
      <c r="H170" s="20">
        <v>290</v>
      </c>
      <c r="I170" s="20">
        <v>1387</v>
      </c>
      <c r="J170" s="24">
        <v>63550</v>
      </c>
      <c r="K170" s="20">
        <v>198280</v>
      </c>
      <c r="L170" s="31">
        <f t="shared" si="2"/>
        <v>8.8536413153116805E-2</v>
      </c>
      <c r="M170" s="9" t="s">
        <v>38</v>
      </c>
    </row>
    <row r="171" spans="1:13" ht="14.25" customHeight="1" x14ac:dyDescent="0.3">
      <c r="A171" s="6" t="s">
        <v>16</v>
      </c>
      <c r="B171" s="7" t="s">
        <v>17</v>
      </c>
      <c r="C171" s="8">
        <v>45903</v>
      </c>
      <c r="D171" s="7" t="s">
        <v>14</v>
      </c>
      <c r="E171" s="7" t="s">
        <v>344</v>
      </c>
      <c r="F171" s="16">
        <v>4779</v>
      </c>
      <c r="G171" s="16">
        <v>1110</v>
      </c>
      <c r="H171" s="20">
        <v>436</v>
      </c>
      <c r="I171" s="20">
        <v>1574</v>
      </c>
      <c r="J171" s="24">
        <v>77167</v>
      </c>
      <c r="K171" s="20">
        <v>71585</v>
      </c>
      <c r="L171" s="31">
        <f t="shared" si="2"/>
        <v>8.8356499266606131E-2</v>
      </c>
      <c r="M171" s="9" t="s">
        <v>18</v>
      </c>
    </row>
    <row r="172" spans="1:13" ht="14.25" customHeight="1" x14ac:dyDescent="0.3">
      <c r="A172" s="6" t="s">
        <v>112</v>
      </c>
      <c r="B172" s="7" t="s">
        <v>13</v>
      </c>
      <c r="C172" s="8">
        <v>45684</v>
      </c>
      <c r="D172" s="7" t="s">
        <v>30</v>
      </c>
      <c r="E172" s="7" t="s">
        <v>349</v>
      </c>
      <c r="F172" s="16">
        <v>8949</v>
      </c>
      <c r="G172" s="16">
        <v>1477</v>
      </c>
      <c r="H172" s="20">
        <v>424</v>
      </c>
      <c r="I172" s="20">
        <v>1030</v>
      </c>
      <c r="J172" s="24">
        <v>58052</v>
      </c>
      <c r="K172" s="20">
        <v>123310</v>
      </c>
      <c r="L172" s="31">
        <f t="shared" si="2"/>
        <v>8.7989619657773091E-2</v>
      </c>
      <c r="M172" s="9" t="s">
        <v>15</v>
      </c>
    </row>
    <row r="173" spans="1:13" ht="14.25" customHeight="1" x14ac:dyDescent="0.3">
      <c r="A173" s="6" t="s">
        <v>83</v>
      </c>
      <c r="B173" s="7" t="s">
        <v>17</v>
      </c>
      <c r="C173" s="8">
        <v>45586</v>
      </c>
      <c r="D173" s="7" t="s">
        <v>24</v>
      </c>
      <c r="E173" s="7" t="s">
        <v>350</v>
      </c>
      <c r="F173" s="16">
        <v>12015</v>
      </c>
      <c r="G173" s="16">
        <v>1196</v>
      </c>
      <c r="H173" s="20">
        <v>998</v>
      </c>
      <c r="I173" s="20">
        <v>1848</v>
      </c>
      <c r="J173" s="24">
        <v>44739</v>
      </c>
      <c r="K173" s="20">
        <v>161750</v>
      </c>
      <c r="L173" s="31">
        <f t="shared" si="2"/>
        <v>8.7845440494590421E-2</v>
      </c>
      <c r="M173" s="9" t="s">
        <v>38</v>
      </c>
    </row>
    <row r="174" spans="1:13" ht="14.25" customHeight="1" x14ac:dyDescent="0.3">
      <c r="A174" s="6" t="s">
        <v>323</v>
      </c>
      <c r="B174" s="7" t="s">
        <v>34</v>
      </c>
      <c r="C174" s="8">
        <v>45650</v>
      </c>
      <c r="D174" s="7" t="s">
        <v>14</v>
      </c>
      <c r="E174" s="7" t="s">
        <v>55</v>
      </c>
      <c r="F174" s="16">
        <v>10512</v>
      </c>
      <c r="G174" s="16">
        <v>1197</v>
      </c>
      <c r="H174" s="20">
        <v>544</v>
      </c>
      <c r="I174" s="20">
        <v>2012</v>
      </c>
      <c r="J174" s="24">
        <v>10245</v>
      </c>
      <c r="K174" s="20">
        <v>140102</v>
      </c>
      <c r="L174" s="31">
        <f t="shared" si="2"/>
        <v>8.745770938316369E-2</v>
      </c>
      <c r="M174" s="9" t="s">
        <v>15</v>
      </c>
    </row>
    <row r="175" spans="1:13" ht="14.25" customHeight="1" x14ac:dyDescent="0.3">
      <c r="A175" s="6" t="s">
        <v>163</v>
      </c>
      <c r="B175" s="7" t="s">
        <v>20</v>
      </c>
      <c r="C175" s="8">
        <v>45504</v>
      </c>
      <c r="D175" s="7" t="s">
        <v>30</v>
      </c>
      <c r="E175" s="7" t="s">
        <v>346</v>
      </c>
      <c r="F175" s="16">
        <v>13314</v>
      </c>
      <c r="G175" s="16">
        <v>274</v>
      </c>
      <c r="H175" s="20">
        <v>626</v>
      </c>
      <c r="I175" s="20">
        <v>2280</v>
      </c>
      <c r="J175" s="24">
        <v>14639</v>
      </c>
      <c r="K175" s="20">
        <v>163008</v>
      </c>
      <c r="L175" s="31">
        <f t="shared" si="2"/>
        <v>8.7198174322732622E-2</v>
      </c>
      <c r="M175" s="9" t="s">
        <v>25</v>
      </c>
    </row>
    <row r="176" spans="1:13" ht="14.25" customHeight="1" x14ac:dyDescent="0.3">
      <c r="A176" s="6" t="s">
        <v>54</v>
      </c>
      <c r="B176" s="7" t="s">
        <v>17</v>
      </c>
      <c r="C176" s="8">
        <v>45910</v>
      </c>
      <c r="D176" s="7" t="s">
        <v>30</v>
      </c>
      <c r="E176" s="7" t="s">
        <v>55</v>
      </c>
      <c r="F176" s="16">
        <v>9266</v>
      </c>
      <c r="G176" s="16">
        <v>999</v>
      </c>
      <c r="H176" s="20">
        <v>928</v>
      </c>
      <c r="I176" s="20">
        <v>2700</v>
      </c>
      <c r="J176" s="24">
        <v>12264</v>
      </c>
      <c r="K176" s="20">
        <v>128397</v>
      </c>
      <c r="L176" s="31">
        <f t="shared" si="2"/>
        <v>8.7174933993784898E-2</v>
      </c>
      <c r="M176" s="9" t="s">
        <v>18</v>
      </c>
    </row>
    <row r="177" spans="1:13" ht="14.25" customHeight="1" x14ac:dyDescent="0.3">
      <c r="A177" s="6" t="s">
        <v>60</v>
      </c>
      <c r="B177" s="7" t="s">
        <v>34</v>
      </c>
      <c r="C177" s="8">
        <v>45912</v>
      </c>
      <c r="D177" s="7" t="s">
        <v>21</v>
      </c>
      <c r="E177" s="7" t="s">
        <v>345</v>
      </c>
      <c r="F177" s="16">
        <v>17158</v>
      </c>
      <c r="G177" s="16">
        <v>1192</v>
      </c>
      <c r="H177" s="20">
        <v>262</v>
      </c>
      <c r="I177" s="20">
        <v>2016</v>
      </c>
      <c r="J177" s="24">
        <v>28771</v>
      </c>
      <c r="K177" s="20">
        <v>216037</v>
      </c>
      <c r="L177" s="31">
        <f t="shared" si="2"/>
        <v>8.6151909163708074E-2</v>
      </c>
      <c r="M177" s="9" t="s">
        <v>18</v>
      </c>
    </row>
    <row r="178" spans="1:13" ht="14.25" customHeight="1" x14ac:dyDescent="0.3">
      <c r="A178" s="6" t="s">
        <v>90</v>
      </c>
      <c r="B178" s="7" t="s">
        <v>20</v>
      </c>
      <c r="C178" s="8">
        <v>45521</v>
      </c>
      <c r="D178" s="7" t="s">
        <v>24</v>
      </c>
      <c r="E178" s="7" t="s">
        <v>28</v>
      </c>
      <c r="F178" s="16">
        <v>19154</v>
      </c>
      <c r="G178" s="16">
        <v>1064</v>
      </c>
      <c r="H178" s="20">
        <v>650</v>
      </c>
      <c r="I178" s="20">
        <v>747</v>
      </c>
      <c r="J178" s="24">
        <v>42667</v>
      </c>
      <c r="K178" s="20">
        <v>242332</v>
      </c>
      <c r="L178" s="31">
        <f t="shared" si="2"/>
        <v>8.6113266097750191E-2</v>
      </c>
      <c r="M178" s="9" t="s">
        <v>22</v>
      </c>
    </row>
    <row r="179" spans="1:13" ht="14.25" customHeight="1" x14ac:dyDescent="0.3">
      <c r="A179" s="6" t="s">
        <v>81</v>
      </c>
      <c r="B179" s="7" t="s">
        <v>13</v>
      </c>
      <c r="C179" s="8">
        <v>45460</v>
      </c>
      <c r="D179" s="7" t="s">
        <v>30</v>
      </c>
      <c r="E179" s="7" t="s">
        <v>343</v>
      </c>
      <c r="F179" s="16">
        <v>6976</v>
      </c>
      <c r="G179" s="16">
        <v>1320</v>
      </c>
      <c r="H179" s="20">
        <v>393</v>
      </c>
      <c r="I179" s="20">
        <v>2285</v>
      </c>
      <c r="J179" s="24">
        <v>14049</v>
      </c>
      <c r="K179" s="20">
        <v>101367</v>
      </c>
      <c r="L179" s="31">
        <f t="shared" si="2"/>
        <v>8.5718231771681114E-2</v>
      </c>
      <c r="M179" s="9" t="s">
        <v>38</v>
      </c>
    </row>
    <row r="180" spans="1:13" ht="14.25" customHeight="1" x14ac:dyDescent="0.3">
      <c r="A180" s="6" t="s">
        <v>285</v>
      </c>
      <c r="B180" s="7" t="s">
        <v>17</v>
      </c>
      <c r="C180" s="8">
        <v>45698</v>
      </c>
      <c r="D180" s="7" t="s">
        <v>30</v>
      </c>
      <c r="E180" s="7" t="s">
        <v>344</v>
      </c>
      <c r="F180" s="16">
        <v>16309</v>
      </c>
      <c r="G180" s="16">
        <v>1449</v>
      </c>
      <c r="H180" s="20">
        <v>838</v>
      </c>
      <c r="I180" s="20">
        <v>2434</v>
      </c>
      <c r="J180" s="24">
        <v>2940</v>
      </c>
      <c r="K180" s="20">
        <v>217953</v>
      </c>
      <c r="L180" s="31">
        <f t="shared" si="2"/>
        <v>8.5321147219813445E-2</v>
      </c>
      <c r="M180" s="9" t="s">
        <v>25</v>
      </c>
    </row>
    <row r="181" spans="1:13" ht="14.25" customHeight="1" x14ac:dyDescent="0.3">
      <c r="A181" s="6" t="s">
        <v>50</v>
      </c>
      <c r="B181" s="7" t="s">
        <v>17</v>
      </c>
      <c r="C181" s="8">
        <v>45909</v>
      </c>
      <c r="D181" s="7" t="s">
        <v>24</v>
      </c>
      <c r="E181" s="7" t="s">
        <v>348</v>
      </c>
      <c r="F181" s="16">
        <v>15772</v>
      </c>
      <c r="G181" s="16">
        <v>288</v>
      </c>
      <c r="H181" s="20">
        <v>520</v>
      </c>
      <c r="I181" s="20">
        <v>1585</v>
      </c>
      <c r="J181" s="24">
        <v>59182</v>
      </c>
      <c r="K181" s="20">
        <v>194351</v>
      </c>
      <c r="L181" s="31">
        <f t="shared" si="2"/>
        <v>8.5309568769905988E-2</v>
      </c>
      <c r="M181" s="9" t="s">
        <v>18</v>
      </c>
    </row>
    <row r="182" spans="1:13" ht="14.25" customHeight="1" x14ac:dyDescent="0.3">
      <c r="A182" s="6" t="s">
        <v>239</v>
      </c>
      <c r="B182" s="7" t="s">
        <v>20</v>
      </c>
      <c r="C182" s="8">
        <v>45778</v>
      </c>
      <c r="D182" s="7" t="s">
        <v>21</v>
      </c>
      <c r="E182" s="7" t="s">
        <v>349</v>
      </c>
      <c r="F182" s="16">
        <v>10258</v>
      </c>
      <c r="G182" s="16">
        <v>527</v>
      </c>
      <c r="H182" s="20">
        <v>854</v>
      </c>
      <c r="I182" s="20">
        <v>2068</v>
      </c>
      <c r="J182" s="24">
        <v>45632</v>
      </c>
      <c r="K182" s="20">
        <v>136546</v>
      </c>
      <c r="L182" s="31">
        <f t="shared" si="2"/>
        <v>8.5238674146441498E-2</v>
      </c>
      <c r="M182" s="9" t="s">
        <v>38</v>
      </c>
    </row>
    <row r="183" spans="1:13" ht="14.25" customHeight="1" x14ac:dyDescent="0.3">
      <c r="A183" s="6" t="s">
        <v>281</v>
      </c>
      <c r="B183" s="7" t="s">
        <v>20</v>
      </c>
      <c r="C183" s="8">
        <v>45750</v>
      </c>
      <c r="D183" s="7" t="s">
        <v>14</v>
      </c>
      <c r="E183" s="7" t="s">
        <v>352</v>
      </c>
      <c r="F183" s="16">
        <v>10837</v>
      </c>
      <c r="G183" s="16">
        <v>1004</v>
      </c>
      <c r="H183" s="20">
        <v>922</v>
      </c>
      <c r="I183" s="20">
        <v>1108</v>
      </c>
      <c r="J183" s="24">
        <v>36807</v>
      </c>
      <c r="K183" s="20">
        <v>150350</v>
      </c>
      <c r="L183" s="31">
        <f t="shared" si="2"/>
        <v>8.4888593282341204E-2</v>
      </c>
      <c r="M183" s="9" t="s">
        <v>22</v>
      </c>
    </row>
    <row r="184" spans="1:13" ht="14.25" customHeight="1" x14ac:dyDescent="0.3">
      <c r="A184" s="6" t="s">
        <v>31</v>
      </c>
      <c r="B184" s="7" t="s">
        <v>20</v>
      </c>
      <c r="C184" s="8">
        <v>45486</v>
      </c>
      <c r="D184" s="7" t="s">
        <v>24</v>
      </c>
      <c r="E184" s="7" t="s">
        <v>348</v>
      </c>
      <c r="F184" s="16">
        <v>18639</v>
      </c>
      <c r="G184" s="16">
        <v>1360</v>
      </c>
      <c r="H184" s="20">
        <v>898</v>
      </c>
      <c r="I184" s="20">
        <v>2011</v>
      </c>
      <c r="J184" s="24">
        <v>42841</v>
      </c>
      <c r="K184" s="20">
        <v>247779</v>
      </c>
      <c r="L184" s="31">
        <f t="shared" si="2"/>
        <v>8.4337252148083575E-2</v>
      </c>
      <c r="M184" s="9" t="s">
        <v>25</v>
      </c>
    </row>
    <row r="185" spans="1:13" ht="14.25" customHeight="1" x14ac:dyDescent="0.3">
      <c r="A185" s="6" t="s">
        <v>241</v>
      </c>
      <c r="B185" s="7" t="s">
        <v>13</v>
      </c>
      <c r="C185" s="8">
        <v>45925</v>
      </c>
      <c r="D185" s="7" t="s">
        <v>24</v>
      </c>
      <c r="E185" s="7" t="s">
        <v>351</v>
      </c>
      <c r="F185" s="16">
        <v>8371</v>
      </c>
      <c r="G185" s="16">
        <v>960</v>
      </c>
      <c r="H185" s="20">
        <v>548</v>
      </c>
      <c r="I185" s="20">
        <v>2936</v>
      </c>
      <c r="J185" s="24">
        <v>82543</v>
      </c>
      <c r="K185" s="20">
        <v>119973</v>
      </c>
      <c r="L185" s="31">
        <f t="shared" si="2"/>
        <v>8.2343527293641069E-2</v>
      </c>
      <c r="M185" s="9" t="s">
        <v>18</v>
      </c>
    </row>
    <row r="186" spans="1:13" ht="14.25" customHeight="1" x14ac:dyDescent="0.3">
      <c r="A186" s="6" t="s">
        <v>143</v>
      </c>
      <c r="B186" s="7" t="s">
        <v>20</v>
      </c>
      <c r="C186" s="8">
        <v>45600</v>
      </c>
      <c r="D186" s="7" t="s">
        <v>14</v>
      </c>
      <c r="E186" s="7" t="s">
        <v>350</v>
      </c>
      <c r="F186" s="16">
        <v>14015</v>
      </c>
      <c r="G186" s="16">
        <v>978</v>
      </c>
      <c r="H186" s="20">
        <v>196</v>
      </c>
      <c r="I186" s="20">
        <v>2744</v>
      </c>
      <c r="J186" s="24">
        <v>20190</v>
      </c>
      <c r="K186" s="20">
        <v>186470</v>
      </c>
      <c r="L186" s="31">
        <f t="shared" si="2"/>
        <v>8.1455462004611998E-2</v>
      </c>
      <c r="M186" s="9" t="s">
        <v>22</v>
      </c>
    </row>
    <row r="187" spans="1:13" ht="14.25" customHeight="1" x14ac:dyDescent="0.3">
      <c r="A187" s="6" t="s">
        <v>202</v>
      </c>
      <c r="B187" s="7" t="s">
        <v>34</v>
      </c>
      <c r="C187" s="8">
        <v>45939</v>
      </c>
      <c r="D187" s="7" t="s">
        <v>30</v>
      </c>
      <c r="E187" s="7" t="s">
        <v>345</v>
      </c>
      <c r="F187" s="16">
        <v>18748</v>
      </c>
      <c r="G187" s="16">
        <v>634</v>
      </c>
      <c r="H187" s="20">
        <v>400</v>
      </c>
      <c r="I187" s="20">
        <v>1667</v>
      </c>
      <c r="J187" s="24">
        <v>75813</v>
      </c>
      <c r="K187" s="20">
        <v>244456</v>
      </c>
      <c r="L187" s="31">
        <f t="shared" si="2"/>
        <v>8.0922538207284747E-2</v>
      </c>
      <c r="M187" s="9" t="s">
        <v>18</v>
      </c>
    </row>
    <row r="188" spans="1:13" ht="14.25" customHeight="1" x14ac:dyDescent="0.3">
      <c r="A188" s="6" t="s">
        <v>201</v>
      </c>
      <c r="B188" s="7" t="s">
        <v>17</v>
      </c>
      <c r="C188" s="8">
        <v>45938</v>
      </c>
      <c r="D188" s="7" t="s">
        <v>21</v>
      </c>
      <c r="E188" s="7" t="s">
        <v>350</v>
      </c>
      <c r="F188" s="16">
        <v>17745</v>
      </c>
      <c r="G188" s="16">
        <v>414</v>
      </c>
      <c r="H188" s="20">
        <v>563</v>
      </c>
      <c r="I188" s="20">
        <v>2733</v>
      </c>
      <c r="J188" s="24">
        <v>995</v>
      </c>
      <c r="K188" s="20">
        <v>231648</v>
      </c>
      <c r="L188" s="31">
        <f t="shared" si="2"/>
        <v>8.0820900676889074E-2</v>
      </c>
      <c r="M188" s="9" t="s">
        <v>18</v>
      </c>
    </row>
    <row r="189" spans="1:13" ht="14.25" customHeight="1" x14ac:dyDescent="0.3">
      <c r="A189" s="6" t="s">
        <v>238</v>
      </c>
      <c r="B189" s="7" t="s">
        <v>13</v>
      </c>
      <c r="C189" s="8">
        <v>45719</v>
      </c>
      <c r="D189" s="7" t="s">
        <v>24</v>
      </c>
      <c r="E189" s="7" t="s">
        <v>343</v>
      </c>
      <c r="F189" s="16">
        <v>9561</v>
      </c>
      <c r="G189" s="16">
        <v>642</v>
      </c>
      <c r="H189" s="20">
        <v>581</v>
      </c>
      <c r="I189" s="20">
        <v>2572</v>
      </c>
      <c r="J189" s="24">
        <v>38552</v>
      </c>
      <c r="K189" s="20">
        <v>133680</v>
      </c>
      <c r="L189" s="31">
        <f t="shared" si="2"/>
        <v>8.0670257330939563E-2</v>
      </c>
      <c r="M189" s="9" t="s">
        <v>15</v>
      </c>
    </row>
    <row r="190" spans="1:13" ht="14.25" customHeight="1" x14ac:dyDescent="0.3">
      <c r="A190" s="6" t="s">
        <v>198</v>
      </c>
      <c r="B190" s="7" t="s">
        <v>20</v>
      </c>
      <c r="C190" s="8">
        <v>45518</v>
      </c>
      <c r="D190" s="7" t="s">
        <v>30</v>
      </c>
      <c r="E190" s="7" t="s">
        <v>352</v>
      </c>
      <c r="F190" s="16">
        <v>10150</v>
      </c>
      <c r="G190" s="16">
        <v>526</v>
      </c>
      <c r="H190" s="20">
        <v>888</v>
      </c>
      <c r="I190" s="20">
        <v>1313</v>
      </c>
      <c r="J190" s="24">
        <v>51605</v>
      </c>
      <c r="K190" s="20">
        <v>143409</v>
      </c>
      <c r="L190" s="31">
        <f t="shared" si="2"/>
        <v>8.0636501195880311E-2</v>
      </c>
      <c r="M190" s="9" t="s">
        <v>15</v>
      </c>
    </row>
    <row r="191" spans="1:13" ht="14.25" customHeight="1" x14ac:dyDescent="0.3">
      <c r="A191" s="6" t="s">
        <v>217</v>
      </c>
      <c r="B191" s="7" t="s">
        <v>13</v>
      </c>
      <c r="C191" s="8">
        <v>45944</v>
      </c>
      <c r="D191" s="7" t="s">
        <v>30</v>
      </c>
      <c r="E191" s="7" t="s">
        <v>351</v>
      </c>
      <c r="F191" s="16">
        <v>9673</v>
      </c>
      <c r="G191" s="16">
        <v>393</v>
      </c>
      <c r="H191" s="20">
        <v>846</v>
      </c>
      <c r="I191" s="20">
        <v>1028</v>
      </c>
      <c r="J191" s="24">
        <v>55556</v>
      </c>
      <c r="K191" s="20">
        <v>136652</v>
      </c>
      <c r="L191" s="31">
        <f t="shared" si="2"/>
        <v>7.9852471972601938E-2</v>
      </c>
      <c r="M191" s="9" t="s">
        <v>18</v>
      </c>
    </row>
    <row r="192" spans="1:13" ht="14.25" customHeight="1" x14ac:dyDescent="0.3">
      <c r="A192" s="6" t="s">
        <v>253</v>
      </c>
      <c r="B192" s="7" t="s">
        <v>20</v>
      </c>
      <c r="C192" s="8">
        <v>45455</v>
      </c>
      <c r="D192" s="7" t="s">
        <v>21</v>
      </c>
      <c r="E192" s="7" t="s">
        <v>344</v>
      </c>
      <c r="F192" s="16">
        <v>17679</v>
      </c>
      <c r="G192" s="16">
        <v>690</v>
      </c>
      <c r="H192" s="20">
        <v>451</v>
      </c>
      <c r="I192" s="20">
        <v>2195</v>
      </c>
      <c r="J192" s="24">
        <v>4390</v>
      </c>
      <c r="K192" s="20">
        <v>235804</v>
      </c>
      <c r="L192" s="31">
        <f t="shared" si="2"/>
        <v>7.9812047293514959E-2</v>
      </c>
      <c r="M192" s="9" t="s">
        <v>38</v>
      </c>
    </row>
    <row r="193" spans="1:13" ht="14.25" customHeight="1" x14ac:dyDescent="0.3">
      <c r="A193" s="6" t="s">
        <v>293</v>
      </c>
      <c r="B193" s="7" t="s">
        <v>17</v>
      </c>
      <c r="C193" s="8">
        <v>45569</v>
      </c>
      <c r="D193" s="7" t="s">
        <v>24</v>
      </c>
      <c r="E193" s="7" t="s">
        <v>350</v>
      </c>
      <c r="F193" s="16">
        <v>15746</v>
      </c>
      <c r="G193" s="16">
        <v>258</v>
      </c>
      <c r="H193" s="20">
        <v>839</v>
      </c>
      <c r="I193" s="20">
        <v>2656</v>
      </c>
      <c r="J193" s="24">
        <v>66614</v>
      </c>
      <c r="K193" s="20">
        <v>213724</v>
      </c>
      <c r="L193" s="31">
        <f t="shared" si="2"/>
        <v>7.8807246729426739E-2</v>
      </c>
      <c r="M193" s="9" t="s">
        <v>22</v>
      </c>
    </row>
    <row r="194" spans="1:13" ht="14.25" customHeight="1" x14ac:dyDescent="0.3">
      <c r="A194" s="6" t="s">
        <v>85</v>
      </c>
      <c r="B194" s="7" t="s">
        <v>13</v>
      </c>
      <c r="C194" s="8">
        <v>45465</v>
      </c>
      <c r="D194" s="7" t="s">
        <v>14</v>
      </c>
      <c r="E194" s="7" t="s">
        <v>348</v>
      </c>
      <c r="F194" s="16">
        <v>16430</v>
      </c>
      <c r="G194" s="16">
        <v>488</v>
      </c>
      <c r="H194" s="20">
        <v>514</v>
      </c>
      <c r="I194" s="20">
        <v>1436</v>
      </c>
      <c r="J194" s="24">
        <v>30059</v>
      </c>
      <c r="K194" s="20">
        <v>223305</v>
      </c>
      <c r="L194" s="31">
        <f t="shared" ref="L194:L257" si="3">(F194+G194+H194)/K194</f>
        <v>7.8063634938760881E-2</v>
      </c>
      <c r="M194" s="9" t="s">
        <v>25</v>
      </c>
    </row>
    <row r="195" spans="1:13" ht="14.25" customHeight="1" x14ac:dyDescent="0.3">
      <c r="A195" s="6" t="s">
        <v>150</v>
      </c>
      <c r="B195" s="7" t="s">
        <v>13</v>
      </c>
      <c r="C195" s="8">
        <v>45753</v>
      </c>
      <c r="D195" s="7" t="s">
        <v>21</v>
      </c>
      <c r="E195" s="7" t="s">
        <v>351</v>
      </c>
      <c r="F195" s="16">
        <v>8238</v>
      </c>
      <c r="G195" s="16">
        <v>766</v>
      </c>
      <c r="H195" s="20">
        <v>235</v>
      </c>
      <c r="I195" s="20">
        <v>1273</v>
      </c>
      <c r="J195" s="24">
        <v>4706</v>
      </c>
      <c r="K195" s="20">
        <v>119141</v>
      </c>
      <c r="L195" s="31">
        <f t="shared" si="3"/>
        <v>7.7546772311798629E-2</v>
      </c>
      <c r="M195" s="9" t="s">
        <v>25</v>
      </c>
    </row>
    <row r="196" spans="1:13" ht="14.25" customHeight="1" x14ac:dyDescent="0.3">
      <c r="A196" s="6" t="s">
        <v>127</v>
      </c>
      <c r="B196" s="7" t="s">
        <v>13</v>
      </c>
      <c r="C196" s="8">
        <v>45583</v>
      </c>
      <c r="D196" s="7" t="s">
        <v>30</v>
      </c>
      <c r="E196" s="7" t="s">
        <v>344</v>
      </c>
      <c r="F196" s="16">
        <v>6892</v>
      </c>
      <c r="G196" s="16">
        <v>1184</v>
      </c>
      <c r="H196" s="20">
        <v>925</v>
      </c>
      <c r="I196" s="20">
        <v>1062</v>
      </c>
      <c r="J196" s="24">
        <v>75008</v>
      </c>
      <c r="K196" s="20">
        <v>116260</v>
      </c>
      <c r="L196" s="31">
        <f t="shared" si="3"/>
        <v>7.7421297092723204E-2</v>
      </c>
      <c r="M196" s="9" t="s">
        <v>38</v>
      </c>
    </row>
    <row r="197" spans="1:13" ht="14.25" customHeight="1" x14ac:dyDescent="0.3">
      <c r="A197" s="6" t="s">
        <v>304</v>
      </c>
      <c r="B197" s="7" t="s">
        <v>34</v>
      </c>
      <c r="C197" s="8">
        <v>45622</v>
      </c>
      <c r="D197" s="7" t="s">
        <v>24</v>
      </c>
      <c r="E197" s="7" t="s">
        <v>347</v>
      </c>
      <c r="F197" s="16">
        <v>14607</v>
      </c>
      <c r="G197" s="16">
        <v>1458</v>
      </c>
      <c r="H197" s="20">
        <v>478</v>
      </c>
      <c r="I197" s="20">
        <v>334</v>
      </c>
      <c r="J197" s="24">
        <v>49257</v>
      </c>
      <c r="K197" s="20">
        <v>214668</v>
      </c>
      <c r="L197" s="31">
        <f t="shared" si="3"/>
        <v>7.7063185942944451E-2</v>
      </c>
      <c r="M197" s="9" t="s">
        <v>25</v>
      </c>
    </row>
    <row r="198" spans="1:13" ht="14.25" customHeight="1" x14ac:dyDescent="0.3">
      <c r="A198" s="6" t="s">
        <v>35</v>
      </c>
      <c r="B198" s="7" t="s">
        <v>13</v>
      </c>
      <c r="C198" s="8">
        <v>45690</v>
      </c>
      <c r="D198" s="7" t="s">
        <v>30</v>
      </c>
      <c r="E198" s="7" t="s">
        <v>346</v>
      </c>
      <c r="F198" s="16">
        <v>12136</v>
      </c>
      <c r="G198" s="16">
        <v>1117</v>
      </c>
      <c r="H198" s="20">
        <v>834</v>
      </c>
      <c r="I198" s="20">
        <v>892</v>
      </c>
      <c r="J198" s="24">
        <v>24675</v>
      </c>
      <c r="K198" s="20">
        <v>183273</v>
      </c>
      <c r="L198" s="31">
        <f t="shared" si="3"/>
        <v>7.6863476889667326E-2</v>
      </c>
      <c r="M198" s="9" t="s">
        <v>22</v>
      </c>
    </row>
    <row r="199" spans="1:13" ht="14.25" customHeight="1" x14ac:dyDescent="0.3">
      <c r="A199" s="6" t="s">
        <v>303</v>
      </c>
      <c r="B199" s="7" t="s">
        <v>20</v>
      </c>
      <c r="C199" s="8">
        <v>45753</v>
      </c>
      <c r="D199" s="7" t="s">
        <v>14</v>
      </c>
      <c r="E199" s="7" t="s">
        <v>55</v>
      </c>
      <c r="F199" s="16">
        <v>14941</v>
      </c>
      <c r="G199" s="16">
        <v>1424</v>
      </c>
      <c r="H199" s="20">
        <v>238</v>
      </c>
      <c r="I199" s="20">
        <v>1054</v>
      </c>
      <c r="J199" s="24">
        <v>20516</v>
      </c>
      <c r="K199" s="20">
        <v>216048</v>
      </c>
      <c r="L199" s="31">
        <f t="shared" si="3"/>
        <v>7.6848663260016298E-2</v>
      </c>
      <c r="M199" s="9" t="s">
        <v>38</v>
      </c>
    </row>
    <row r="200" spans="1:13" ht="14.25" customHeight="1" x14ac:dyDescent="0.3">
      <c r="A200" s="6" t="s">
        <v>142</v>
      </c>
      <c r="B200" s="7" t="s">
        <v>17</v>
      </c>
      <c r="C200" s="8">
        <v>45734</v>
      </c>
      <c r="D200" s="7" t="s">
        <v>14</v>
      </c>
      <c r="E200" s="7" t="s">
        <v>348</v>
      </c>
      <c r="F200" s="16">
        <v>5818</v>
      </c>
      <c r="G200" s="16">
        <v>1252</v>
      </c>
      <c r="H200" s="20">
        <v>687</v>
      </c>
      <c r="I200" s="20">
        <v>2300</v>
      </c>
      <c r="J200" s="24">
        <v>25081</v>
      </c>
      <c r="K200" s="20">
        <v>101212</v>
      </c>
      <c r="L200" s="31">
        <f t="shared" si="3"/>
        <v>7.6641109749832043E-2</v>
      </c>
      <c r="M200" s="9" t="s">
        <v>38</v>
      </c>
    </row>
    <row r="201" spans="1:13" ht="14.25" customHeight="1" x14ac:dyDescent="0.3">
      <c r="A201" s="6" t="s">
        <v>138</v>
      </c>
      <c r="B201" s="7" t="s">
        <v>13</v>
      </c>
      <c r="C201" s="8">
        <v>45570</v>
      </c>
      <c r="D201" s="7" t="s">
        <v>30</v>
      </c>
      <c r="E201" s="7" t="s">
        <v>344</v>
      </c>
      <c r="F201" s="16">
        <v>16388</v>
      </c>
      <c r="G201" s="16">
        <v>1208</v>
      </c>
      <c r="H201" s="20">
        <v>417</v>
      </c>
      <c r="I201" s="20">
        <v>2306</v>
      </c>
      <c r="J201" s="24">
        <v>16865</v>
      </c>
      <c r="K201" s="20">
        <v>236733</v>
      </c>
      <c r="L201" s="31">
        <f t="shared" si="3"/>
        <v>7.6089940988370866E-2</v>
      </c>
      <c r="M201" s="9" t="s">
        <v>15</v>
      </c>
    </row>
    <row r="202" spans="1:13" ht="14.25" customHeight="1" x14ac:dyDescent="0.3">
      <c r="A202" s="6" t="s">
        <v>237</v>
      </c>
      <c r="B202" s="7" t="s">
        <v>13</v>
      </c>
      <c r="C202" s="8">
        <v>45924</v>
      </c>
      <c r="D202" s="7" t="s">
        <v>14</v>
      </c>
      <c r="E202" s="7" t="s">
        <v>55</v>
      </c>
      <c r="F202" s="16">
        <v>11795</v>
      </c>
      <c r="G202" s="16">
        <v>958</v>
      </c>
      <c r="H202" s="20">
        <v>814</v>
      </c>
      <c r="I202" s="20">
        <v>301</v>
      </c>
      <c r="J202" s="24">
        <v>12564</v>
      </c>
      <c r="K202" s="20">
        <v>179999</v>
      </c>
      <c r="L202" s="31">
        <f t="shared" si="3"/>
        <v>7.5372640959116444E-2</v>
      </c>
      <c r="M202" s="9" t="s">
        <v>18</v>
      </c>
    </row>
    <row r="203" spans="1:13" ht="14.25" customHeight="1" x14ac:dyDescent="0.3">
      <c r="A203" s="6" t="s">
        <v>259</v>
      </c>
      <c r="B203" s="7" t="s">
        <v>17</v>
      </c>
      <c r="C203" s="8">
        <v>45724</v>
      </c>
      <c r="D203" s="7" t="s">
        <v>14</v>
      </c>
      <c r="E203" s="7" t="s">
        <v>343</v>
      </c>
      <c r="F203" s="16">
        <v>5812</v>
      </c>
      <c r="G203" s="16">
        <v>934</v>
      </c>
      <c r="H203" s="20">
        <v>302</v>
      </c>
      <c r="I203" s="20">
        <v>2356</v>
      </c>
      <c r="J203" s="24">
        <v>37437</v>
      </c>
      <c r="K203" s="20">
        <v>93551</v>
      </c>
      <c r="L203" s="31">
        <f t="shared" si="3"/>
        <v>7.5338585370546551E-2</v>
      </c>
      <c r="M203" s="9" t="s">
        <v>15</v>
      </c>
    </row>
    <row r="204" spans="1:13" ht="14.25" customHeight="1" x14ac:dyDescent="0.3">
      <c r="A204" s="6" t="s">
        <v>265</v>
      </c>
      <c r="B204" s="7" t="s">
        <v>13</v>
      </c>
      <c r="C204" s="8">
        <v>45910</v>
      </c>
      <c r="D204" s="7" t="s">
        <v>14</v>
      </c>
      <c r="E204" s="7" t="s">
        <v>344</v>
      </c>
      <c r="F204" s="16">
        <v>13613</v>
      </c>
      <c r="G204" s="16">
        <v>350</v>
      </c>
      <c r="H204" s="20">
        <v>809</v>
      </c>
      <c r="I204" s="20">
        <v>2013</v>
      </c>
      <c r="J204" s="24">
        <v>20471</v>
      </c>
      <c r="K204" s="20">
        <v>198038</v>
      </c>
      <c r="L204" s="31">
        <f t="shared" si="3"/>
        <v>7.4591745018632791E-2</v>
      </c>
      <c r="M204" s="9" t="s">
        <v>18</v>
      </c>
    </row>
    <row r="205" spans="1:13" ht="14.25" customHeight="1" x14ac:dyDescent="0.3">
      <c r="A205" s="6" t="s">
        <v>42</v>
      </c>
      <c r="B205" s="7" t="s">
        <v>17</v>
      </c>
      <c r="C205" s="8">
        <v>45782</v>
      </c>
      <c r="D205" s="7" t="s">
        <v>21</v>
      </c>
      <c r="E205" s="7" t="s">
        <v>350</v>
      </c>
      <c r="F205" s="16">
        <v>10415</v>
      </c>
      <c r="G205" s="16">
        <v>1388</v>
      </c>
      <c r="H205" s="20">
        <v>725</v>
      </c>
      <c r="I205" s="20">
        <v>2462</v>
      </c>
      <c r="J205" s="24">
        <v>53082</v>
      </c>
      <c r="K205" s="20">
        <v>168267</v>
      </c>
      <c r="L205" s="31">
        <f t="shared" si="3"/>
        <v>7.4453101321114656E-2</v>
      </c>
      <c r="M205" s="9" t="s">
        <v>38</v>
      </c>
    </row>
    <row r="206" spans="1:13" ht="14.25" customHeight="1" x14ac:dyDescent="0.3">
      <c r="A206" s="6" t="s">
        <v>278</v>
      </c>
      <c r="B206" s="7" t="s">
        <v>20</v>
      </c>
      <c r="C206" s="8">
        <v>45775</v>
      </c>
      <c r="D206" s="7" t="s">
        <v>30</v>
      </c>
      <c r="E206" s="7" t="s">
        <v>350</v>
      </c>
      <c r="F206" s="16">
        <v>10659</v>
      </c>
      <c r="G206" s="16">
        <v>1342</v>
      </c>
      <c r="H206" s="20">
        <v>408</v>
      </c>
      <c r="I206" s="20">
        <v>709</v>
      </c>
      <c r="J206" s="24">
        <v>16309</v>
      </c>
      <c r="K206" s="20">
        <v>168803</v>
      </c>
      <c r="L206" s="31">
        <f t="shared" si="3"/>
        <v>7.3511726687321907E-2</v>
      </c>
      <c r="M206" s="9" t="s">
        <v>22</v>
      </c>
    </row>
    <row r="207" spans="1:13" ht="14.25" customHeight="1" x14ac:dyDescent="0.3">
      <c r="A207" s="6" t="s">
        <v>235</v>
      </c>
      <c r="B207" s="7" t="s">
        <v>34</v>
      </c>
      <c r="C207" s="8">
        <v>45735</v>
      </c>
      <c r="D207" s="7" t="s">
        <v>30</v>
      </c>
      <c r="E207" s="7" t="s">
        <v>346</v>
      </c>
      <c r="F207" s="16">
        <v>13475</v>
      </c>
      <c r="G207" s="16">
        <v>1032</v>
      </c>
      <c r="H207" s="20">
        <v>295</v>
      </c>
      <c r="I207" s="20">
        <v>541</v>
      </c>
      <c r="J207" s="24">
        <v>43666</v>
      </c>
      <c r="K207" s="20">
        <v>202396</v>
      </c>
      <c r="L207" s="31">
        <f t="shared" si="3"/>
        <v>7.3133856400324118E-2</v>
      </c>
      <c r="M207" s="9" t="s">
        <v>38</v>
      </c>
    </row>
    <row r="208" spans="1:13" ht="14.25" customHeight="1" x14ac:dyDescent="0.3">
      <c r="A208" s="6" t="s">
        <v>43</v>
      </c>
      <c r="B208" s="7" t="s">
        <v>17</v>
      </c>
      <c r="C208" s="8">
        <v>45523</v>
      </c>
      <c r="D208" s="7" t="s">
        <v>14</v>
      </c>
      <c r="E208" s="7" t="s">
        <v>348</v>
      </c>
      <c r="F208" s="16">
        <v>15550</v>
      </c>
      <c r="G208" s="16">
        <v>204</v>
      </c>
      <c r="H208" s="20">
        <v>279</v>
      </c>
      <c r="I208" s="20">
        <v>1646</v>
      </c>
      <c r="J208" s="24">
        <v>35819</v>
      </c>
      <c r="K208" s="20">
        <v>219436</v>
      </c>
      <c r="L208" s="31">
        <f t="shared" si="3"/>
        <v>7.306458375107093E-2</v>
      </c>
      <c r="M208" s="9" t="s">
        <v>15</v>
      </c>
    </row>
    <row r="209" spans="1:13" ht="14.25" customHeight="1" x14ac:dyDescent="0.3">
      <c r="A209" s="6" t="s">
        <v>255</v>
      </c>
      <c r="B209" s="7" t="s">
        <v>20</v>
      </c>
      <c r="C209" s="8">
        <v>45476</v>
      </c>
      <c r="D209" s="7" t="s">
        <v>24</v>
      </c>
      <c r="E209" s="7" t="s">
        <v>344</v>
      </c>
      <c r="F209" s="16">
        <v>12167</v>
      </c>
      <c r="G209" s="16">
        <v>364</v>
      </c>
      <c r="H209" s="20">
        <v>160</v>
      </c>
      <c r="I209" s="20">
        <v>616</v>
      </c>
      <c r="J209" s="24">
        <v>42228</v>
      </c>
      <c r="K209" s="20">
        <v>175832</v>
      </c>
      <c r="L209" s="31">
        <f t="shared" si="3"/>
        <v>7.2176850630146963E-2</v>
      </c>
      <c r="M209" s="9" t="s">
        <v>22</v>
      </c>
    </row>
    <row r="210" spans="1:13" ht="14.25" customHeight="1" x14ac:dyDescent="0.3">
      <c r="A210" s="6" t="s">
        <v>115</v>
      </c>
      <c r="B210" s="7" t="s">
        <v>17</v>
      </c>
      <c r="C210" s="8">
        <v>45923</v>
      </c>
      <c r="D210" s="7" t="s">
        <v>14</v>
      </c>
      <c r="E210" s="7" t="s">
        <v>352</v>
      </c>
      <c r="F210" s="16">
        <v>10017</v>
      </c>
      <c r="G210" s="16">
        <v>1357</v>
      </c>
      <c r="H210" s="20">
        <v>966</v>
      </c>
      <c r="I210" s="20">
        <v>2871</v>
      </c>
      <c r="J210" s="24">
        <v>14800</v>
      </c>
      <c r="K210" s="20">
        <v>171691</v>
      </c>
      <c r="L210" s="31">
        <f t="shared" si="3"/>
        <v>7.1873307278774071E-2</v>
      </c>
      <c r="M210" s="9" t="s">
        <v>18</v>
      </c>
    </row>
    <row r="211" spans="1:13" ht="14.25" customHeight="1" x14ac:dyDescent="0.3">
      <c r="A211" s="6" t="s">
        <v>203</v>
      </c>
      <c r="B211" s="7" t="s">
        <v>13</v>
      </c>
      <c r="C211" s="8">
        <v>45483</v>
      </c>
      <c r="D211" s="7" t="s">
        <v>14</v>
      </c>
      <c r="E211" s="7" t="s">
        <v>351</v>
      </c>
      <c r="F211" s="16">
        <v>8809</v>
      </c>
      <c r="G211" s="16">
        <v>1151</v>
      </c>
      <c r="H211" s="20">
        <v>908</v>
      </c>
      <c r="I211" s="20">
        <v>883</v>
      </c>
      <c r="J211" s="24">
        <v>42921</v>
      </c>
      <c r="K211" s="20">
        <v>151279</v>
      </c>
      <c r="L211" s="31">
        <f t="shared" si="3"/>
        <v>7.1840771025720687E-2</v>
      </c>
      <c r="M211" s="9" t="s">
        <v>38</v>
      </c>
    </row>
    <row r="212" spans="1:13" ht="14.25" customHeight="1" x14ac:dyDescent="0.3">
      <c r="A212" s="6" t="s">
        <v>218</v>
      </c>
      <c r="B212" s="7" t="s">
        <v>13</v>
      </c>
      <c r="C212" s="8">
        <v>45945</v>
      </c>
      <c r="D212" s="7" t="s">
        <v>14</v>
      </c>
      <c r="E212" s="7" t="s">
        <v>348</v>
      </c>
      <c r="F212" s="16">
        <v>8882</v>
      </c>
      <c r="G212" s="16">
        <v>701</v>
      </c>
      <c r="H212" s="20">
        <v>421</v>
      </c>
      <c r="I212" s="20">
        <v>2343</v>
      </c>
      <c r="J212" s="24">
        <v>13588</v>
      </c>
      <c r="K212" s="20">
        <v>139304</v>
      </c>
      <c r="L212" s="31">
        <f t="shared" si="3"/>
        <v>7.1814161833113191E-2</v>
      </c>
      <c r="M212" s="9" t="s">
        <v>18</v>
      </c>
    </row>
    <row r="213" spans="1:13" ht="14.25" customHeight="1" x14ac:dyDescent="0.3">
      <c r="A213" s="6" t="s">
        <v>141</v>
      </c>
      <c r="B213" s="7" t="s">
        <v>13</v>
      </c>
      <c r="C213" s="8">
        <v>45930</v>
      </c>
      <c r="D213" s="7" t="s">
        <v>21</v>
      </c>
      <c r="E213" s="7" t="s">
        <v>343</v>
      </c>
      <c r="F213" s="16">
        <v>8269</v>
      </c>
      <c r="G213" s="16">
        <v>250</v>
      </c>
      <c r="H213" s="20">
        <v>638</v>
      </c>
      <c r="I213" s="20">
        <v>815</v>
      </c>
      <c r="J213" s="24">
        <v>41991</v>
      </c>
      <c r="K213" s="20">
        <v>129393</v>
      </c>
      <c r="L213" s="31">
        <f t="shared" si="3"/>
        <v>7.0768897853825175E-2</v>
      </c>
      <c r="M213" s="9" t="s">
        <v>18</v>
      </c>
    </row>
    <row r="214" spans="1:13" ht="14.25" customHeight="1" x14ac:dyDescent="0.3">
      <c r="A214" s="6" t="s">
        <v>283</v>
      </c>
      <c r="B214" s="7" t="s">
        <v>13</v>
      </c>
      <c r="C214" s="8">
        <v>45753</v>
      </c>
      <c r="D214" s="7" t="s">
        <v>30</v>
      </c>
      <c r="E214" s="7" t="s">
        <v>350</v>
      </c>
      <c r="F214" s="16">
        <v>15917</v>
      </c>
      <c r="G214" s="16">
        <v>1479</v>
      </c>
      <c r="H214" s="20">
        <v>196</v>
      </c>
      <c r="I214" s="20">
        <v>313</v>
      </c>
      <c r="J214" s="24">
        <v>48524</v>
      </c>
      <c r="K214" s="20">
        <v>249684</v>
      </c>
      <c r="L214" s="31">
        <f t="shared" si="3"/>
        <v>7.0457057720959296E-2</v>
      </c>
      <c r="M214" s="9" t="s">
        <v>25</v>
      </c>
    </row>
    <row r="215" spans="1:13" ht="14.25" customHeight="1" x14ac:dyDescent="0.3">
      <c r="A215" s="6" t="s">
        <v>317</v>
      </c>
      <c r="B215" s="7" t="s">
        <v>20</v>
      </c>
      <c r="C215" s="8">
        <v>45602</v>
      </c>
      <c r="D215" s="7" t="s">
        <v>14</v>
      </c>
      <c r="E215" s="7" t="s">
        <v>347</v>
      </c>
      <c r="F215" s="16">
        <v>11865</v>
      </c>
      <c r="G215" s="16">
        <v>241</v>
      </c>
      <c r="H215" s="20">
        <v>319</v>
      </c>
      <c r="I215" s="20">
        <v>703</v>
      </c>
      <c r="J215" s="24">
        <v>69596</v>
      </c>
      <c r="K215" s="20">
        <v>177513</v>
      </c>
      <c r="L215" s="31">
        <f t="shared" si="3"/>
        <v>6.999487361489018E-2</v>
      </c>
      <c r="M215" s="9" t="s">
        <v>25</v>
      </c>
    </row>
    <row r="216" spans="1:13" ht="14.25" customHeight="1" x14ac:dyDescent="0.3">
      <c r="A216" s="6" t="s">
        <v>325</v>
      </c>
      <c r="B216" s="7" t="s">
        <v>20</v>
      </c>
      <c r="C216" s="8">
        <v>45925</v>
      </c>
      <c r="D216" s="7" t="s">
        <v>30</v>
      </c>
      <c r="E216" s="7" t="s">
        <v>351</v>
      </c>
      <c r="F216" s="16">
        <v>12568</v>
      </c>
      <c r="G216" s="16">
        <v>541</v>
      </c>
      <c r="H216" s="20">
        <v>273</v>
      </c>
      <c r="I216" s="20">
        <v>2767</v>
      </c>
      <c r="J216" s="24">
        <v>22331</v>
      </c>
      <c r="K216" s="20">
        <v>192747</v>
      </c>
      <c r="L216" s="31">
        <f t="shared" si="3"/>
        <v>6.9427799135654514E-2</v>
      </c>
      <c r="M216" s="9" t="s">
        <v>18</v>
      </c>
    </row>
    <row r="217" spans="1:13" ht="14.25" customHeight="1" x14ac:dyDescent="0.3">
      <c r="A217" s="6" t="s">
        <v>71</v>
      </c>
      <c r="B217" s="7" t="s">
        <v>17</v>
      </c>
      <c r="C217" s="8">
        <v>45917</v>
      </c>
      <c r="D217" s="7" t="s">
        <v>21</v>
      </c>
      <c r="E217" s="7" t="s">
        <v>347</v>
      </c>
      <c r="F217" s="16">
        <v>15456</v>
      </c>
      <c r="G217" s="16">
        <v>590</v>
      </c>
      <c r="H217" s="20">
        <v>555</v>
      </c>
      <c r="I217" s="20">
        <v>2882</v>
      </c>
      <c r="J217" s="24">
        <v>49816</v>
      </c>
      <c r="K217" s="20">
        <v>240422</v>
      </c>
      <c r="L217" s="31">
        <f t="shared" si="3"/>
        <v>6.9049421433978589E-2</v>
      </c>
      <c r="M217" s="9" t="s">
        <v>18</v>
      </c>
    </row>
    <row r="218" spans="1:13" ht="14.25" customHeight="1" x14ac:dyDescent="0.3">
      <c r="A218" s="6" t="s">
        <v>63</v>
      </c>
      <c r="B218" s="7" t="s">
        <v>17</v>
      </c>
      <c r="C218" s="8">
        <v>45663</v>
      </c>
      <c r="D218" s="7" t="s">
        <v>14</v>
      </c>
      <c r="E218" s="7" t="s">
        <v>345</v>
      </c>
      <c r="F218" s="16">
        <v>11860</v>
      </c>
      <c r="G218" s="16">
        <v>1448</v>
      </c>
      <c r="H218" s="20">
        <v>893</v>
      </c>
      <c r="I218" s="20">
        <v>490</v>
      </c>
      <c r="J218" s="24">
        <v>23518</v>
      </c>
      <c r="K218" s="20">
        <v>206205</v>
      </c>
      <c r="L218" s="31">
        <f t="shared" si="3"/>
        <v>6.8868359157149436E-2</v>
      </c>
      <c r="M218" s="9" t="s">
        <v>15</v>
      </c>
    </row>
    <row r="219" spans="1:13" ht="14.25" customHeight="1" x14ac:dyDescent="0.3">
      <c r="A219" s="6" t="s">
        <v>188</v>
      </c>
      <c r="B219" s="7" t="s">
        <v>20</v>
      </c>
      <c r="C219" s="8">
        <v>45748</v>
      </c>
      <c r="D219" s="7" t="s">
        <v>14</v>
      </c>
      <c r="E219" s="7" t="s">
        <v>347</v>
      </c>
      <c r="F219" s="16">
        <v>6432</v>
      </c>
      <c r="G219" s="16">
        <v>1272</v>
      </c>
      <c r="H219" s="20">
        <v>498</v>
      </c>
      <c r="I219" s="20">
        <v>677</v>
      </c>
      <c r="J219" s="24">
        <v>47305</v>
      </c>
      <c r="K219" s="20">
        <v>119134</v>
      </c>
      <c r="L219" s="31">
        <f t="shared" si="3"/>
        <v>6.8846844729464299E-2</v>
      </c>
      <c r="M219" s="9" t="s">
        <v>15</v>
      </c>
    </row>
    <row r="220" spans="1:13" ht="14.25" customHeight="1" x14ac:dyDescent="0.3">
      <c r="A220" s="6" t="s">
        <v>305</v>
      </c>
      <c r="B220" s="7" t="s">
        <v>20</v>
      </c>
      <c r="C220" s="8">
        <v>45537</v>
      </c>
      <c r="D220" s="7" t="s">
        <v>24</v>
      </c>
      <c r="E220" s="7" t="s">
        <v>346</v>
      </c>
      <c r="F220" s="16">
        <v>11765</v>
      </c>
      <c r="G220" s="16">
        <v>693</v>
      </c>
      <c r="H220" s="20">
        <v>729</v>
      </c>
      <c r="I220" s="20">
        <v>744</v>
      </c>
      <c r="J220" s="24">
        <v>97772</v>
      </c>
      <c r="K220" s="20">
        <v>194243</v>
      </c>
      <c r="L220" s="31">
        <f t="shared" si="3"/>
        <v>6.7889190344053579E-2</v>
      </c>
      <c r="M220" s="9" t="s">
        <v>15</v>
      </c>
    </row>
    <row r="221" spans="1:13" ht="14.25" customHeight="1" x14ac:dyDescent="0.3">
      <c r="A221" s="6" t="s">
        <v>267</v>
      </c>
      <c r="B221" s="7" t="s">
        <v>34</v>
      </c>
      <c r="C221" s="8">
        <v>45675</v>
      </c>
      <c r="D221" s="7" t="s">
        <v>21</v>
      </c>
      <c r="E221" s="7" t="s">
        <v>351</v>
      </c>
      <c r="F221" s="16">
        <v>12589</v>
      </c>
      <c r="G221" s="16">
        <v>346</v>
      </c>
      <c r="H221" s="20">
        <v>459</v>
      </c>
      <c r="I221" s="20">
        <v>1407</v>
      </c>
      <c r="J221" s="24">
        <v>29254</v>
      </c>
      <c r="K221" s="20">
        <v>198059</v>
      </c>
      <c r="L221" s="31">
        <f t="shared" si="3"/>
        <v>6.7626313371268162E-2</v>
      </c>
      <c r="M221" s="9" t="s">
        <v>22</v>
      </c>
    </row>
    <row r="222" spans="1:13" ht="14.25" customHeight="1" x14ac:dyDescent="0.3">
      <c r="A222" s="6" t="s">
        <v>137</v>
      </c>
      <c r="B222" s="7" t="s">
        <v>17</v>
      </c>
      <c r="C222" s="8">
        <v>45619</v>
      </c>
      <c r="D222" s="7" t="s">
        <v>21</v>
      </c>
      <c r="E222" s="7" t="s">
        <v>28</v>
      </c>
      <c r="F222" s="16">
        <v>9941</v>
      </c>
      <c r="G222" s="16">
        <v>1329</v>
      </c>
      <c r="H222" s="20">
        <v>238</v>
      </c>
      <c r="I222" s="20">
        <v>869</v>
      </c>
      <c r="J222" s="24">
        <v>40281</v>
      </c>
      <c r="K222" s="20">
        <v>172311</v>
      </c>
      <c r="L222" s="31">
        <f t="shared" si="3"/>
        <v>6.6786217943137702E-2</v>
      </c>
      <c r="M222" s="9" t="s">
        <v>22</v>
      </c>
    </row>
    <row r="223" spans="1:13" ht="14.25" customHeight="1" x14ac:dyDescent="0.3">
      <c r="A223" s="6" t="s">
        <v>125</v>
      </c>
      <c r="B223" s="7" t="s">
        <v>34</v>
      </c>
      <c r="C223" s="8">
        <v>45475</v>
      </c>
      <c r="D223" s="7" t="s">
        <v>30</v>
      </c>
      <c r="E223" s="7" t="s">
        <v>347</v>
      </c>
      <c r="F223" s="16">
        <v>12320</v>
      </c>
      <c r="G223" s="16">
        <v>1157</v>
      </c>
      <c r="H223" s="20">
        <v>365</v>
      </c>
      <c r="I223" s="20">
        <v>584</v>
      </c>
      <c r="J223" s="24">
        <v>66634</v>
      </c>
      <c r="K223" s="20">
        <v>210102</v>
      </c>
      <c r="L223" s="31">
        <f t="shared" si="3"/>
        <v>6.5882285746922925E-2</v>
      </c>
      <c r="M223" s="9" t="s">
        <v>25</v>
      </c>
    </row>
    <row r="224" spans="1:13" ht="14.25" customHeight="1" x14ac:dyDescent="0.3">
      <c r="A224" s="6" t="s">
        <v>248</v>
      </c>
      <c r="B224" s="7" t="s">
        <v>13</v>
      </c>
      <c r="C224" s="8">
        <v>45573</v>
      </c>
      <c r="D224" s="7" t="s">
        <v>21</v>
      </c>
      <c r="E224" s="7" t="s">
        <v>55</v>
      </c>
      <c r="F224" s="16">
        <v>8738</v>
      </c>
      <c r="G224" s="16">
        <v>295</v>
      </c>
      <c r="H224" s="20">
        <v>529</v>
      </c>
      <c r="I224" s="20">
        <v>442</v>
      </c>
      <c r="J224" s="24">
        <v>25286</v>
      </c>
      <c r="K224" s="20">
        <v>147522</v>
      </c>
      <c r="L224" s="31">
        <f t="shared" si="3"/>
        <v>6.4817450956467515E-2</v>
      </c>
      <c r="M224" s="9" t="s">
        <v>25</v>
      </c>
    </row>
    <row r="225" spans="1:13" ht="14.25" customHeight="1" x14ac:dyDescent="0.3">
      <c r="A225" s="6" t="s">
        <v>80</v>
      </c>
      <c r="B225" s="7" t="s">
        <v>17</v>
      </c>
      <c r="C225" s="8">
        <v>45729</v>
      </c>
      <c r="D225" s="7" t="s">
        <v>30</v>
      </c>
      <c r="E225" s="7" t="s">
        <v>345</v>
      </c>
      <c r="F225" s="16">
        <v>6544</v>
      </c>
      <c r="G225" s="16">
        <v>749</v>
      </c>
      <c r="H225" s="20">
        <v>888</v>
      </c>
      <c r="I225" s="20">
        <v>594</v>
      </c>
      <c r="J225" s="24">
        <v>18171</v>
      </c>
      <c r="K225" s="20">
        <v>126475</v>
      </c>
      <c r="L225" s="31">
        <f t="shared" si="3"/>
        <v>6.4684720300454635E-2</v>
      </c>
      <c r="M225" s="9" t="s">
        <v>22</v>
      </c>
    </row>
    <row r="226" spans="1:13" ht="14.25" customHeight="1" x14ac:dyDescent="0.3">
      <c r="A226" s="6" t="s">
        <v>244</v>
      </c>
      <c r="B226" s="7" t="s">
        <v>20</v>
      </c>
      <c r="C226" s="8">
        <v>45454</v>
      </c>
      <c r="D226" s="7" t="s">
        <v>24</v>
      </c>
      <c r="E226" s="7" t="s">
        <v>55</v>
      </c>
      <c r="F226" s="16">
        <v>14910</v>
      </c>
      <c r="G226" s="16">
        <v>778</v>
      </c>
      <c r="H226" s="20">
        <v>289</v>
      </c>
      <c r="I226" s="20">
        <v>2541</v>
      </c>
      <c r="J226" s="24">
        <v>14309</v>
      </c>
      <c r="K226" s="20">
        <v>247815</v>
      </c>
      <c r="L226" s="31">
        <f t="shared" si="3"/>
        <v>6.4471480741682297E-2</v>
      </c>
      <c r="M226" s="9" t="s">
        <v>22</v>
      </c>
    </row>
    <row r="227" spans="1:13" ht="14.25" customHeight="1" x14ac:dyDescent="0.3">
      <c r="A227" s="6" t="s">
        <v>180</v>
      </c>
      <c r="B227" s="7" t="s">
        <v>13</v>
      </c>
      <c r="C227" s="8">
        <v>45574</v>
      </c>
      <c r="D227" s="7" t="s">
        <v>24</v>
      </c>
      <c r="E227" s="7" t="s">
        <v>349</v>
      </c>
      <c r="F227" s="16">
        <v>7240</v>
      </c>
      <c r="G227" s="16">
        <v>1384</v>
      </c>
      <c r="H227" s="20">
        <v>954</v>
      </c>
      <c r="I227" s="20">
        <v>2335</v>
      </c>
      <c r="J227" s="24">
        <v>6757</v>
      </c>
      <c r="K227" s="20">
        <v>150448</v>
      </c>
      <c r="L227" s="31">
        <f t="shared" si="3"/>
        <v>6.3663192598106988E-2</v>
      </c>
      <c r="M227" s="9" t="s">
        <v>22</v>
      </c>
    </row>
    <row r="228" spans="1:13" ht="14.25" customHeight="1" x14ac:dyDescent="0.3">
      <c r="A228" s="6" t="s">
        <v>236</v>
      </c>
      <c r="B228" s="7" t="s">
        <v>20</v>
      </c>
      <c r="C228" s="8">
        <v>45707</v>
      </c>
      <c r="D228" s="7" t="s">
        <v>24</v>
      </c>
      <c r="E228" s="7" t="s">
        <v>349</v>
      </c>
      <c r="F228" s="16">
        <v>8168</v>
      </c>
      <c r="G228" s="16">
        <v>512</v>
      </c>
      <c r="H228" s="20">
        <v>442</v>
      </c>
      <c r="I228" s="20">
        <v>2343</v>
      </c>
      <c r="J228" s="24">
        <v>2753</v>
      </c>
      <c r="K228" s="20">
        <v>143896</v>
      </c>
      <c r="L228" s="31">
        <f t="shared" si="3"/>
        <v>6.3393006059932172E-2</v>
      </c>
      <c r="M228" s="9" t="s">
        <v>38</v>
      </c>
    </row>
    <row r="229" spans="1:13" ht="14.25" customHeight="1" x14ac:dyDescent="0.3">
      <c r="A229" s="6" t="s">
        <v>175</v>
      </c>
      <c r="B229" s="7" t="s">
        <v>20</v>
      </c>
      <c r="C229" s="8">
        <v>45459</v>
      </c>
      <c r="D229" s="7" t="s">
        <v>21</v>
      </c>
      <c r="E229" s="7" t="s">
        <v>343</v>
      </c>
      <c r="F229" s="16">
        <v>12160</v>
      </c>
      <c r="G229" s="16">
        <v>1405</v>
      </c>
      <c r="H229" s="20">
        <v>769</v>
      </c>
      <c r="I229" s="20">
        <v>1980</v>
      </c>
      <c r="J229" s="24">
        <v>33174</v>
      </c>
      <c r="K229" s="20">
        <v>226481</v>
      </c>
      <c r="L229" s="31">
        <f t="shared" si="3"/>
        <v>6.329007731332871E-2</v>
      </c>
      <c r="M229" s="9" t="s">
        <v>15</v>
      </c>
    </row>
    <row r="230" spans="1:13" ht="14.25" customHeight="1" x14ac:dyDescent="0.3">
      <c r="A230" s="6" t="s">
        <v>321</v>
      </c>
      <c r="B230" s="7" t="s">
        <v>34</v>
      </c>
      <c r="C230" s="8">
        <v>45783</v>
      </c>
      <c r="D230" s="7" t="s">
        <v>30</v>
      </c>
      <c r="E230" s="7" t="s">
        <v>343</v>
      </c>
      <c r="F230" s="16">
        <v>7287</v>
      </c>
      <c r="G230" s="16">
        <v>1240</v>
      </c>
      <c r="H230" s="20">
        <v>686</v>
      </c>
      <c r="I230" s="20">
        <v>1255</v>
      </c>
      <c r="J230" s="24">
        <v>15403</v>
      </c>
      <c r="K230" s="20">
        <v>147971</v>
      </c>
      <c r="L230" s="31">
        <f t="shared" si="3"/>
        <v>6.2262200025680704E-2</v>
      </c>
      <c r="M230" s="9" t="s">
        <v>15</v>
      </c>
    </row>
    <row r="231" spans="1:13" ht="14.25" customHeight="1" x14ac:dyDescent="0.3">
      <c r="A231" s="6" t="s">
        <v>111</v>
      </c>
      <c r="B231" s="7" t="s">
        <v>13</v>
      </c>
      <c r="C231" s="8">
        <v>45766</v>
      </c>
      <c r="D231" s="7" t="s">
        <v>14</v>
      </c>
      <c r="E231" s="7" t="s">
        <v>347</v>
      </c>
      <c r="F231" s="16">
        <v>8881</v>
      </c>
      <c r="G231" s="16">
        <v>210</v>
      </c>
      <c r="H231" s="20">
        <v>673</v>
      </c>
      <c r="I231" s="20">
        <v>1565</v>
      </c>
      <c r="J231" s="24">
        <v>24847</v>
      </c>
      <c r="K231" s="20">
        <v>156891</v>
      </c>
      <c r="L231" s="31">
        <f t="shared" si="3"/>
        <v>6.223429004850501E-2</v>
      </c>
      <c r="M231" s="9" t="s">
        <v>22</v>
      </c>
    </row>
    <row r="232" spans="1:13" ht="14.25" customHeight="1" x14ac:dyDescent="0.3">
      <c r="A232" s="6" t="s">
        <v>182</v>
      </c>
      <c r="B232" s="7" t="s">
        <v>34</v>
      </c>
      <c r="C232" s="8">
        <v>45587</v>
      </c>
      <c r="D232" s="7" t="s">
        <v>21</v>
      </c>
      <c r="E232" s="7" t="s">
        <v>347</v>
      </c>
      <c r="F232" s="16">
        <v>12478</v>
      </c>
      <c r="G232" s="16">
        <v>484</v>
      </c>
      <c r="H232" s="20">
        <v>332</v>
      </c>
      <c r="I232" s="20">
        <v>2734</v>
      </c>
      <c r="J232" s="24">
        <v>43338</v>
      </c>
      <c r="K232" s="20">
        <v>213895</v>
      </c>
      <c r="L232" s="31">
        <f t="shared" si="3"/>
        <v>6.2151990462610156E-2</v>
      </c>
      <c r="M232" s="9" t="s">
        <v>25</v>
      </c>
    </row>
    <row r="233" spans="1:13" ht="14.25" customHeight="1" x14ac:dyDescent="0.3">
      <c r="A233" s="6" t="s">
        <v>296</v>
      </c>
      <c r="B233" s="7" t="s">
        <v>13</v>
      </c>
      <c r="C233" s="8">
        <v>45672</v>
      </c>
      <c r="D233" s="7" t="s">
        <v>21</v>
      </c>
      <c r="E233" s="7" t="s">
        <v>344</v>
      </c>
      <c r="F233" s="16">
        <v>11333</v>
      </c>
      <c r="G233" s="16">
        <v>920</v>
      </c>
      <c r="H233" s="20">
        <v>294</v>
      </c>
      <c r="I233" s="20">
        <v>606</v>
      </c>
      <c r="J233" s="24">
        <v>59490</v>
      </c>
      <c r="K233" s="20">
        <v>202082</v>
      </c>
      <c r="L233" s="31">
        <f t="shared" si="3"/>
        <v>6.2088657079799291E-2</v>
      </c>
      <c r="M233" s="9" t="s">
        <v>22</v>
      </c>
    </row>
    <row r="234" spans="1:13" ht="14.25" customHeight="1" x14ac:dyDescent="0.3">
      <c r="A234" s="6" t="s">
        <v>195</v>
      </c>
      <c r="B234" s="7" t="s">
        <v>13</v>
      </c>
      <c r="C234" s="8">
        <v>45629</v>
      </c>
      <c r="D234" s="7" t="s">
        <v>14</v>
      </c>
      <c r="E234" s="7" t="s">
        <v>347</v>
      </c>
      <c r="F234" s="16">
        <v>2055</v>
      </c>
      <c r="G234" s="16">
        <v>675</v>
      </c>
      <c r="H234" s="20">
        <v>257</v>
      </c>
      <c r="I234" s="20">
        <v>820</v>
      </c>
      <c r="J234" s="24">
        <v>33534</v>
      </c>
      <c r="K234" s="20">
        <v>48125</v>
      </c>
      <c r="L234" s="31">
        <f t="shared" si="3"/>
        <v>6.2067532467532466E-2</v>
      </c>
      <c r="M234" s="9" t="s">
        <v>15</v>
      </c>
    </row>
    <row r="235" spans="1:13" ht="14.25" customHeight="1" x14ac:dyDescent="0.3">
      <c r="A235" s="6" t="s">
        <v>107</v>
      </c>
      <c r="B235" s="7" t="s">
        <v>13</v>
      </c>
      <c r="C235" s="8">
        <v>45584</v>
      </c>
      <c r="D235" s="7" t="s">
        <v>30</v>
      </c>
      <c r="E235" s="7" t="s">
        <v>346</v>
      </c>
      <c r="F235" s="16">
        <v>6673</v>
      </c>
      <c r="G235" s="16">
        <v>826</v>
      </c>
      <c r="H235" s="20">
        <v>321</v>
      </c>
      <c r="I235" s="20">
        <v>577</v>
      </c>
      <c r="J235" s="24">
        <v>19262</v>
      </c>
      <c r="K235" s="20">
        <v>132324</v>
      </c>
      <c r="L235" s="31">
        <f t="shared" si="3"/>
        <v>5.9097367068710133E-2</v>
      </c>
      <c r="M235" s="9" t="s">
        <v>38</v>
      </c>
    </row>
    <row r="236" spans="1:13" ht="14.25" customHeight="1" x14ac:dyDescent="0.3">
      <c r="A236" s="6" t="s">
        <v>74</v>
      </c>
      <c r="B236" s="7" t="s">
        <v>13</v>
      </c>
      <c r="C236" s="8">
        <v>45727</v>
      </c>
      <c r="D236" s="7" t="s">
        <v>30</v>
      </c>
      <c r="E236" s="7" t="s">
        <v>343</v>
      </c>
      <c r="F236" s="16">
        <v>7997</v>
      </c>
      <c r="G236" s="16">
        <v>1238</v>
      </c>
      <c r="H236" s="20">
        <v>438</v>
      </c>
      <c r="I236" s="20">
        <v>1874</v>
      </c>
      <c r="J236" s="24">
        <v>36272</v>
      </c>
      <c r="K236" s="20">
        <v>165818</v>
      </c>
      <c r="L236" s="31">
        <f t="shared" si="3"/>
        <v>5.8335042034037318E-2</v>
      </c>
      <c r="M236" s="9" t="s">
        <v>38</v>
      </c>
    </row>
    <row r="237" spans="1:13" ht="14.25" customHeight="1" x14ac:dyDescent="0.3">
      <c r="A237" s="6" t="s">
        <v>40</v>
      </c>
      <c r="B237" s="7" t="s">
        <v>17</v>
      </c>
      <c r="C237" s="8">
        <v>45907</v>
      </c>
      <c r="D237" s="7" t="s">
        <v>21</v>
      </c>
      <c r="E237" s="7" t="s">
        <v>345</v>
      </c>
      <c r="F237" s="16">
        <v>3015</v>
      </c>
      <c r="G237" s="16">
        <v>997</v>
      </c>
      <c r="H237" s="20">
        <v>783</v>
      </c>
      <c r="I237" s="20">
        <v>617</v>
      </c>
      <c r="J237" s="24">
        <v>77167</v>
      </c>
      <c r="K237" s="20">
        <v>82229</v>
      </c>
      <c r="L237" s="31">
        <f t="shared" si="3"/>
        <v>5.8312760704860814E-2</v>
      </c>
      <c r="M237" s="9" t="s">
        <v>18</v>
      </c>
    </row>
    <row r="238" spans="1:13" ht="14.25" customHeight="1" x14ac:dyDescent="0.3">
      <c r="A238" s="6" t="s">
        <v>314</v>
      </c>
      <c r="B238" s="7" t="s">
        <v>20</v>
      </c>
      <c r="C238" s="8">
        <v>45764</v>
      </c>
      <c r="D238" s="7" t="s">
        <v>21</v>
      </c>
      <c r="E238" s="7" t="s">
        <v>348</v>
      </c>
      <c r="F238" s="16">
        <v>2009</v>
      </c>
      <c r="G238" s="16">
        <v>1037</v>
      </c>
      <c r="H238" s="20">
        <v>344</v>
      </c>
      <c r="I238" s="20">
        <v>2277</v>
      </c>
      <c r="J238" s="24">
        <v>85743</v>
      </c>
      <c r="K238" s="20">
        <v>58743</v>
      </c>
      <c r="L238" s="31">
        <f t="shared" si="3"/>
        <v>5.7709003625963942E-2</v>
      </c>
      <c r="M238" s="9" t="s">
        <v>25</v>
      </c>
    </row>
    <row r="239" spans="1:13" ht="14.25" customHeight="1" x14ac:dyDescent="0.3">
      <c r="A239" s="6" t="s">
        <v>58</v>
      </c>
      <c r="B239" s="7" t="s">
        <v>20</v>
      </c>
      <c r="C239" s="8">
        <v>45504</v>
      </c>
      <c r="D239" s="7" t="s">
        <v>14</v>
      </c>
      <c r="E239" s="7" t="s">
        <v>350</v>
      </c>
      <c r="F239" s="16">
        <v>2404</v>
      </c>
      <c r="G239" s="16">
        <v>774</v>
      </c>
      <c r="H239" s="20">
        <v>661</v>
      </c>
      <c r="I239" s="20">
        <v>662</v>
      </c>
      <c r="J239" s="24">
        <v>12676</v>
      </c>
      <c r="K239" s="20">
        <v>66916</v>
      </c>
      <c r="L239" s="31">
        <f t="shared" si="3"/>
        <v>5.7370434574690654E-2</v>
      </c>
      <c r="M239" s="9" t="s">
        <v>15</v>
      </c>
    </row>
    <row r="240" spans="1:13" ht="14.25" customHeight="1" x14ac:dyDescent="0.3">
      <c r="A240" s="6" t="s">
        <v>159</v>
      </c>
      <c r="B240" s="7" t="s">
        <v>20</v>
      </c>
      <c r="C240" s="8">
        <v>45694</v>
      </c>
      <c r="D240" s="7" t="s">
        <v>14</v>
      </c>
      <c r="E240" s="7" t="s">
        <v>343</v>
      </c>
      <c r="F240" s="16">
        <v>2666</v>
      </c>
      <c r="G240" s="16">
        <v>1136</v>
      </c>
      <c r="H240" s="20">
        <v>989</v>
      </c>
      <c r="I240" s="20">
        <v>1710</v>
      </c>
      <c r="J240" s="24">
        <v>36467</v>
      </c>
      <c r="K240" s="20">
        <v>83753</v>
      </c>
      <c r="L240" s="31">
        <f t="shared" si="3"/>
        <v>5.7203921053574198E-2</v>
      </c>
      <c r="M240" s="9" t="s">
        <v>22</v>
      </c>
    </row>
    <row r="241" spans="1:13" ht="14.25" customHeight="1" x14ac:dyDescent="0.3">
      <c r="A241" s="6" t="s">
        <v>53</v>
      </c>
      <c r="B241" s="7" t="s">
        <v>34</v>
      </c>
      <c r="C241" s="8">
        <v>45720</v>
      </c>
      <c r="D241" s="7" t="s">
        <v>21</v>
      </c>
      <c r="E241" s="7" t="s">
        <v>28</v>
      </c>
      <c r="F241" s="16">
        <v>12344</v>
      </c>
      <c r="G241" s="16">
        <v>815</v>
      </c>
      <c r="H241" s="20">
        <v>298</v>
      </c>
      <c r="I241" s="20">
        <v>2439</v>
      </c>
      <c r="J241" s="24">
        <v>6259</v>
      </c>
      <c r="K241" s="20">
        <v>237133</v>
      </c>
      <c r="L241" s="31">
        <f t="shared" si="3"/>
        <v>5.6748744375519224E-2</v>
      </c>
      <c r="M241" s="9" t="s">
        <v>25</v>
      </c>
    </row>
    <row r="242" spans="1:13" ht="14.25" customHeight="1" x14ac:dyDescent="0.3">
      <c r="A242" s="6" t="s">
        <v>122</v>
      </c>
      <c r="B242" s="7" t="s">
        <v>34</v>
      </c>
      <c r="C242" s="8">
        <v>45545</v>
      </c>
      <c r="D242" s="7" t="s">
        <v>30</v>
      </c>
      <c r="E242" s="7" t="s">
        <v>348</v>
      </c>
      <c r="F242" s="16">
        <v>6637</v>
      </c>
      <c r="G242" s="16">
        <v>595</v>
      </c>
      <c r="H242" s="20">
        <v>161</v>
      </c>
      <c r="I242" s="20">
        <v>2653</v>
      </c>
      <c r="J242" s="24">
        <v>19334</v>
      </c>
      <c r="K242" s="20">
        <v>131155</v>
      </c>
      <c r="L242" s="31">
        <f t="shared" si="3"/>
        <v>5.6368419046166747E-2</v>
      </c>
      <c r="M242" s="9" t="s">
        <v>22</v>
      </c>
    </row>
    <row r="243" spans="1:13" ht="14.25" customHeight="1" x14ac:dyDescent="0.3">
      <c r="A243" s="6" t="s">
        <v>113</v>
      </c>
      <c r="B243" s="7" t="s">
        <v>34</v>
      </c>
      <c r="C243" s="8">
        <v>45449</v>
      </c>
      <c r="D243" s="7" t="s">
        <v>21</v>
      </c>
      <c r="E243" s="7" t="s">
        <v>349</v>
      </c>
      <c r="F243" s="16">
        <v>11521</v>
      </c>
      <c r="G243" s="16">
        <v>1071</v>
      </c>
      <c r="H243" s="20">
        <v>762</v>
      </c>
      <c r="I243" s="20">
        <v>2539</v>
      </c>
      <c r="J243" s="24">
        <v>12701</v>
      </c>
      <c r="K243" s="20">
        <v>238350</v>
      </c>
      <c r="L243" s="31">
        <f t="shared" si="3"/>
        <v>5.6026851269142017E-2</v>
      </c>
      <c r="M243" s="9" t="s">
        <v>22</v>
      </c>
    </row>
    <row r="244" spans="1:13" ht="14.25" customHeight="1" x14ac:dyDescent="0.3">
      <c r="A244" s="6" t="s">
        <v>75</v>
      </c>
      <c r="B244" s="7" t="s">
        <v>34</v>
      </c>
      <c r="C244" s="8">
        <v>45918</v>
      </c>
      <c r="D244" s="7" t="s">
        <v>30</v>
      </c>
      <c r="E244" s="7" t="s">
        <v>350</v>
      </c>
      <c r="F244" s="16">
        <v>4048</v>
      </c>
      <c r="G244" s="16">
        <v>677</v>
      </c>
      <c r="H244" s="20">
        <v>911</v>
      </c>
      <c r="I244" s="20">
        <v>2429</v>
      </c>
      <c r="J244" s="24">
        <v>27361</v>
      </c>
      <c r="K244" s="20">
        <v>101272</v>
      </c>
      <c r="L244" s="31">
        <f t="shared" si="3"/>
        <v>5.5652105221581483E-2</v>
      </c>
      <c r="M244" s="9" t="s">
        <v>18</v>
      </c>
    </row>
    <row r="245" spans="1:13" ht="14.25" customHeight="1" x14ac:dyDescent="0.3">
      <c r="A245" s="6" t="s">
        <v>45</v>
      </c>
      <c r="B245" s="7" t="s">
        <v>13</v>
      </c>
      <c r="C245" s="8">
        <v>45544</v>
      </c>
      <c r="D245" s="7" t="s">
        <v>24</v>
      </c>
      <c r="E245" s="7" t="s">
        <v>345</v>
      </c>
      <c r="F245" s="16">
        <v>6158</v>
      </c>
      <c r="G245" s="16">
        <v>277</v>
      </c>
      <c r="H245" s="20">
        <v>512</v>
      </c>
      <c r="I245" s="20">
        <v>2189</v>
      </c>
      <c r="J245" s="24">
        <v>76881</v>
      </c>
      <c r="K245" s="20">
        <v>124878</v>
      </c>
      <c r="L245" s="31">
        <f t="shared" si="3"/>
        <v>5.563029516808405E-2</v>
      </c>
      <c r="M245" s="9" t="s">
        <v>25</v>
      </c>
    </row>
    <row r="246" spans="1:13" ht="14.25" customHeight="1" x14ac:dyDescent="0.3">
      <c r="A246" s="6" t="s">
        <v>128</v>
      </c>
      <c r="B246" s="7" t="s">
        <v>34</v>
      </c>
      <c r="C246" s="8">
        <v>45926</v>
      </c>
      <c r="D246" s="7" t="s">
        <v>30</v>
      </c>
      <c r="E246" s="7" t="s">
        <v>28</v>
      </c>
      <c r="F246" s="16">
        <v>9043</v>
      </c>
      <c r="G246" s="16">
        <v>1192</v>
      </c>
      <c r="H246" s="20">
        <v>810</v>
      </c>
      <c r="I246" s="20">
        <v>1550</v>
      </c>
      <c r="J246" s="24">
        <v>5221</v>
      </c>
      <c r="K246" s="20">
        <v>199476</v>
      </c>
      <c r="L246" s="31">
        <f t="shared" si="3"/>
        <v>5.5370069582305642E-2</v>
      </c>
      <c r="M246" s="9" t="s">
        <v>18</v>
      </c>
    </row>
    <row r="247" spans="1:13" ht="14.25" customHeight="1" x14ac:dyDescent="0.3">
      <c r="A247" s="6" t="s">
        <v>95</v>
      </c>
      <c r="B247" s="7" t="s">
        <v>17</v>
      </c>
      <c r="C247" s="8">
        <v>45724</v>
      </c>
      <c r="D247" s="7" t="s">
        <v>21</v>
      </c>
      <c r="E247" s="7" t="s">
        <v>348</v>
      </c>
      <c r="F247" s="16">
        <v>10580</v>
      </c>
      <c r="G247" s="16">
        <v>427</v>
      </c>
      <c r="H247" s="20">
        <v>790</v>
      </c>
      <c r="I247" s="20">
        <v>2814</v>
      </c>
      <c r="J247" s="24">
        <v>24916</v>
      </c>
      <c r="K247" s="20">
        <v>213312</v>
      </c>
      <c r="L247" s="31">
        <f t="shared" si="3"/>
        <v>5.530396789678968E-2</v>
      </c>
      <c r="M247" s="9" t="s">
        <v>38</v>
      </c>
    </row>
    <row r="248" spans="1:13" ht="14.25" customHeight="1" x14ac:dyDescent="0.3">
      <c r="A248" s="6" t="s">
        <v>146</v>
      </c>
      <c r="B248" s="7" t="s">
        <v>20</v>
      </c>
      <c r="C248" s="8">
        <v>45586</v>
      </c>
      <c r="D248" s="7" t="s">
        <v>24</v>
      </c>
      <c r="E248" s="7" t="s">
        <v>346</v>
      </c>
      <c r="F248" s="16">
        <v>8254</v>
      </c>
      <c r="G248" s="16">
        <v>1405</v>
      </c>
      <c r="H248" s="20">
        <v>165</v>
      </c>
      <c r="I248" s="20">
        <v>2504</v>
      </c>
      <c r="J248" s="24">
        <v>8081</v>
      </c>
      <c r="K248" s="20">
        <v>177710</v>
      </c>
      <c r="L248" s="31">
        <f t="shared" si="3"/>
        <v>5.5281075910190762E-2</v>
      </c>
      <c r="M248" s="9" t="s">
        <v>15</v>
      </c>
    </row>
    <row r="249" spans="1:13" ht="14.25" customHeight="1" x14ac:dyDescent="0.3">
      <c r="A249" s="6" t="s">
        <v>319</v>
      </c>
      <c r="B249" s="7" t="s">
        <v>20</v>
      </c>
      <c r="C249" s="8">
        <v>45791</v>
      </c>
      <c r="D249" s="7" t="s">
        <v>14</v>
      </c>
      <c r="E249" s="7" t="s">
        <v>350</v>
      </c>
      <c r="F249" s="16">
        <v>9041</v>
      </c>
      <c r="G249" s="16">
        <v>1133</v>
      </c>
      <c r="H249" s="20">
        <v>612</v>
      </c>
      <c r="I249" s="20">
        <v>1687</v>
      </c>
      <c r="J249" s="24">
        <v>28102</v>
      </c>
      <c r="K249" s="20">
        <v>195683</v>
      </c>
      <c r="L249" s="31">
        <f t="shared" si="3"/>
        <v>5.5119760020032396E-2</v>
      </c>
      <c r="M249" s="9" t="s">
        <v>25</v>
      </c>
    </row>
    <row r="250" spans="1:13" ht="14.25" customHeight="1" x14ac:dyDescent="0.3">
      <c r="A250" s="6" t="s">
        <v>139</v>
      </c>
      <c r="B250" s="7" t="s">
        <v>17</v>
      </c>
      <c r="C250" s="8">
        <v>45929</v>
      </c>
      <c r="D250" s="7" t="s">
        <v>24</v>
      </c>
      <c r="E250" s="7" t="s">
        <v>351</v>
      </c>
      <c r="F250" s="16">
        <v>7569</v>
      </c>
      <c r="G250" s="16">
        <v>803</v>
      </c>
      <c r="H250" s="20">
        <v>804</v>
      </c>
      <c r="I250" s="20">
        <v>1753</v>
      </c>
      <c r="J250" s="24">
        <v>43582</v>
      </c>
      <c r="K250" s="20">
        <v>166945</v>
      </c>
      <c r="L250" s="31">
        <f t="shared" si="3"/>
        <v>5.4964209769684629E-2</v>
      </c>
      <c r="M250" s="9" t="s">
        <v>18</v>
      </c>
    </row>
    <row r="251" spans="1:13" ht="14.25" customHeight="1" x14ac:dyDescent="0.3">
      <c r="A251" s="6" t="s">
        <v>223</v>
      </c>
      <c r="B251" s="7" t="s">
        <v>34</v>
      </c>
      <c r="C251" s="8">
        <v>45587</v>
      </c>
      <c r="D251" s="7" t="s">
        <v>21</v>
      </c>
      <c r="E251" s="7" t="s">
        <v>345</v>
      </c>
      <c r="F251" s="16">
        <v>7750</v>
      </c>
      <c r="G251" s="16">
        <v>1146</v>
      </c>
      <c r="H251" s="20">
        <v>415</v>
      </c>
      <c r="I251" s="20">
        <v>1411</v>
      </c>
      <c r="J251" s="24">
        <v>85339</v>
      </c>
      <c r="K251" s="20">
        <v>172439</v>
      </c>
      <c r="L251" s="31">
        <f t="shared" si="3"/>
        <v>5.3995905798572247E-2</v>
      </c>
      <c r="M251" s="9" t="s">
        <v>22</v>
      </c>
    </row>
    <row r="252" spans="1:13" ht="14.25" customHeight="1" x14ac:dyDescent="0.3">
      <c r="A252" s="6" t="s">
        <v>120</v>
      </c>
      <c r="B252" s="7" t="s">
        <v>34</v>
      </c>
      <c r="C252" s="8">
        <v>45603</v>
      </c>
      <c r="D252" s="7" t="s">
        <v>30</v>
      </c>
      <c r="E252" s="7" t="s">
        <v>349</v>
      </c>
      <c r="F252" s="16">
        <v>11550</v>
      </c>
      <c r="G252" s="16">
        <v>501</v>
      </c>
      <c r="H252" s="20">
        <v>646</v>
      </c>
      <c r="I252" s="20">
        <v>773</v>
      </c>
      <c r="J252" s="24">
        <v>17841</v>
      </c>
      <c r="K252" s="20">
        <v>237576</v>
      </c>
      <c r="L252" s="31">
        <f t="shared" si="3"/>
        <v>5.3443950567397383E-2</v>
      </c>
      <c r="M252" s="9" t="s">
        <v>25</v>
      </c>
    </row>
    <row r="253" spans="1:13" ht="14.25" customHeight="1" x14ac:dyDescent="0.3">
      <c r="A253" s="6" t="s">
        <v>56</v>
      </c>
      <c r="B253" s="7" t="s">
        <v>17</v>
      </c>
      <c r="C253" s="8">
        <v>45713</v>
      </c>
      <c r="D253" s="7" t="s">
        <v>30</v>
      </c>
      <c r="E253" s="7" t="s">
        <v>351</v>
      </c>
      <c r="F253" s="16">
        <v>10702</v>
      </c>
      <c r="G253" s="16">
        <v>621</v>
      </c>
      <c r="H253" s="20">
        <v>445</v>
      </c>
      <c r="I253" s="20">
        <v>2918</v>
      </c>
      <c r="J253" s="24">
        <v>54808</v>
      </c>
      <c r="K253" s="20">
        <v>220225</v>
      </c>
      <c r="L253" s="31">
        <f t="shared" si="3"/>
        <v>5.3436258372119426E-2</v>
      </c>
      <c r="M253" s="9" t="s">
        <v>15</v>
      </c>
    </row>
    <row r="254" spans="1:13" ht="14.25" customHeight="1" x14ac:dyDescent="0.3">
      <c r="A254" s="6" t="s">
        <v>36</v>
      </c>
      <c r="B254" s="7" t="s">
        <v>13</v>
      </c>
      <c r="C254" s="8">
        <v>45494</v>
      </c>
      <c r="D254" s="7" t="s">
        <v>21</v>
      </c>
      <c r="E254" s="7" t="s">
        <v>344</v>
      </c>
      <c r="F254" s="16">
        <v>2009</v>
      </c>
      <c r="G254" s="16">
        <v>1072</v>
      </c>
      <c r="H254" s="20">
        <v>550</v>
      </c>
      <c r="I254" s="20">
        <v>1437</v>
      </c>
      <c r="J254" s="24">
        <v>22982</v>
      </c>
      <c r="K254" s="20">
        <v>69426</v>
      </c>
      <c r="L254" s="31">
        <f t="shared" si="3"/>
        <v>5.2300290957278256E-2</v>
      </c>
      <c r="M254" s="9" t="s">
        <v>25</v>
      </c>
    </row>
    <row r="255" spans="1:13" ht="14.25" customHeight="1" x14ac:dyDescent="0.3">
      <c r="A255" s="6" t="s">
        <v>295</v>
      </c>
      <c r="B255" s="7" t="s">
        <v>13</v>
      </c>
      <c r="C255" s="8">
        <v>45601</v>
      </c>
      <c r="D255" s="7" t="s">
        <v>21</v>
      </c>
      <c r="E255" s="7" t="s">
        <v>55</v>
      </c>
      <c r="F255" s="16">
        <v>8469</v>
      </c>
      <c r="G255" s="16">
        <v>935</v>
      </c>
      <c r="H255" s="20">
        <v>211</v>
      </c>
      <c r="I255" s="20">
        <v>2635</v>
      </c>
      <c r="J255" s="24">
        <v>21890</v>
      </c>
      <c r="K255" s="20">
        <v>184539</v>
      </c>
      <c r="L255" s="31">
        <f t="shared" si="3"/>
        <v>5.2102807536618279E-2</v>
      </c>
      <c r="M255" s="9" t="s">
        <v>38</v>
      </c>
    </row>
    <row r="256" spans="1:13" ht="14.25" customHeight="1" x14ac:dyDescent="0.3">
      <c r="A256" s="6" t="s">
        <v>32</v>
      </c>
      <c r="B256" s="7" t="s">
        <v>13</v>
      </c>
      <c r="C256" s="8">
        <v>45534</v>
      </c>
      <c r="D256" s="7" t="s">
        <v>30</v>
      </c>
      <c r="E256" s="7" t="s">
        <v>344</v>
      </c>
      <c r="F256" s="16">
        <v>6804</v>
      </c>
      <c r="G256" s="16">
        <v>787</v>
      </c>
      <c r="H256" s="20">
        <v>970</v>
      </c>
      <c r="I256" s="20">
        <v>1095</v>
      </c>
      <c r="J256" s="24">
        <v>56343</v>
      </c>
      <c r="K256" s="20">
        <v>164677</v>
      </c>
      <c r="L256" s="31">
        <f t="shared" si="3"/>
        <v>5.1986616224487935E-2</v>
      </c>
      <c r="M256" s="9" t="s">
        <v>15</v>
      </c>
    </row>
    <row r="257" spans="1:13" ht="14.25" customHeight="1" x14ac:dyDescent="0.3">
      <c r="A257" s="6" t="s">
        <v>57</v>
      </c>
      <c r="B257" s="7" t="s">
        <v>20</v>
      </c>
      <c r="C257" s="8">
        <v>45642</v>
      </c>
      <c r="D257" s="7" t="s">
        <v>14</v>
      </c>
      <c r="E257" s="7" t="s">
        <v>346</v>
      </c>
      <c r="F257" s="16">
        <v>2384</v>
      </c>
      <c r="G257" s="16">
        <v>1246</v>
      </c>
      <c r="H257" s="20">
        <v>160</v>
      </c>
      <c r="I257" s="20">
        <v>2004</v>
      </c>
      <c r="J257" s="24">
        <v>2701</v>
      </c>
      <c r="K257" s="20">
        <v>73142</v>
      </c>
      <c r="L257" s="31">
        <f t="shared" si="3"/>
        <v>5.1817013480626728E-2</v>
      </c>
      <c r="M257" s="9" t="s">
        <v>15</v>
      </c>
    </row>
    <row r="258" spans="1:13" ht="14.25" customHeight="1" x14ac:dyDescent="0.3">
      <c r="A258" s="6" t="s">
        <v>47</v>
      </c>
      <c r="B258" s="7" t="s">
        <v>20</v>
      </c>
      <c r="C258" s="8">
        <v>45715</v>
      </c>
      <c r="D258" s="7" t="s">
        <v>14</v>
      </c>
      <c r="E258" s="7" t="s">
        <v>347</v>
      </c>
      <c r="F258" s="16">
        <v>8970</v>
      </c>
      <c r="G258" s="16">
        <v>331</v>
      </c>
      <c r="H258" s="20">
        <v>968</v>
      </c>
      <c r="I258" s="20">
        <v>2296</v>
      </c>
      <c r="J258" s="24">
        <v>24613</v>
      </c>
      <c r="K258" s="20">
        <v>198562</v>
      </c>
      <c r="L258" s="31">
        <f t="shared" ref="L258:L301" si="4">(F258+G258+H258)/K258</f>
        <v>5.1716844109144754E-2</v>
      </c>
      <c r="M258" s="9" t="s">
        <v>25</v>
      </c>
    </row>
    <row r="259" spans="1:13" ht="14.25" customHeight="1" x14ac:dyDescent="0.3">
      <c r="A259" s="6" t="s">
        <v>226</v>
      </c>
      <c r="B259" s="7" t="s">
        <v>13</v>
      </c>
      <c r="C259" s="8">
        <v>45754</v>
      </c>
      <c r="D259" s="7" t="s">
        <v>30</v>
      </c>
      <c r="E259" s="7" t="s">
        <v>351</v>
      </c>
      <c r="F259" s="16">
        <v>3062</v>
      </c>
      <c r="G259" s="16">
        <v>1124</v>
      </c>
      <c r="H259" s="20">
        <v>538</v>
      </c>
      <c r="I259" s="20">
        <v>2935</v>
      </c>
      <c r="J259" s="24">
        <v>69749</v>
      </c>
      <c r="K259" s="20">
        <v>91924</v>
      </c>
      <c r="L259" s="31">
        <f t="shared" si="4"/>
        <v>5.1390278926069365E-2</v>
      </c>
      <c r="M259" s="9" t="s">
        <v>25</v>
      </c>
    </row>
    <row r="260" spans="1:13" ht="14.25" customHeight="1" x14ac:dyDescent="0.3">
      <c r="A260" s="6" t="s">
        <v>287</v>
      </c>
      <c r="B260" s="7" t="s">
        <v>20</v>
      </c>
      <c r="C260" s="8">
        <v>45592</v>
      </c>
      <c r="D260" s="7" t="s">
        <v>30</v>
      </c>
      <c r="E260" s="7" t="s">
        <v>343</v>
      </c>
      <c r="F260" s="16">
        <v>7560</v>
      </c>
      <c r="G260" s="16">
        <v>1139</v>
      </c>
      <c r="H260" s="20">
        <v>248</v>
      </c>
      <c r="I260" s="20">
        <v>1624</v>
      </c>
      <c r="J260" s="24">
        <v>72237</v>
      </c>
      <c r="K260" s="20">
        <v>177084</v>
      </c>
      <c r="L260" s="31">
        <f t="shared" si="4"/>
        <v>5.0524045085947912E-2</v>
      </c>
      <c r="M260" s="9" t="s">
        <v>22</v>
      </c>
    </row>
    <row r="261" spans="1:13" ht="14.25" customHeight="1" x14ac:dyDescent="0.3">
      <c r="A261" s="6" t="s">
        <v>245</v>
      </c>
      <c r="B261" s="7" t="s">
        <v>17</v>
      </c>
      <c r="C261" s="8">
        <v>45685</v>
      </c>
      <c r="D261" s="7" t="s">
        <v>30</v>
      </c>
      <c r="E261" s="7" t="s">
        <v>347</v>
      </c>
      <c r="F261" s="16">
        <v>9943</v>
      </c>
      <c r="G261" s="16">
        <v>1274</v>
      </c>
      <c r="H261" s="20">
        <v>336</v>
      </c>
      <c r="I261" s="20">
        <v>389</v>
      </c>
      <c r="J261" s="24">
        <v>6145</v>
      </c>
      <c r="K261" s="20">
        <v>231305</v>
      </c>
      <c r="L261" s="31">
        <f t="shared" si="4"/>
        <v>4.9947039623008581E-2</v>
      </c>
      <c r="M261" s="9" t="s">
        <v>15</v>
      </c>
    </row>
    <row r="262" spans="1:13" ht="14.25" customHeight="1" x14ac:dyDescent="0.3">
      <c r="A262" s="6" t="s">
        <v>197</v>
      </c>
      <c r="B262" s="7" t="s">
        <v>17</v>
      </c>
      <c r="C262" s="8">
        <v>45657</v>
      </c>
      <c r="D262" s="7" t="s">
        <v>14</v>
      </c>
      <c r="E262" s="7" t="s">
        <v>343</v>
      </c>
      <c r="F262" s="16">
        <v>10717</v>
      </c>
      <c r="G262" s="16">
        <v>760</v>
      </c>
      <c r="H262" s="20">
        <v>460</v>
      </c>
      <c r="I262" s="20">
        <v>1316</v>
      </c>
      <c r="J262" s="24">
        <v>18164</v>
      </c>
      <c r="K262" s="20">
        <v>240641</v>
      </c>
      <c r="L262" s="31">
        <f t="shared" si="4"/>
        <v>4.9605013277039242E-2</v>
      </c>
      <c r="M262" s="9" t="s">
        <v>38</v>
      </c>
    </row>
    <row r="263" spans="1:13" ht="14.25" customHeight="1" x14ac:dyDescent="0.3">
      <c r="A263" s="6" t="s">
        <v>91</v>
      </c>
      <c r="B263" s="7" t="s">
        <v>13</v>
      </c>
      <c r="C263" s="8">
        <v>45744</v>
      </c>
      <c r="D263" s="7" t="s">
        <v>21</v>
      </c>
      <c r="E263" s="7" t="s">
        <v>343</v>
      </c>
      <c r="F263" s="16">
        <v>6363</v>
      </c>
      <c r="G263" s="16">
        <v>1341</v>
      </c>
      <c r="H263" s="20">
        <v>222</v>
      </c>
      <c r="I263" s="20">
        <v>2712</v>
      </c>
      <c r="J263" s="24">
        <v>19987</v>
      </c>
      <c r="K263" s="20">
        <v>160585</v>
      </c>
      <c r="L263" s="31">
        <f t="shared" si="4"/>
        <v>4.9357038328611019E-2</v>
      </c>
      <c r="M263" s="9" t="s">
        <v>22</v>
      </c>
    </row>
    <row r="264" spans="1:13" ht="14.25" customHeight="1" x14ac:dyDescent="0.3">
      <c r="A264" s="6" t="s">
        <v>156</v>
      </c>
      <c r="B264" s="7" t="s">
        <v>17</v>
      </c>
      <c r="C264" s="8">
        <v>45564</v>
      </c>
      <c r="D264" s="7" t="s">
        <v>30</v>
      </c>
      <c r="E264" s="7" t="s">
        <v>344</v>
      </c>
      <c r="F264" s="16">
        <v>10472</v>
      </c>
      <c r="G264" s="16">
        <v>401</v>
      </c>
      <c r="H264" s="20">
        <v>668</v>
      </c>
      <c r="I264" s="20">
        <v>383</v>
      </c>
      <c r="J264" s="24">
        <v>37571</v>
      </c>
      <c r="K264" s="20">
        <v>249203</v>
      </c>
      <c r="L264" s="31">
        <f t="shared" si="4"/>
        <v>4.6311641513143903E-2</v>
      </c>
      <c r="M264" s="9" t="s">
        <v>22</v>
      </c>
    </row>
    <row r="265" spans="1:13" ht="14.25" customHeight="1" x14ac:dyDescent="0.3">
      <c r="A265" s="6" t="s">
        <v>41</v>
      </c>
      <c r="B265" s="7" t="s">
        <v>20</v>
      </c>
      <c r="C265" s="8">
        <v>45530</v>
      </c>
      <c r="D265" s="7" t="s">
        <v>30</v>
      </c>
      <c r="E265" s="7" t="s">
        <v>348</v>
      </c>
      <c r="F265" s="16">
        <v>4193</v>
      </c>
      <c r="G265" s="16">
        <v>924</v>
      </c>
      <c r="H265" s="20">
        <v>707</v>
      </c>
      <c r="I265" s="20">
        <v>2696</v>
      </c>
      <c r="J265" s="24">
        <v>55075</v>
      </c>
      <c r="K265" s="20">
        <v>126652</v>
      </c>
      <c r="L265" s="31">
        <f t="shared" si="4"/>
        <v>4.5984271863057827E-2</v>
      </c>
      <c r="M265" s="9" t="s">
        <v>25</v>
      </c>
    </row>
    <row r="266" spans="1:13" ht="14.25" customHeight="1" x14ac:dyDescent="0.3">
      <c r="A266" s="6" t="s">
        <v>84</v>
      </c>
      <c r="B266" s="7" t="s">
        <v>20</v>
      </c>
      <c r="C266" s="8">
        <v>45762</v>
      </c>
      <c r="D266" s="7" t="s">
        <v>30</v>
      </c>
      <c r="E266" s="7" t="s">
        <v>345</v>
      </c>
      <c r="F266" s="16">
        <v>5419</v>
      </c>
      <c r="G266" s="16">
        <v>1150</v>
      </c>
      <c r="H266" s="20">
        <v>656</v>
      </c>
      <c r="I266" s="20">
        <v>1990</v>
      </c>
      <c r="J266" s="24">
        <v>410</v>
      </c>
      <c r="K266" s="20">
        <v>158154</v>
      </c>
      <c r="L266" s="31">
        <f t="shared" si="4"/>
        <v>4.5683321319726342E-2</v>
      </c>
      <c r="M266" s="9" t="s">
        <v>22</v>
      </c>
    </row>
    <row r="267" spans="1:13" ht="14.25" customHeight="1" x14ac:dyDescent="0.3">
      <c r="A267" s="6" t="s">
        <v>171</v>
      </c>
      <c r="B267" s="7" t="s">
        <v>17</v>
      </c>
      <c r="C267" s="8">
        <v>45516</v>
      </c>
      <c r="D267" s="7" t="s">
        <v>30</v>
      </c>
      <c r="E267" s="7" t="s">
        <v>344</v>
      </c>
      <c r="F267" s="16">
        <v>8376</v>
      </c>
      <c r="G267" s="16">
        <v>1154</v>
      </c>
      <c r="H267" s="20">
        <v>422</v>
      </c>
      <c r="I267" s="20">
        <v>1907</v>
      </c>
      <c r="J267" s="24">
        <v>36874</v>
      </c>
      <c r="K267" s="20">
        <v>218486</v>
      </c>
      <c r="L267" s="31">
        <f t="shared" si="4"/>
        <v>4.5549829279679245E-2</v>
      </c>
      <c r="M267" s="9" t="s">
        <v>22</v>
      </c>
    </row>
    <row r="268" spans="1:13" ht="14.25" customHeight="1" x14ac:dyDescent="0.3">
      <c r="A268" s="6" t="s">
        <v>309</v>
      </c>
      <c r="B268" s="7" t="s">
        <v>34</v>
      </c>
      <c r="C268" s="8">
        <v>45786</v>
      </c>
      <c r="D268" s="7" t="s">
        <v>30</v>
      </c>
      <c r="E268" s="7" t="s">
        <v>348</v>
      </c>
      <c r="F268" s="16">
        <v>8988</v>
      </c>
      <c r="G268" s="16">
        <v>228</v>
      </c>
      <c r="H268" s="20">
        <v>766</v>
      </c>
      <c r="I268" s="20">
        <v>652</v>
      </c>
      <c r="J268" s="24">
        <v>63789</v>
      </c>
      <c r="K268" s="20">
        <v>219785</v>
      </c>
      <c r="L268" s="31">
        <f t="shared" si="4"/>
        <v>4.541711217781013E-2</v>
      </c>
      <c r="M268" s="9" t="s">
        <v>22</v>
      </c>
    </row>
    <row r="269" spans="1:13" ht="14.25" customHeight="1" x14ac:dyDescent="0.3">
      <c r="A269" s="6" t="s">
        <v>324</v>
      </c>
      <c r="B269" s="7" t="s">
        <v>13</v>
      </c>
      <c r="C269" s="8">
        <v>45924</v>
      </c>
      <c r="D269" s="7" t="s">
        <v>21</v>
      </c>
      <c r="E269" s="7" t="s">
        <v>349</v>
      </c>
      <c r="F269" s="16">
        <v>3342</v>
      </c>
      <c r="G269" s="16">
        <v>787</v>
      </c>
      <c r="H269" s="20">
        <v>375</v>
      </c>
      <c r="I269" s="20">
        <v>907</v>
      </c>
      <c r="J269" s="24">
        <v>85823</v>
      </c>
      <c r="K269" s="20">
        <v>99189</v>
      </c>
      <c r="L269" s="31">
        <f t="shared" si="4"/>
        <v>4.5408260996683103E-2</v>
      </c>
      <c r="M269" s="9" t="s">
        <v>18</v>
      </c>
    </row>
    <row r="270" spans="1:13" ht="14.25" customHeight="1" x14ac:dyDescent="0.3">
      <c r="A270" s="6" t="s">
        <v>116</v>
      </c>
      <c r="B270" s="7" t="s">
        <v>34</v>
      </c>
      <c r="C270" s="8">
        <v>45446</v>
      </c>
      <c r="D270" s="7" t="s">
        <v>14</v>
      </c>
      <c r="E270" s="7" t="s">
        <v>350</v>
      </c>
      <c r="F270" s="16">
        <v>8941</v>
      </c>
      <c r="G270" s="16">
        <v>911</v>
      </c>
      <c r="H270" s="20">
        <v>166</v>
      </c>
      <c r="I270" s="20">
        <v>1217</v>
      </c>
      <c r="J270" s="24">
        <v>68817</v>
      </c>
      <c r="K270" s="20">
        <v>221180</v>
      </c>
      <c r="L270" s="31">
        <f t="shared" si="4"/>
        <v>4.5293426168731353E-2</v>
      </c>
      <c r="M270" s="9" t="s">
        <v>38</v>
      </c>
    </row>
    <row r="271" spans="1:13" ht="14.25" customHeight="1" x14ac:dyDescent="0.3">
      <c r="A271" s="6" t="s">
        <v>160</v>
      </c>
      <c r="B271" s="7" t="s">
        <v>20</v>
      </c>
      <c r="C271" s="8">
        <v>45931</v>
      </c>
      <c r="D271" s="7" t="s">
        <v>30</v>
      </c>
      <c r="E271" s="7" t="s">
        <v>28</v>
      </c>
      <c r="F271" s="16">
        <v>6188</v>
      </c>
      <c r="G271" s="16">
        <v>774</v>
      </c>
      <c r="H271" s="20">
        <v>647</v>
      </c>
      <c r="I271" s="20">
        <v>1830</v>
      </c>
      <c r="J271" s="24">
        <v>55436</v>
      </c>
      <c r="K271" s="20">
        <v>175542</v>
      </c>
      <c r="L271" s="31">
        <f t="shared" si="4"/>
        <v>4.3345752013763089E-2</v>
      </c>
      <c r="M271" s="9" t="s">
        <v>18</v>
      </c>
    </row>
    <row r="272" spans="1:13" ht="14.25" customHeight="1" x14ac:dyDescent="0.3">
      <c r="A272" s="6" t="s">
        <v>64</v>
      </c>
      <c r="B272" s="7" t="s">
        <v>20</v>
      </c>
      <c r="C272" s="8">
        <v>45705</v>
      </c>
      <c r="D272" s="7" t="s">
        <v>21</v>
      </c>
      <c r="E272" s="7" t="s">
        <v>344</v>
      </c>
      <c r="F272" s="16">
        <v>7989</v>
      </c>
      <c r="G272" s="16">
        <v>1206</v>
      </c>
      <c r="H272" s="20">
        <v>376</v>
      </c>
      <c r="I272" s="20">
        <v>2769</v>
      </c>
      <c r="J272" s="24">
        <v>27550</v>
      </c>
      <c r="K272" s="20">
        <v>221749</v>
      </c>
      <c r="L272" s="31">
        <f t="shared" si="4"/>
        <v>4.3161412227338117E-2</v>
      </c>
      <c r="M272" s="9" t="s">
        <v>22</v>
      </c>
    </row>
    <row r="273" spans="1:13" ht="14.25" customHeight="1" x14ac:dyDescent="0.3">
      <c r="A273" s="6" t="s">
        <v>96</v>
      </c>
      <c r="B273" s="7" t="s">
        <v>34</v>
      </c>
      <c r="C273" s="8">
        <v>45749</v>
      </c>
      <c r="D273" s="7" t="s">
        <v>21</v>
      </c>
      <c r="E273" s="7" t="s">
        <v>349</v>
      </c>
      <c r="F273" s="16">
        <v>6858</v>
      </c>
      <c r="G273" s="16">
        <v>415</v>
      </c>
      <c r="H273" s="20">
        <v>366</v>
      </c>
      <c r="I273" s="20">
        <v>2761</v>
      </c>
      <c r="J273" s="24">
        <v>2988</v>
      </c>
      <c r="K273" s="20">
        <v>177348</v>
      </c>
      <c r="L273" s="31">
        <f t="shared" si="4"/>
        <v>4.3073505198818141E-2</v>
      </c>
      <c r="M273" s="9" t="s">
        <v>15</v>
      </c>
    </row>
    <row r="274" spans="1:13" ht="14.25" customHeight="1" x14ac:dyDescent="0.3">
      <c r="A274" s="6" t="s">
        <v>168</v>
      </c>
      <c r="B274" s="7" t="s">
        <v>20</v>
      </c>
      <c r="C274" s="8">
        <v>45741</v>
      </c>
      <c r="D274" s="7" t="s">
        <v>30</v>
      </c>
      <c r="E274" s="7" t="s">
        <v>345</v>
      </c>
      <c r="F274" s="16">
        <v>5900</v>
      </c>
      <c r="G274" s="16">
        <v>546</v>
      </c>
      <c r="H274" s="20">
        <v>592</v>
      </c>
      <c r="I274" s="20">
        <v>1594</v>
      </c>
      <c r="J274" s="24">
        <v>38627</v>
      </c>
      <c r="K274" s="20">
        <v>164398</v>
      </c>
      <c r="L274" s="31">
        <f t="shared" si="4"/>
        <v>4.2810739790021778E-2</v>
      </c>
      <c r="M274" s="9" t="s">
        <v>38</v>
      </c>
    </row>
    <row r="275" spans="1:13" ht="14.25" customHeight="1" x14ac:dyDescent="0.3">
      <c r="A275" s="6" t="s">
        <v>233</v>
      </c>
      <c r="B275" s="7" t="s">
        <v>17</v>
      </c>
      <c r="C275" s="8">
        <v>45655</v>
      </c>
      <c r="D275" s="7" t="s">
        <v>30</v>
      </c>
      <c r="E275" s="7" t="s">
        <v>55</v>
      </c>
      <c r="F275" s="16">
        <v>8288</v>
      </c>
      <c r="G275" s="16">
        <v>1401</v>
      </c>
      <c r="H275" s="20">
        <v>819</v>
      </c>
      <c r="I275" s="20">
        <v>1235</v>
      </c>
      <c r="J275" s="24">
        <v>33446</v>
      </c>
      <c r="K275" s="20">
        <v>248786</v>
      </c>
      <c r="L275" s="31">
        <f t="shared" si="4"/>
        <v>4.2237103373984064E-2</v>
      </c>
      <c r="M275" s="9" t="s">
        <v>15</v>
      </c>
    </row>
    <row r="276" spans="1:13" ht="14.25" customHeight="1" x14ac:dyDescent="0.3">
      <c r="A276" s="6" t="s">
        <v>300</v>
      </c>
      <c r="B276" s="7" t="s">
        <v>17</v>
      </c>
      <c r="C276" s="8">
        <v>45658</v>
      </c>
      <c r="D276" s="7" t="s">
        <v>24</v>
      </c>
      <c r="E276" s="7" t="s">
        <v>347</v>
      </c>
      <c r="F276" s="16">
        <v>8283</v>
      </c>
      <c r="G276" s="16">
        <v>720</v>
      </c>
      <c r="H276" s="20">
        <v>888</v>
      </c>
      <c r="I276" s="20">
        <v>611</v>
      </c>
      <c r="J276" s="24">
        <v>52791</v>
      </c>
      <c r="K276" s="20">
        <v>235229</v>
      </c>
      <c r="L276" s="31">
        <f t="shared" si="4"/>
        <v>4.2048386891072105E-2</v>
      </c>
      <c r="M276" s="9" t="s">
        <v>15</v>
      </c>
    </row>
    <row r="277" spans="1:13" ht="14.25" customHeight="1" x14ac:dyDescent="0.3">
      <c r="A277" s="6" t="s">
        <v>232</v>
      </c>
      <c r="B277" s="7" t="s">
        <v>20</v>
      </c>
      <c r="C277" s="8">
        <v>45467</v>
      </c>
      <c r="D277" s="7" t="s">
        <v>14</v>
      </c>
      <c r="E277" s="7" t="s">
        <v>350</v>
      </c>
      <c r="F277" s="16">
        <v>6632</v>
      </c>
      <c r="G277" s="16">
        <v>254</v>
      </c>
      <c r="H277" s="20">
        <v>525</v>
      </c>
      <c r="I277" s="20">
        <v>1013</v>
      </c>
      <c r="J277" s="24">
        <v>13838</v>
      </c>
      <c r="K277" s="20">
        <v>180180</v>
      </c>
      <c r="L277" s="31">
        <f t="shared" si="4"/>
        <v>4.1131091131091133E-2</v>
      </c>
      <c r="M277" s="9" t="s">
        <v>15</v>
      </c>
    </row>
    <row r="278" spans="1:13" ht="14.25" customHeight="1" x14ac:dyDescent="0.3">
      <c r="A278" s="6" t="s">
        <v>282</v>
      </c>
      <c r="B278" s="7" t="s">
        <v>13</v>
      </c>
      <c r="C278" s="8">
        <v>45917</v>
      </c>
      <c r="D278" s="7" t="s">
        <v>30</v>
      </c>
      <c r="E278" s="7" t="s">
        <v>347</v>
      </c>
      <c r="F278" s="16">
        <v>2117</v>
      </c>
      <c r="G278" s="16">
        <v>1133</v>
      </c>
      <c r="H278" s="20">
        <v>203</v>
      </c>
      <c r="I278" s="20">
        <v>1173</v>
      </c>
      <c r="J278" s="24">
        <v>40125</v>
      </c>
      <c r="K278" s="20">
        <v>85379</v>
      </c>
      <c r="L278" s="31">
        <f t="shared" si="4"/>
        <v>4.0443200318579509E-2</v>
      </c>
      <c r="M278" s="9" t="s">
        <v>18</v>
      </c>
    </row>
    <row r="279" spans="1:13" ht="14.25" customHeight="1" x14ac:dyDescent="0.3">
      <c r="A279" s="6" t="s">
        <v>208</v>
      </c>
      <c r="B279" s="7" t="s">
        <v>13</v>
      </c>
      <c r="C279" s="8">
        <v>45504</v>
      </c>
      <c r="D279" s="7" t="s">
        <v>24</v>
      </c>
      <c r="E279" s="7" t="s">
        <v>345</v>
      </c>
      <c r="F279" s="16">
        <v>7122</v>
      </c>
      <c r="G279" s="16">
        <v>628</v>
      </c>
      <c r="H279" s="20">
        <v>757</v>
      </c>
      <c r="I279" s="20">
        <v>2313</v>
      </c>
      <c r="J279" s="24">
        <v>50924</v>
      </c>
      <c r="K279" s="20">
        <v>210954</v>
      </c>
      <c r="L279" s="31">
        <f t="shared" si="4"/>
        <v>4.0326327066564277E-2</v>
      </c>
      <c r="M279" s="9" t="s">
        <v>38</v>
      </c>
    </row>
    <row r="280" spans="1:13" ht="14.25" customHeight="1" x14ac:dyDescent="0.3">
      <c r="A280" s="6" t="s">
        <v>105</v>
      </c>
      <c r="B280" s="7" t="s">
        <v>13</v>
      </c>
      <c r="C280" s="8">
        <v>45922</v>
      </c>
      <c r="D280" s="7" t="s">
        <v>24</v>
      </c>
      <c r="E280" s="7" t="s">
        <v>352</v>
      </c>
      <c r="F280" s="16">
        <v>8996</v>
      </c>
      <c r="G280" s="16">
        <v>329</v>
      </c>
      <c r="H280" s="20">
        <v>378</v>
      </c>
      <c r="I280" s="20">
        <v>2384</v>
      </c>
      <c r="J280" s="24">
        <v>39404</v>
      </c>
      <c r="K280" s="20">
        <v>242724</v>
      </c>
      <c r="L280" s="31">
        <f t="shared" si="4"/>
        <v>3.9975445361810122E-2</v>
      </c>
      <c r="M280" s="9" t="s">
        <v>18</v>
      </c>
    </row>
    <row r="281" spans="1:13" ht="14.25" customHeight="1" x14ac:dyDescent="0.3">
      <c r="A281" s="6" t="s">
        <v>39</v>
      </c>
      <c r="B281" s="7" t="s">
        <v>13</v>
      </c>
      <c r="C281" s="8">
        <v>45906</v>
      </c>
      <c r="D281" s="7" t="s">
        <v>21</v>
      </c>
      <c r="E281" s="7" t="s">
        <v>348</v>
      </c>
      <c r="F281" s="16">
        <v>7124</v>
      </c>
      <c r="G281" s="16">
        <v>469</v>
      </c>
      <c r="H281" s="20">
        <v>851</v>
      </c>
      <c r="I281" s="20">
        <v>2571</v>
      </c>
      <c r="J281" s="24">
        <v>33802</v>
      </c>
      <c r="K281" s="20">
        <v>216313</v>
      </c>
      <c r="L281" s="31">
        <f t="shared" si="4"/>
        <v>3.9036026498638549E-2</v>
      </c>
      <c r="M281" s="9" t="s">
        <v>18</v>
      </c>
    </row>
    <row r="282" spans="1:13" ht="14.25" customHeight="1" x14ac:dyDescent="0.3">
      <c r="A282" s="6" t="s">
        <v>301</v>
      </c>
      <c r="B282" s="7" t="s">
        <v>20</v>
      </c>
      <c r="C282" s="8">
        <v>45509</v>
      </c>
      <c r="D282" s="7" t="s">
        <v>21</v>
      </c>
      <c r="E282" s="7" t="s">
        <v>348</v>
      </c>
      <c r="F282" s="16">
        <v>4048</v>
      </c>
      <c r="G282" s="16">
        <v>751</v>
      </c>
      <c r="H282" s="20">
        <v>930</v>
      </c>
      <c r="I282" s="20">
        <v>1382</v>
      </c>
      <c r="J282" s="24">
        <v>16844</v>
      </c>
      <c r="K282" s="20">
        <v>148177</v>
      </c>
      <c r="L282" s="31">
        <f t="shared" si="4"/>
        <v>3.8663220337839206E-2</v>
      </c>
      <c r="M282" s="9" t="s">
        <v>25</v>
      </c>
    </row>
    <row r="283" spans="1:13" ht="14.25" customHeight="1" x14ac:dyDescent="0.3">
      <c r="A283" s="6" t="s">
        <v>167</v>
      </c>
      <c r="B283" s="7" t="s">
        <v>17</v>
      </c>
      <c r="C283" s="8">
        <v>45933</v>
      </c>
      <c r="D283" s="7" t="s">
        <v>14</v>
      </c>
      <c r="E283" s="7" t="s">
        <v>349</v>
      </c>
      <c r="F283" s="16">
        <v>6777</v>
      </c>
      <c r="G283" s="16">
        <v>617</v>
      </c>
      <c r="H283" s="20">
        <v>551</v>
      </c>
      <c r="I283" s="20">
        <v>2109</v>
      </c>
      <c r="J283" s="24">
        <v>18559</v>
      </c>
      <c r="K283" s="20">
        <v>208452</v>
      </c>
      <c r="L283" s="31">
        <f t="shared" si="4"/>
        <v>3.8114290100358834E-2</v>
      </c>
      <c r="M283" s="9" t="s">
        <v>18</v>
      </c>
    </row>
    <row r="284" spans="1:13" ht="14.25" customHeight="1" x14ac:dyDescent="0.3">
      <c r="A284" s="6" t="s">
        <v>69</v>
      </c>
      <c r="B284" s="7" t="s">
        <v>34</v>
      </c>
      <c r="C284" s="8">
        <v>45916</v>
      </c>
      <c r="D284" s="7" t="s">
        <v>21</v>
      </c>
      <c r="E284" s="7" t="s">
        <v>55</v>
      </c>
      <c r="F284" s="16">
        <v>6809</v>
      </c>
      <c r="G284" s="16">
        <v>397</v>
      </c>
      <c r="H284" s="20">
        <v>813</v>
      </c>
      <c r="I284" s="20">
        <v>1125</v>
      </c>
      <c r="J284" s="24">
        <v>12206</v>
      </c>
      <c r="K284" s="20">
        <v>218136</v>
      </c>
      <c r="L284" s="31">
        <f t="shared" si="4"/>
        <v>3.6761469908680823E-2</v>
      </c>
      <c r="M284" s="9" t="s">
        <v>18</v>
      </c>
    </row>
    <row r="285" spans="1:13" ht="14.25" customHeight="1" x14ac:dyDescent="0.3">
      <c r="A285" s="6" t="s">
        <v>307</v>
      </c>
      <c r="B285" s="7" t="s">
        <v>17</v>
      </c>
      <c r="C285" s="8">
        <v>45738</v>
      </c>
      <c r="D285" s="7" t="s">
        <v>24</v>
      </c>
      <c r="E285" s="7" t="s">
        <v>350</v>
      </c>
      <c r="F285" s="16">
        <v>3917</v>
      </c>
      <c r="G285" s="16">
        <v>865</v>
      </c>
      <c r="H285" s="20">
        <v>759</v>
      </c>
      <c r="I285" s="20">
        <v>2282</v>
      </c>
      <c r="J285" s="24">
        <v>56125</v>
      </c>
      <c r="K285" s="20">
        <v>154014</v>
      </c>
      <c r="L285" s="31">
        <f t="shared" si="4"/>
        <v>3.5977248821535704E-2</v>
      </c>
      <c r="M285" s="9" t="s">
        <v>15</v>
      </c>
    </row>
    <row r="286" spans="1:13" ht="14.25" customHeight="1" x14ac:dyDescent="0.3">
      <c r="A286" s="6" t="s">
        <v>306</v>
      </c>
      <c r="B286" s="7" t="s">
        <v>34</v>
      </c>
      <c r="C286" s="8">
        <v>45918</v>
      </c>
      <c r="D286" s="7" t="s">
        <v>24</v>
      </c>
      <c r="E286" s="7" t="s">
        <v>347</v>
      </c>
      <c r="F286" s="16">
        <v>3828</v>
      </c>
      <c r="G286" s="16">
        <v>203</v>
      </c>
      <c r="H286" s="20">
        <v>506</v>
      </c>
      <c r="I286" s="20">
        <v>2440</v>
      </c>
      <c r="J286" s="24">
        <v>63650</v>
      </c>
      <c r="K286" s="20">
        <v>126365</v>
      </c>
      <c r="L286" s="31">
        <f t="shared" si="4"/>
        <v>3.5903929094290347E-2</v>
      </c>
      <c r="M286" s="9" t="s">
        <v>18</v>
      </c>
    </row>
    <row r="287" spans="1:13" ht="14.25" customHeight="1" x14ac:dyDescent="0.3">
      <c r="A287" s="6" t="s">
        <v>204</v>
      </c>
      <c r="B287" s="7" t="s">
        <v>13</v>
      </c>
      <c r="C287" s="8">
        <v>45940</v>
      </c>
      <c r="D287" s="7" t="s">
        <v>30</v>
      </c>
      <c r="E287" s="7" t="s">
        <v>345</v>
      </c>
      <c r="F287" s="16">
        <v>6621</v>
      </c>
      <c r="G287" s="16">
        <v>922</v>
      </c>
      <c r="H287" s="20">
        <v>930</v>
      </c>
      <c r="I287" s="20">
        <v>694</v>
      </c>
      <c r="J287" s="24">
        <v>839</v>
      </c>
      <c r="K287" s="20">
        <v>243532</v>
      </c>
      <c r="L287" s="31">
        <f t="shared" si="4"/>
        <v>3.479214230573395E-2</v>
      </c>
      <c r="M287" s="9" t="s">
        <v>18</v>
      </c>
    </row>
    <row r="288" spans="1:13" ht="14.25" customHeight="1" x14ac:dyDescent="0.3">
      <c r="A288" s="6" t="s">
        <v>207</v>
      </c>
      <c r="B288" s="7" t="s">
        <v>20</v>
      </c>
      <c r="C288" s="8">
        <v>45942</v>
      </c>
      <c r="D288" s="7" t="s">
        <v>30</v>
      </c>
      <c r="E288" s="7" t="s">
        <v>348</v>
      </c>
      <c r="F288" s="16">
        <v>7126</v>
      </c>
      <c r="G288" s="16">
        <v>484</v>
      </c>
      <c r="H288" s="20">
        <v>565</v>
      </c>
      <c r="I288" s="20">
        <v>573</v>
      </c>
      <c r="J288" s="24">
        <v>7389</v>
      </c>
      <c r="K288" s="20">
        <v>237096</v>
      </c>
      <c r="L288" s="31">
        <f t="shared" si="4"/>
        <v>3.4479704423524646E-2</v>
      </c>
      <c r="M288" s="9" t="s">
        <v>18</v>
      </c>
    </row>
    <row r="289" spans="1:13" ht="14.25" customHeight="1" x14ac:dyDescent="0.3">
      <c r="A289" s="6" t="s">
        <v>136</v>
      </c>
      <c r="B289" s="7" t="s">
        <v>13</v>
      </c>
      <c r="C289" s="8">
        <v>45502</v>
      </c>
      <c r="D289" s="7" t="s">
        <v>24</v>
      </c>
      <c r="E289" s="7" t="s">
        <v>348</v>
      </c>
      <c r="F289" s="16">
        <v>6164</v>
      </c>
      <c r="G289" s="16">
        <v>326</v>
      </c>
      <c r="H289" s="20">
        <v>615</v>
      </c>
      <c r="I289" s="20">
        <v>2806</v>
      </c>
      <c r="J289" s="24">
        <v>38579</v>
      </c>
      <c r="K289" s="20">
        <v>206129</v>
      </c>
      <c r="L289" s="31">
        <f t="shared" si="4"/>
        <v>3.4468706489625425E-2</v>
      </c>
      <c r="M289" s="9" t="s">
        <v>38</v>
      </c>
    </row>
    <row r="290" spans="1:13" ht="14.25" customHeight="1" x14ac:dyDescent="0.3">
      <c r="A290" s="6" t="s">
        <v>318</v>
      </c>
      <c r="B290" s="7" t="s">
        <v>13</v>
      </c>
      <c r="C290" s="8">
        <v>45613</v>
      </c>
      <c r="D290" s="7" t="s">
        <v>30</v>
      </c>
      <c r="E290" s="7" t="s">
        <v>347</v>
      </c>
      <c r="F290" s="16">
        <v>4219</v>
      </c>
      <c r="G290" s="16">
        <v>240</v>
      </c>
      <c r="H290" s="20">
        <v>670</v>
      </c>
      <c r="I290" s="20">
        <v>815</v>
      </c>
      <c r="J290" s="24">
        <v>11978</v>
      </c>
      <c r="K290" s="20">
        <v>159735</v>
      </c>
      <c r="L290" s="31">
        <f t="shared" si="4"/>
        <v>3.2109431245500357E-2</v>
      </c>
      <c r="M290" s="9" t="s">
        <v>25</v>
      </c>
    </row>
    <row r="291" spans="1:13" ht="14.25" customHeight="1" x14ac:dyDescent="0.3">
      <c r="A291" s="6" t="s">
        <v>299</v>
      </c>
      <c r="B291" s="7" t="s">
        <v>17</v>
      </c>
      <c r="C291" s="8">
        <v>45577</v>
      </c>
      <c r="D291" s="7" t="s">
        <v>14</v>
      </c>
      <c r="E291" s="7" t="s">
        <v>352</v>
      </c>
      <c r="F291" s="16">
        <v>6208</v>
      </c>
      <c r="G291" s="16">
        <v>725</v>
      </c>
      <c r="H291" s="20">
        <v>309</v>
      </c>
      <c r="I291" s="20">
        <v>848</v>
      </c>
      <c r="J291" s="24">
        <v>39319</v>
      </c>
      <c r="K291" s="20">
        <v>225763</v>
      </c>
      <c r="L291" s="31">
        <f t="shared" si="4"/>
        <v>3.207788698768177E-2</v>
      </c>
      <c r="M291" s="9" t="s">
        <v>15</v>
      </c>
    </row>
    <row r="292" spans="1:13" ht="14.25" customHeight="1" x14ac:dyDescent="0.3">
      <c r="A292" s="6" t="s">
        <v>273</v>
      </c>
      <c r="B292" s="7" t="s">
        <v>20</v>
      </c>
      <c r="C292" s="8">
        <v>45531</v>
      </c>
      <c r="D292" s="7" t="s">
        <v>14</v>
      </c>
      <c r="E292" s="7" t="s">
        <v>55</v>
      </c>
      <c r="F292" s="16">
        <v>6324</v>
      </c>
      <c r="G292" s="16">
        <v>908</v>
      </c>
      <c r="H292" s="20">
        <v>375</v>
      </c>
      <c r="I292" s="20">
        <v>758</v>
      </c>
      <c r="J292" s="24">
        <v>34850</v>
      </c>
      <c r="K292" s="20">
        <v>241039</v>
      </c>
      <c r="L292" s="31">
        <f t="shared" si="4"/>
        <v>3.1559208260903839E-2</v>
      </c>
      <c r="M292" s="9" t="s">
        <v>15</v>
      </c>
    </row>
    <row r="293" spans="1:13" ht="14.25" customHeight="1" x14ac:dyDescent="0.3">
      <c r="A293" s="6" t="s">
        <v>199</v>
      </c>
      <c r="B293" s="7" t="s">
        <v>13</v>
      </c>
      <c r="C293" s="8">
        <v>45631</v>
      </c>
      <c r="D293" s="7" t="s">
        <v>21</v>
      </c>
      <c r="E293" s="7" t="s">
        <v>350</v>
      </c>
      <c r="F293" s="16">
        <v>4125</v>
      </c>
      <c r="G293" s="16">
        <v>1364</v>
      </c>
      <c r="H293" s="20">
        <v>319</v>
      </c>
      <c r="I293" s="20">
        <v>2848</v>
      </c>
      <c r="J293" s="24">
        <v>15379</v>
      </c>
      <c r="K293" s="20">
        <v>188159</v>
      </c>
      <c r="L293" s="31">
        <f t="shared" si="4"/>
        <v>3.0867510988047343E-2</v>
      </c>
      <c r="M293" s="9" t="s">
        <v>38</v>
      </c>
    </row>
    <row r="294" spans="1:13" ht="14.25" customHeight="1" x14ac:dyDescent="0.3">
      <c r="A294" s="6" t="s">
        <v>219</v>
      </c>
      <c r="B294" s="7" t="s">
        <v>20</v>
      </c>
      <c r="C294" s="8">
        <v>45546</v>
      </c>
      <c r="D294" s="7" t="s">
        <v>14</v>
      </c>
      <c r="E294" s="7" t="s">
        <v>348</v>
      </c>
      <c r="F294" s="16">
        <v>3906</v>
      </c>
      <c r="G294" s="16">
        <v>1187</v>
      </c>
      <c r="H294" s="20">
        <v>589</v>
      </c>
      <c r="I294" s="20">
        <v>401</v>
      </c>
      <c r="J294" s="24">
        <v>52687</v>
      </c>
      <c r="K294" s="20">
        <v>196498</v>
      </c>
      <c r="L294" s="31">
        <f t="shared" si="4"/>
        <v>2.8916324848090057E-2</v>
      </c>
      <c r="M294" s="9" t="s">
        <v>15</v>
      </c>
    </row>
    <row r="295" spans="1:13" ht="14.25" customHeight="1" x14ac:dyDescent="0.3">
      <c r="A295" s="6" t="s">
        <v>271</v>
      </c>
      <c r="B295" s="7" t="s">
        <v>13</v>
      </c>
      <c r="C295" s="8">
        <v>45669</v>
      </c>
      <c r="D295" s="7" t="s">
        <v>14</v>
      </c>
      <c r="E295" s="7" t="s">
        <v>346</v>
      </c>
      <c r="F295" s="16">
        <v>4590</v>
      </c>
      <c r="G295" s="16">
        <v>713</v>
      </c>
      <c r="H295" s="20">
        <v>479</v>
      </c>
      <c r="I295" s="20">
        <v>2730</v>
      </c>
      <c r="J295" s="24">
        <v>41050</v>
      </c>
      <c r="K295" s="20">
        <v>204246</v>
      </c>
      <c r="L295" s="31">
        <f t="shared" si="4"/>
        <v>2.8308999931455206E-2</v>
      </c>
      <c r="M295" s="9" t="s">
        <v>22</v>
      </c>
    </row>
    <row r="296" spans="1:13" ht="14.25" customHeight="1" x14ac:dyDescent="0.3">
      <c r="A296" s="6" t="s">
        <v>262</v>
      </c>
      <c r="B296" s="7" t="s">
        <v>17</v>
      </c>
      <c r="C296" s="8">
        <v>45523</v>
      </c>
      <c r="D296" s="7" t="s">
        <v>24</v>
      </c>
      <c r="E296" s="7" t="s">
        <v>351</v>
      </c>
      <c r="F296" s="16">
        <v>3605</v>
      </c>
      <c r="G296" s="16">
        <v>206</v>
      </c>
      <c r="H296" s="20">
        <v>921</v>
      </c>
      <c r="I296" s="20">
        <v>852</v>
      </c>
      <c r="J296" s="24">
        <v>11660</v>
      </c>
      <c r="K296" s="20">
        <v>182635</v>
      </c>
      <c r="L296" s="31">
        <f t="shared" si="4"/>
        <v>2.590960111698196E-2</v>
      </c>
      <c r="M296" s="9" t="s">
        <v>25</v>
      </c>
    </row>
    <row r="297" spans="1:13" ht="14.25" customHeight="1" x14ac:dyDescent="0.3">
      <c r="A297" s="6" t="s">
        <v>67</v>
      </c>
      <c r="B297" s="7" t="s">
        <v>13</v>
      </c>
      <c r="C297" s="8">
        <v>45915</v>
      </c>
      <c r="D297" s="7" t="s">
        <v>21</v>
      </c>
      <c r="E297" s="7" t="s">
        <v>344</v>
      </c>
      <c r="F297" s="16">
        <v>5636</v>
      </c>
      <c r="G297" s="16">
        <v>303</v>
      </c>
      <c r="H297" s="20">
        <v>204</v>
      </c>
      <c r="I297" s="20">
        <v>2480</v>
      </c>
      <c r="J297" s="24">
        <v>7377</v>
      </c>
      <c r="K297" s="20">
        <v>241207</v>
      </c>
      <c r="L297" s="31">
        <f t="shared" si="4"/>
        <v>2.5467751765081443E-2</v>
      </c>
      <c r="M297" s="9" t="s">
        <v>18</v>
      </c>
    </row>
    <row r="298" spans="1:13" ht="14.25" customHeight="1" x14ac:dyDescent="0.3">
      <c r="A298" s="6" t="s">
        <v>104</v>
      </c>
      <c r="B298" s="7" t="s">
        <v>17</v>
      </c>
      <c r="C298" s="8">
        <v>45460</v>
      </c>
      <c r="D298" s="7" t="s">
        <v>14</v>
      </c>
      <c r="E298" s="7" t="s">
        <v>347</v>
      </c>
      <c r="F298" s="16">
        <v>3252</v>
      </c>
      <c r="G298" s="16">
        <v>1043</v>
      </c>
      <c r="H298" s="20">
        <v>647</v>
      </c>
      <c r="I298" s="20">
        <v>1545</v>
      </c>
      <c r="J298" s="24">
        <v>18859</v>
      </c>
      <c r="K298" s="20">
        <v>222958</v>
      </c>
      <c r="L298" s="31">
        <f t="shared" si="4"/>
        <v>2.2165609666394567E-2</v>
      </c>
      <c r="M298" s="9" t="s">
        <v>15</v>
      </c>
    </row>
    <row r="299" spans="1:13" ht="14.25" customHeight="1" x14ac:dyDescent="0.3">
      <c r="A299" s="6" t="s">
        <v>214</v>
      </c>
      <c r="B299" s="7" t="s">
        <v>13</v>
      </c>
      <c r="C299" s="8">
        <v>45449</v>
      </c>
      <c r="D299" s="7" t="s">
        <v>30</v>
      </c>
      <c r="E299" s="7" t="s">
        <v>352</v>
      </c>
      <c r="F299" s="16">
        <v>3531</v>
      </c>
      <c r="G299" s="16">
        <v>789</v>
      </c>
      <c r="H299" s="20">
        <v>467</v>
      </c>
      <c r="I299" s="20">
        <v>1867</v>
      </c>
      <c r="J299" s="24">
        <v>40816</v>
      </c>
      <c r="K299" s="20">
        <v>236037</v>
      </c>
      <c r="L299" s="31">
        <f t="shared" si="4"/>
        <v>2.0280718700881641E-2</v>
      </c>
      <c r="M299" s="9" t="s">
        <v>22</v>
      </c>
    </row>
    <row r="300" spans="1:13" ht="14.25" customHeight="1" x14ac:dyDescent="0.3">
      <c r="A300" s="6" t="s">
        <v>23</v>
      </c>
      <c r="B300" s="7" t="s">
        <v>13</v>
      </c>
      <c r="C300" s="8">
        <v>45516</v>
      </c>
      <c r="D300" s="7" t="s">
        <v>24</v>
      </c>
      <c r="E300" s="7" t="s">
        <v>346</v>
      </c>
      <c r="F300" s="16">
        <v>3581</v>
      </c>
      <c r="G300" s="16">
        <v>517</v>
      </c>
      <c r="H300" s="20">
        <v>880</v>
      </c>
      <c r="I300" s="20">
        <v>1925</v>
      </c>
      <c r="J300" s="24">
        <v>18636</v>
      </c>
      <c r="K300" s="20">
        <v>248611</v>
      </c>
      <c r="L300" s="31">
        <f t="shared" si="4"/>
        <v>2.0023249172401864E-2</v>
      </c>
      <c r="M300" s="9" t="s">
        <v>25</v>
      </c>
    </row>
    <row r="301" spans="1:13" ht="14.25" customHeight="1" x14ac:dyDescent="0.3">
      <c r="A301" s="10" t="s">
        <v>193</v>
      </c>
      <c r="B301" s="11" t="s">
        <v>17</v>
      </c>
      <c r="C301" s="12">
        <v>45624</v>
      </c>
      <c r="D301" s="11" t="s">
        <v>30</v>
      </c>
      <c r="E301" s="11" t="s">
        <v>350</v>
      </c>
      <c r="F301" s="17">
        <v>2302</v>
      </c>
      <c r="G301" s="17">
        <v>347</v>
      </c>
      <c r="H301" s="21">
        <v>642</v>
      </c>
      <c r="I301" s="21">
        <v>2175</v>
      </c>
      <c r="J301" s="25">
        <v>56378</v>
      </c>
      <c r="K301" s="21">
        <v>198056</v>
      </c>
      <c r="L301" s="32">
        <f t="shared" si="4"/>
        <v>1.6616512501514722E-2</v>
      </c>
      <c r="M301" s="13" t="s">
        <v>38</v>
      </c>
    </row>
  </sheetData>
  <conditionalFormatting sqref="A1:A1048576">
    <cfRule type="duplicateValues" dxfId="42" priority="1"/>
  </conditionalFormatting>
  <pageMargins left="0.75" right="0.75" top="1" bottom="1" header="0" footer="0"/>
  <pageSetup orientation="landscape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2164-4475-4436-B692-08221C3605B4}">
  <dimension ref="A3:B9"/>
  <sheetViews>
    <sheetView workbookViewId="0">
      <selection activeCell="A3" sqref="A3:B8"/>
    </sheetView>
  </sheetViews>
  <sheetFormatPr defaultRowHeight="14.4" x14ac:dyDescent="0.3"/>
  <cols>
    <col min="1" max="1" width="10.77734375" bestFit="1" customWidth="1"/>
    <col min="2" max="2" width="27" bestFit="1" customWidth="1"/>
  </cols>
  <sheetData>
    <row r="3" spans="1:2" x14ac:dyDescent="0.3">
      <c r="A3" s="37" t="s">
        <v>1</v>
      </c>
      <c r="B3" t="s">
        <v>378</v>
      </c>
    </row>
    <row r="4" spans="1:2" x14ac:dyDescent="0.3">
      <c r="A4" s="38" t="s">
        <v>20</v>
      </c>
      <c r="B4" s="39">
        <v>0.61356499711706247</v>
      </c>
    </row>
    <row r="5" spans="1:2" x14ac:dyDescent="0.3">
      <c r="A5" s="38" t="s">
        <v>17</v>
      </c>
      <c r="B5" s="39">
        <v>0.51857546128611121</v>
      </c>
    </row>
    <row r="6" spans="1:2" x14ac:dyDescent="0.3">
      <c r="A6" s="38" t="s">
        <v>34</v>
      </c>
      <c r="B6" s="39">
        <v>0.72951117073437088</v>
      </c>
    </row>
    <row r="7" spans="1:2" x14ac:dyDescent="0.3">
      <c r="A7" s="38" t="s">
        <v>13</v>
      </c>
      <c r="B7" s="39">
        <v>0.58195537618744697</v>
      </c>
    </row>
    <row r="8" spans="1:2" x14ac:dyDescent="0.3">
      <c r="A8" s="38" t="s">
        <v>363</v>
      </c>
      <c r="B8" s="39" t="e">
        <v>#DIV/0!</v>
      </c>
    </row>
    <row r="9" spans="1:2" x14ac:dyDescent="0.3">
      <c r="A9" s="38" t="s">
        <v>364</v>
      </c>
      <c r="B9" s="39" t="e">
        <v>#DIV/0!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E1" workbookViewId="0">
      <selection activeCell="G10" sqref="A2:J1000"/>
    </sheetView>
  </sheetViews>
  <sheetFormatPr defaultColWidth="14.44140625" defaultRowHeight="15" customHeight="1" x14ac:dyDescent="0.3"/>
  <cols>
    <col min="1" max="1" width="30.33203125" style="79" customWidth="1"/>
    <col min="2" max="2" width="11.109375" customWidth="1"/>
    <col min="3" max="3" width="15.88671875" style="18" customWidth="1"/>
    <col min="4" max="4" width="13.44140625" style="18" customWidth="1"/>
    <col min="5" max="5" width="21.109375" style="18" customWidth="1"/>
    <col min="6" max="6" width="20.88671875" style="84" bestFit="1" customWidth="1"/>
    <col min="7" max="7" width="26.6640625" style="84" bestFit="1" customWidth="1"/>
    <col min="8" max="8" width="24.77734375" style="39" bestFit="1" customWidth="1"/>
    <col min="9" max="9" width="24.77734375" style="39" customWidth="1"/>
    <col min="10" max="10" width="15" bestFit="1" customWidth="1"/>
    <col min="11" max="27" width="8.6640625" customWidth="1"/>
  </cols>
  <sheetData>
    <row r="1" spans="1:10" ht="14.25" customHeight="1" x14ac:dyDescent="0.3">
      <c r="A1" s="75" t="s">
        <v>327</v>
      </c>
      <c r="B1" s="3" t="s">
        <v>1</v>
      </c>
      <c r="C1" s="15" t="s">
        <v>328</v>
      </c>
      <c r="D1" s="15" t="s">
        <v>329</v>
      </c>
      <c r="E1" s="15" t="s">
        <v>330</v>
      </c>
      <c r="F1" s="80" t="s">
        <v>331</v>
      </c>
      <c r="G1" s="93" t="s">
        <v>403</v>
      </c>
      <c r="H1" s="57" t="s">
        <v>377</v>
      </c>
      <c r="I1" s="57" t="s">
        <v>400</v>
      </c>
      <c r="J1" s="26" t="s">
        <v>332</v>
      </c>
    </row>
    <row r="2" spans="1:10" ht="14.25" customHeight="1" x14ac:dyDescent="0.3">
      <c r="A2" s="76">
        <v>45446</v>
      </c>
      <c r="B2" s="7" t="s">
        <v>20</v>
      </c>
      <c r="C2" s="16">
        <v>4138</v>
      </c>
      <c r="D2" s="16">
        <v>361</v>
      </c>
      <c r="E2" s="16">
        <v>103777</v>
      </c>
      <c r="F2" s="81">
        <v>56.637790647253247</v>
      </c>
      <c r="G2" s="94">
        <f t="shared" ref="G2:G65" si="0">C2-D2</f>
        <v>3777</v>
      </c>
      <c r="H2" s="58">
        <f t="shared" ref="H2:H33" si="1">(C2-D2)/E2</f>
        <v>3.6395347716738774E-2</v>
      </c>
      <c r="I2" s="58">
        <f t="shared" ref="I2:I65" si="2">(C2 - D2) / (E2 - C2)</f>
        <v>3.7906843705777855E-2</v>
      </c>
      <c r="J2" s="27">
        <v>23944</v>
      </c>
    </row>
    <row r="3" spans="1:10" ht="14.25" customHeight="1" x14ac:dyDescent="0.3">
      <c r="A3" s="76">
        <v>45453</v>
      </c>
      <c r="B3" s="7" t="s">
        <v>20</v>
      </c>
      <c r="C3" s="16">
        <v>7721</v>
      </c>
      <c r="D3" s="16">
        <v>506</v>
      </c>
      <c r="E3" s="16">
        <v>134418</v>
      </c>
      <c r="F3" s="81">
        <v>35.577824398518047</v>
      </c>
      <c r="G3" s="94">
        <f t="shared" si="0"/>
        <v>7215</v>
      </c>
      <c r="H3" s="58">
        <f t="shared" si="1"/>
        <v>5.3675846984778827E-2</v>
      </c>
      <c r="I3" s="58">
        <f t="shared" si="2"/>
        <v>5.6946889034468061E-2</v>
      </c>
      <c r="J3" s="27">
        <v>25379</v>
      </c>
    </row>
    <row r="4" spans="1:10" ht="14.25" customHeight="1" x14ac:dyDescent="0.3">
      <c r="A4" s="76">
        <v>45460</v>
      </c>
      <c r="B4" s="7" t="s">
        <v>20</v>
      </c>
      <c r="C4" s="16">
        <v>8373</v>
      </c>
      <c r="D4" s="16">
        <v>921</v>
      </c>
      <c r="E4" s="16">
        <v>157717</v>
      </c>
      <c r="F4" s="81">
        <v>12.2263294381709</v>
      </c>
      <c r="G4" s="94">
        <f t="shared" si="0"/>
        <v>7452</v>
      </c>
      <c r="H4" s="58">
        <f t="shared" si="1"/>
        <v>4.7249186834646864E-2</v>
      </c>
      <c r="I4" s="58">
        <f t="shared" si="2"/>
        <v>4.9898221555603174E-2</v>
      </c>
      <c r="J4" s="27">
        <v>15110</v>
      </c>
    </row>
    <row r="5" spans="1:10" ht="14.25" customHeight="1" x14ac:dyDescent="0.3">
      <c r="A5" s="76">
        <v>45460</v>
      </c>
      <c r="B5" s="7" t="s">
        <v>20</v>
      </c>
      <c r="C5" s="16">
        <v>6656</v>
      </c>
      <c r="D5" s="16">
        <v>978</v>
      </c>
      <c r="E5" s="16">
        <v>176196</v>
      </c>
      <c r="F5" s="81">
        <v>60.425889350496043</v>
      </c>
      <c r="G5" s="94">
        <f t="shared" si="0"/>
        <v>5678</v>
      </c>
      <c r="H5" s="58">
        <f t="shared" si="1"/>
        <v>3.2225476174260484E-2</v>
      </c>
      <c r="I5" s="58">
        <f t="shared" si="2"/>
        <v>3.3490621682198893E-2</v>
      </c>
      <c r="J5" s="27">
        <v>27081</v>
      </c>
    </row>
    <row r="6" spans="1:10" ht="14.25" customHeight="1" x14ac:dyDescent="0.3">
      <c r="A6" s="76">
        <v>45467</v>
      </c>
      <c r="B6" s="7" t="s">
        <v>20</v>
      </c>
      <c r="C6" s="16">
        <v>5259</v>
      </c>
      <c r="D6" s="16">
        <v>374</v>
      </c>
      <c r="E6" s="16">
        <v>189735</v>
      </c>
      <c r="F6" s="81">
        <v>14.827522597306769</v>
      </c>
      <c r="G6" s="94">
        <f t="shared" si="0"/>
        <v>4885</v>
      </c>
      <c r="H6" s="58">
        <f t="shared" si="1"/>
        <v>2.5746435818378266E-2</v>
      </c>
      <c r="I6" s="58">
        <f t="shared" si="2"/>
        <v>2.6480409375745355E-2</v>
      </c>
      <c r="J6" s="27">
        <v>19596</v>
      </c>
    </row>
    <row r="7" spans="1:10" ht="14.25" customHeight="1" x14ac:dyDescent="0.3">
      <c r="A7" s="76">
        <v>45474</v>
      </c>
      <c r="B7" s="7" t="s">
        <v>20</v>
      </c>
      <c r="C7" s="16">
        <v>3530</v>
      </c>
      <c r="D7" s="16">
        <v>328</v>
      </c>
      <c r="E7" s="16">
        <v>221925</v>
      </c>
      <c r="F7" s="81">
        <v>12.8372197814577</v>
      </c>
      <c r="G7" s="94">
        <f t="shared" si="0"/>
        <v>3202</v>
      </c>
      <c r="H7" s="58">
        <f t="shared" si="1"/>
        <v>1.4428297848372199E-2</v>
      </c>
      <c r="I7" s="58">
        <f t="shared" si="2"/>
        <v>1.4661507818402437E-2</v>
      </c>
      <c r="J7" s="27">
        <v>11013</v>
      </c>
    </row>
    <row r="8" spans="1:10" ht="14.25" customHeight="1" x14ac:dyDescent="0.3">
      <c r="A8" s="76">
        <v>45474</v>
      </c>
      <c r="B8" s="7" t="s">
        <v>20</v>
      </c>
      <c r="C8" s="16">
        <v>2960</v>
      </c>
      <c r="D8" s="16">
        <v>234</v>
      </c>
      <c r="E8" s="16">
        <v>224651</v>
      </c>
      <c r="F8" s="81">
        <v>17.41278694508371</v>
      </c>
      <c r="G8" s="94">
        <f t="shared" si="0"/>
        <v>2726</v>
      </c>
      <c r="H8" s="58">
        <f t="shared" si="1"/>
        <v>1.213437732304775E-2</v>
      </c>
      <c r="I8" s="58">
        <f t="shared" si="2"/>
        <v>1.2296394531126659E-2</v>
      </c>
      <c r="J8" s="27">
        <v>59378</v>
      </c>
    </row>
    <row r="9" spans="1:10" ht="14.25" customHeight="1" x14ac:dyDescent="0.3">
      <c r="A9" s="76">
        <v>45488</v>
      </c>
      <c r="B9" s="7" t="s">
        <v>20</v>
      </c>
      <c r="C9" s="16">
        <v>3964</v>
      </c>
      <c r="D9" s="16">
        <v>378</v>
      </c>
      <c r="E9" s="16">
        <v>246766</v>
      </c>
      <c r="F9" s="81">
        <v>13.6355899921383</v>
      </c>
      <c r="G9" s="94">
        <f t="shared" si="0"/>
        <v>3586</v>
      </c>
      <c r="H9" s="58">
        <f t="shared" si="1"/>
        <v>1.453198576789347E-2</v>
      </c>
      <c r="I9" s="58">
        <f t="shared" si="2"/>
        <v>1.4769235838255039E-2</v>
      </c>
      <c r="J9" s="27">
        <v>23109</v>
      </c>
    </row>
    <row r="10" spans="1:10" ht="14.25" customHeight="1" x14ac:dyDescent="0.3">
      <c r="A10" s="76">
        <v>45488</v>
      </c>
      <c r="B10" s="7" t="s">
        <v>20</v>
      </c>
      <c r="C10" s="16">
        <v>1536</v>
      </c>
      <c r="D10" s="16">
        <v>155</v>
      </c>
      <c r="E10" s="16">
        <v>257065</v>
      </c>
      <c r="F10" s="81">
        <v>12.15762550327738</v>
      </c>
      <c r="G10" s="94">
        <f t="shared" si="0"/>
        <v>1381</v>
      </c>
      <c r="H10" s="58">
        <f t="shared" si="1"/>
        <v>5.3721821329235798E-3</v>
      </c>
      <c r="I10" s="58">
        <f t="shared" si="2"/>
        <v>5.4044746388863885E-3</v>
      </c>
      <c r="J10" s="27">
        <v>36661</v>
      </c>
    </row>
    <row r="11" spans="1:10" ht="14.25" customHeight="1" x14ac:dyDescent="0.3">
      <c r="A11" s="76">
        <v>45509</v>
      </c>
      <c r="B11" s="7" t="s">
        <v>20</v>
      </c>
      <c r="C11" s="16">
        <v>3494</v>
      </c>
      <c r="D11" s="16">
        <v>281</v>
      </c>
      <c r="E11" s="16">
        <v>309517</v>
      </c>
      <c r="F11" s="81">
        <v>27.765518533715429</v>
      </c>
      <c r="G11" s="94">
        <f t="shared" si="0"/>
        <v>3213</v>
      </c>
      <c r="H11" s="58">
        <f t="shared" si="1"/>
        <v>1.0380689913639638E-2</v>
      </c>
      <c r="I11" s="58">
        <f t="shared" si="2"/>
        <v>1.0499210843629401E-2</v>
      </c>
      <c r="J11" s="27">
        <v>39197</v>
      </c>
    </row>
    <row r="12" spans="1:10" ht="14.25" customHeight="1" x14ac:dyDescent="0.3">
      <c r="A12" s="76">
        <v>45516</v>
      </c>
      <c r="B12" s="7" t="s">
        <v>20</v>
      </c>
      <c r="C12" s="16">
        <v>7610</v>
      </c>
      <c r="D12" s="16">
        <v>757</v>
      </c>
      <c r="E12" s="16">
        <v>333052</v>
      </c>
      <c r="F12" s="81">
        <v>44.450416151231643</v>
      </c>
      <c r="G12" s="94">
        <f t="shared" si="0"/>
        <v>6853</v>
      </c>
      <c r="H12" s="58">
        <f t="shared" si="1"/>
        <v>2.0576366453286574E-2</v>
      </c>
      <c r="I12" s="58">
        <f t="shared" si="2"/>
        <v>2.1057515624903978E-2</v>
      </c>
      <c r="J12" s="27">
        <v>39750</v>
      </c>
    </row>
    <row r="13" spans="1:10" ht="14.25" customHeight="1" x14ac:dyDescent="0.3">
      <c r="A13" s="76">
        <v>45523</v>
      </c>
      <c r="B13" s="7" t="s">
        <v>20</v>
      </c>
      <c r="C13" s="16">
        <v>7488</v>
      </c>
      <c r="D13" s="16">
        <v>568</v>
      </c>
      <c r="E13" s="16">
        <v>354010</v>
      </c>
      <c r="F13" s="81">
        <v>13.47730290104799</v>
      </c>
      <c r="G13" s="94">
        <f t="shared" si="0"/>
        <v>6920</v>
      </c>
      <c r="H13" s="58">
        <f t="shared" si="1"/>
        <v>1.9547470410440384E-2</v>
      </c>
      <c r="I13" s="58">
        <f t="shared" si="2"/>
        <v>1.9969872042756305E-2</v>
      </c>
      <c r="J13" s="27">
        <v>46727</v>
      </c>
    </row>
    <row r="14" spans="1:10" ht="14.25" customHeight="1" x14ac:dyDescent="0.3">
      <c r="A14" s="76">
        <v>45523</v>
      </c>
      <c r="B14" s="7" t="s">
        <v>20</v>
      </c>
      <c r="C14" s="16">
        <v>7525</v>
      </c>
      <c r="D14" s="16">
        <v>610</v>
      </c>
      <c r="E14" s="16">
        <v>365996</v>
      </c>
      <c r="F14" s="81">
        <v>5.7694619613329108</v>
      </c>
      <c r="G14" s="94">
        <f t="shared" si="0"/>
        <v>6915</v>
      </c>
      <c r="H14" s="58">
        <f t="shared" si="1"/>
        <v>1.8893649110919244E-2</v>
      </c>
      <c r="I14" s="58">
        <f t="shared" si="2"/>
        <v>1.9290263368584908E-2</v>
      </c>
      <c r="J14" s="27">
        <v>53543</v>
      </c>
    </row>
    <row r="15" spans="1:10" ht="14.25" customHeight="1" x14ac:dyDescent="0.3">
      <c r="A15" s="76">
        <v>45530</v>
      </c>
      <c r="B15" s="7" t="s">
        <v>20</v>
      </c>
      <c r="C15" s="16">
        <v>9648</v>
      </c>
      <c r="D15" s="16">
        <v>1417</v>
      </c>
      <c r="E15" s="16">
        <v>385849</v>
      </c>
      <c r="F15" s="81">
        <v>3.6633501706626168</v>
      </c>
      <c r="G15" s="94">
        <f t="shared" si="0"/>
        <v>8231</v>
      </c>
      <c r="H15" s="58">
        <f t="shared" si="1"/>
        <v>2.1332179168534842E-2</v>
      </c>
      <c r="I15" s="58">
        <f t="shared" si="2"/>
        <v>2.1879261352309005E-2</v>
      </c>
      <c r="J15" s="27">
        <v>24226</v>
      </c>
    </row>
    <row r="16" spans="1:10" ht="14.25" customHeight="1" x14ac:dyDescent="0.3">
      <c r="A16" s="76">
        <v>45537</v>
      </c>
      <c r="B16" s="7" t="s">
        <v>20</v>
      </c>
      <c r="C16" s="16">
        <v>6448</v>
      </c>
      <c r="D16" s="16">
        <v>928</v>
      </c>
      <c r="E16" s="16">
        <v>396672</v>
      </c>
      <c r="F16" s="81">
        <v>30.118586640851881</v>
      </c>
      <c r="G16" s="94">
        <f t="shared" si="0"/>
        <v>5520</v>
      </c>
      <c r="H16" s="58">
        <f t="shared" si="1"/>
        <v>1.3915779283639884E-2</v>
      </c>
      <c r="I16" s="58">
        <f t="shared" si="2"/>
        <v>1.4145721431793021E-2</v>
      </c>
      <c r="J16" s="27">
        <v>53922</v>
      </c>
    </row>
    <row r="17" spans="1:10" ht="14.25" customHeight="1" x14ac:dyDescent="0.3">
      <c r="A17" s="76">
        <v>45537</v>
      </c>
      <c r="B17" s="7" t="s">
        <v>20</v>
      </c>
      <c r="C17" s="16">
        <v>2179</v>
      </c>
      <c r="D17" s="16">
        <v>303</v>
      </c>
      <c r="E17" s="16">
        <v>398548</v>
      </c>
      <c r="F17" s="81">
        <v>33.909842729106657</v>
      </c>
      <c r="G17" s="94">
        <f t="shared" si="0"/>
        <v>1876</v>
      </c>
      <c r="H17" s="58">
        <f t="shared" si="1"/>
        <v>4.7070867248110645E-3</v>
      </c>
      <c r="I17" s="58">
        <f t="shared" si="2"/>
        <v>4.7329634759529634E-3</v>
      </c>
      <c r="J17" s="27">
        <v>54848</v>
      </c>
    </row>
    <row r="18" spans="1:10" ht="14.25" customHeight="1" x14ac:dyDescent="0.3">
      <c r="A18" s="76">
        <v>45544</v>
      </c>
      <c r="B18" s="7" t="s">
        <v>20</v>
      </c>
      <c r="C18" s="16">
        <v>7907</v>
      </c>
      <c r="D18" s="16">
        <v>465</v>
      </c>
      <c r="E18" s="16">
        <v>420811</v>
      </c>
      <c r="F18" s="81">
        <v>33.257448118038738</v>
      </c>
      <c r="G18" s="94">
        <f t="shared" si="0"/>
        <v>7442</v>
      </c>
      <c r="H18" s="58">
        <f t="shared" si="1"/>
        <v>1.76848989213685E-2</v>
      </c>
      <c r="I18" s="58">
        <f t="shared" si="2"/>
        <v>1.8023559955825084E-2</v>
      </c>
      <c r="J18" s="27">
        <v>22693</v>
      </c>
    </row>
    <row r="19" spans="1:10" ht="14.25" customHeight="1" x14ac:dyDescent="0.3">
      <c r="A19" s="76">
        <v>45558</v>
      </c>
      <c r="B19" s="7" t="s">
        <v>20</v>
      </c>
      <c r="C19" s="16">
        <v>1419</v>
      </c>
      <c r="D19" s="16">
        <v>110</v>
      </c>
      <c r="E19" s="16">
        <v>455286</v>
      </c>
      <c r="F19" s="81">
        <v>31.554451487636339</v>
      </c>
      <c r="G19" s="94">
        <f t="shared" si="0"/>
        <v>1309</v>
      </c>
      <c r="H19" s="58">
        <f t="shared" si="1"/>
        <v>2.8751158612388694E-3</v>
      </c>
      <c r="I19" s="58">
        <f t="shared" si="2"/>
        <v>2.88410481484664E-3</v>
      </c>
      <c r="J19" s="27">
        <v>58831</v>
      </c>
    </row>
    <row r="20" spans="1:10" ht="14.25" customHeight="1" x14ac:dyDescent="0.3">
      <c r="A20" s="76">
        <v>45558</v>
      </c>
      <c r="B20" s="7" t="s">
        <v>20</v>
      </c>
      <c r="C20" s="16">
        <v>4302</v>
      </c>
      <c r="D20" s="16">
        <v>275</v>
      </c>
      <c r="E20" s="16">
        <v>464255</v>
      </c>
      <c r="F20" s="81">
        <v>15.72131694865968</v>
      </c>
      <c r="G20" s="94">
        <f t="shared" si="0"/>
        <v>4027</v>
      </c>
      <c r="H20" s="58">
        <f t="shared" si="1"/>
        <v>8.6741122874282456E-3</v>
      </c>
      <c r="I20" s="58">
        <f t="shared" si="2"/>
        <v>8.7552423834609192E-3</v>
      </c>
      <c r="J20" s="27">
        <v>26044</v>
      </c>
    </row>
    <row r="21" spans="1:10" ht="14.25" customHeight="1" x14ac:dyDescent="0.3">
      <c r="A21" s="76">
        <v>45558</v>
      </c>
      <c r="B21" s="7" t="s">
        <v>20</v>
      </c>
      <c r="C21" s="16">
        <v>8857</v>
      </c>
      <c r="D21" s="16">
        <v>1153</v>
      </c>
      <c r="E21" s="16">
        <v>471959</v>
      </c>
      <c r="F21" s="81">
        <v>19.214592793018038</v>
      </c>
      <c r="G21" s="94">
        <f t="shared" si="0"/>
        <v>7704</v>
      </c>
      <c r="H21" s="58">
        <f t="shared" si="1"/>
        <v>1.6323451825264481E-2</v>
      </c>
      <c r="I21" s="58">
        <f t="shared" si="2"/>
        <v>1.6635643983398906E-2</v>
      </c>
      <c r="J21" s="27">
        <v>39411</v>
      </c>
    </row>
    <row r="22" spans="1:10" ht="14.25" customHeight="1" x14ac:dyDescent="0.3">
      <c r="A22" s="76">
        <v>45565</v>
      </c>
      <c r="B22" s="7" t="s">
        <v>20</v>
      </c>
      <c r="C22" s="16">
        <v>8870</v>
      </c>
      <c r="D22" s="16">
        <v>509</v>
      </c>
      <c r="E22" s="16">
        <v>480320</v>
      </c>
      <c r="F22" s="81">
        <v>25.077864756828781</v>
      </c>
      <c r="G22" s="94">
        <f t="shared" si="0"/>
        <v>8361</v>
      </c>
      <c r="H22" s="58">
        <f t="shared" si="1"/>
        <v>1.7407145236508995E-2</v>
      </c>
      <c r="I22" s="58">
        <f t="shared" si="2"/>
        <v>1.7734648425071588E-2</v>
      </c>
      <c r="J22" s="27">
        <v>15469</v>
      </c>
    </row>
    <row r="23" spans="1:10" ht="14.25" customHeight="1" x14ac:dyDescent="0.3">
      <c r="A23" s="76">
        <v>45565</v>
      </c>
      <c r="B23" s="7" t="s">
        <v>20</v>
      </c>
      <c r="C23" s="16">
        <v>1767</v>
      </c>
      <c r="D23" s="16">
        <v>224</v>
      </c>
      <c r="E23" s="16">
        <v>487561</v>
      </c>
      <c r="F23" s="81">
        <v>13.208603641390511</v>
      </c>
      <c r="G23" s="94">
        <f t="shared" si="0"/>
        <v>1543</v>
      </c>
      <c r="H23" s="58">
        <f t="shared" si="1"/>
        <v>3.1647322078673231E-3</v>
      </c>
      <c r="I23" s="58">
        <f t="shared" si="2"/>
        <v>3.1762434282844166E-3</v>
      </c>
      <c r="J23" s="27">
        <v>16256</v>
      </c>
    </row>
    <row r="24" spans="1:10" ht="14.25" customHeight="1" x14ac:dyDescent="0.3">
      <c r="A24" s="76">
        <v>45572</v>
      </c>
      <c r="B24" s="7" t="s">
        <v>20</v>
      </c>
      <c r="C24" s="16">
        <v>5481</v>
      </c>
      <c r="D24" s="16">
        <v>673</v>
      </c>
      <c r="E24" s="16">
        <v>507970</v>
      </c>
      <c r="F24" s="81">
        <v>13.08758391243577</v>
      </c>
      <c r="G24" s="94">
        <f t="shared" si="0"/>
        <v>4808</v>
      </c>
      <c r="H24" s="58">
        <f t="shared" si="1"/>
        <v>9.4651258932614123E-3</v>
      </c>
      <c r="I24" s="58">
        <f t="shared" si="2"/>
        <v>9.5683686608065057E-3</v>
      </c>
      <c r="J24" s="27">
        <v>29194</v>
      </c>
    </row>
    <row r="25" spans="1:10" ht="14.25" customHeight="1" x14ac:dyDescent="0.3">
      <c r="A25" s="76">
        <v>45586</v>
      </c>
      <c r="B25" s="7" t="s">
        <v>20</v>
      </c>
      <c r="C25" s="16">
        <v>8758</v>
      </c>
      <c r="D25" s="16">
        <v>1193</v>
      </c>
      <c r="E25" s="16">
        <v>538906</v>
      </c>
      <c r="F25" s="81">
        <v>3.4213758985797149</v>
      </c>
      <c r="G25" s="94">
        <f t="shared" si="0"/>
        <v>7565</v>
      </c>
      <c r="H25" s="58">
        <f t="shared" si="1"/>
        <v>1.4037698596786824E-2</v>
      </c>
      <c r="I25" s="58">
        <f t="shared" si="2"/>
        <v>1.426960018711756E-2</v>
      </c>
      <c r="J25" s="27">
        <v>26184</v>
      </c>
    </row>
    <row r="26" spans="1:10" ht="14.25" customHeight="1" x14ac:dyDescent="0.3">
      <c r="A26" s="76">
        <v>45586</v>
      </c>
      <c r="B26" s="7" t="s">
        <v>20</v>
      </c>
      <c r="C26" s="16">
        <v>8638</v>
      </c>
      <c r="D26" s="16">
        <v>717</v>
      </c>
      <c r="E26" s="16">
        <v>553745</v>
      </c>
      <c r="F26" s="81">
        <v>26.921416897669499</v>
      </c>
      <c r="G26" s="94">
        <f t="shared" si="0"/>
        <v>7921</v>
      </c>
      <c r="H26" s="58">
        <f t="shared" si="1"/>
        <v>1.4304418098583283E-2</v>
      </c>
      <c r="I26" s="58">
        <f t="shared" si="2"/>
        <v>1.4531092060824756E-2</v>
      </c>
      <c r="J26" s="27">
        <v>31621</v>
      </c>
    </row>
    <row r="27" spans="1:10" ht="14.25" customHeight="1" x14ac:dyDescent="0.3">
      <c r="A27" s="76">
        <v>45586</v>
      </c>
      <c r="B27" s="7" t="s">
        <v>20</v>
      </c>
      <c r="C27" s="16">
        <v>8993</v>
      </c>
      <c r="D27" s="16">
        <v>506</v>
      </c>
      <c r="E27" s="16">
        <v>562232</v>
      </c>
      <c r="F27" s="81">
        <v>3.5131404829323132</v>
      </c>
      <c r="G27" s="94">
        <f t="shared" si="0"/>
        <v>8487</v>
      </c>
      <c r="H27" s="58">
        <f t="shared" si="1"/>
        <v>1.509519202037593E-2</v>
      </c>
      <c r="I27" s="58">
        <f t="shared" si="2"/>
        <v>1.5340567096679735E-2</v>
      </c>
      <c r="J27" s="27">
        <v>20028</v>
      </c>
    </row>
    <row r="28" spans="1:10" ht="14.25" customHeight="1" x14ac:dyDescent="0.3">
      <c r="A28" s="76">
        <v>45614</v>
      </c>
      <c r="B28" s="7" t="s">
        <v>20</v>
      </c>
      <c r="C28" s="16">
        <v>5798</v>
      </c>
      <c r="D28" s="16">
        <v>592</v>
      </c>
      <c r="E28" s="16">
        <v>631128</v>
      </c>
      <c r="F28" s="81">
        <v>1.6774727155188811</v>
      </c>
      <c r="G28" s="94">
        <f t="shared" si="0"/>
        <v>5206</v>
      </c>
      <c r="H28" s="58">
        <f t="shared" si="1"/>
        <v>8.2487229214992831E-3</v>
      </c>
      <c r="I28" s="58">
        <f t="shared" si="2"/>
        <v>8.3252042921337539E-3</v>
      </c>
      <c r="J28" s="27">
        <v>13471</v>
      </c>
    </row>
    <row r="29" spans="1:10" ht="14.25" customHeight="1" x14ac:dyDescent="0.3">
      <c r="A29" s="76">
        <v>45621</v>
      </c>
      <c r="B29" s="7" t="s">
        <v>20</v>
      </c>
      <c r="C29" s="16">
        <v>8961</v>
      </c>
      <c r="D29" s="16">
        <v>476</v>
      </c>
      <c r="E29" s="16">
        <v>655645</v>
      </c>
      <c r="F29" s="81">
        <v>15.458517947974901</v>
      </c>
      <c r="G29" s="94">
        <f t="shared" si="0"/>
        <v>8485</v>
      </c>
      <c r="H29" s="58">
        <f t="shared" si="1"/>
        <v>1.2941454598143812E-2</v>
      </c>
      <c r="I29" s="58">
        <f t="shared" si="2"/>
        <v>1.3120782329545807E-2</v>
      </c>
      <c r="J29" s="27">
        <v>44865</v>
      </c>
    </row>
    <row r="30" spans="1:10" ht="14.25" customHeight="1" x14ac:dyDescent="0.3">
      <c r="A30" s="76">
        <v>45621</v>
      </c>
      <c r="B30" s="7" t="s">
        <v>20</v>
      </c>
      <c r="C30" s="16">
        <v>6827</v>
      </c>
      <c r="D30" s="16">
        <v>775</v>
      </c>
      <c r="E30" s="16">
        <v>661697</v>
      </c>
      <c r="F30" s="81">
        <v>15.96622018839439</v>
      </c>
      <c r="G30" s="94">
        <f t="shared" si="0"/>
        <v>6052</v>
      </c>
      <c r="H30" s="58">
        <f t="shared" si="1"/>
        <v>9.1461802003031598E-3</v>
      </c>
      <c r="I30" s="58">
        <f t="shared" si="2"/>
        <v>9.2415288530548045E-3</v>
      </c>
      <c r="J30" s="27">
        <v>56850</v>
      </c>
    </row>
    <row r="31" spans="1:10" ht="14.25" customHeight="1" x14ac:dyDescent="0.3">
      <c r="A31" s="76">
        <v>45628</v>
      </c>
      <c r="B31" s="7" t="s">
        <v>20</v>
      </c>
      <c r="C31" s="16">
        <v>1593</v>
      </c>
      <c r="D31" s="16">
        <v>224</v>
      </c>
      <c r="E31" s="16">
        <v>677154</v>
      </c>
      <c r="F31" s="81">
        <v>4.1495730660972248</v>
      </c>
      <c r="G31" s="94">
        <f t="shared" si="0"/>
        <v>1369</v>
      </c>
      <c r="H31" s="58">
        <f t="shared" si="1"/>
        <v>2.0216966893793729E-3</v>
      </c>
      <c r="I31" s="58">
        <f t="shared" si="2"/>
        <v>2.0264639314584473E-3</v>
      </c>
      <c r="J31" s="27">
        <v>52845</v>
      </c>
    </row>
    <row r="32" spans="1:10" ht="14.25" customHeight="1" x14ac:dyDescent="0.3">
      <c r="A32" s="76">
        <v>45628</v>
      </c>
      <c r="B32" s="7" t="s">
        <v>20</v>
      </c>
      <c r="C32" s="16">
        <v>8394</v>
      </c>
      <c r="D32" s="16">
        <v>764</v>
      </c>
      <c r="E32" s="16">
        <v>690186</v>
      </c>
      <c r="F32" s="81">
        <v>6.3556780346167558</v>
      </c>
      <c r="G32" s="94">
        <f t="shared" si="0"/>
        <v>7630</v>
      </c>
      <c r="H32" s="58">
        <f t="shared" si="1"/>
        <v>1.1054990973447738E-2</v>
      </c>
      <c r="I32" s="58">
        <f t="shared" si="2"/>
        <v>1.119109640476861E-2</v>
      </c>
      <c r="J32" s="27">
        <v>42373</v>
      </c>
    </row>
    <row r="33" spans="1:10" ht="14.25" customHeight="1" x14ac:dyDescent="0.3">
      <c r="A33" s="76">
        <v>45635</v>
      </c>
      <c r="B33" s="7" t="s">
        <v>20</v>
      </c>
      <c r="C33" s="16">
        <v>3672</v>
      </c>
      <c r="D33" s="16">
        <v>211</v>
      </c>
      <c r="E33" s="16">
        <v>704218</v>
      </c>
      <c r="F33" s="81">
        <v>12.35057894004413</v>
      </c>
      <c r="G33" s="94">
        <f t="shared" si="0"/>
        <v>3461</v>
      </c>
      <c r="H33" s="58">
        <f t="shared" si="1"/>
        <v>4.9146713091684675E-3</v>
      </c>
      <c r="I33" s="58">
        <f t="shared" si="2"/>
        <v>4.9404321771875084E-3</v>
      </c>
      <c r="J33" s="27">
        <v>28284</v>
      </c>
    </row>
    <row r="34" spans="1:10" ht="14.25" customHeight="1" x14ac:dyDescent="0.3">
      <c r="A34" s="76">
        <v>45642</v>
      </c>
      <c r="B34" s="7" t="s">
        <v>20</v>
      </c>
      <c r="C34" s="16">
        <v>4191</v>
      </c>
      <c r="D34" s="16">
        <v>599</v>
      </c>
      <c r="E34" s="16">
        <v>713549</v>
      </c>
      <c r="F34" s="81">
        <v>11.56416728213479</v>
      </c>
      <c r="G34" s="94">
        <f t="shared" si="0"/>
        <v>3592</v>
      </c>
      <c r="H34" s="58">
        <f t="shared" ref="H34:H65" si="3">(C34-D34)/E34</f>
        <v>5.033992059410076E-3</v>
      </c>
      <c r="I34" s="58">
        <f t="shared" si="2"/>
        <v>5.0637336859526505E-3</v>
      </c>
      <c r="J34" s="27">
        <v>27833</v>
      </c>
    </row>
    <row r="35" spans="1:10" ht="14.25" customHeight="1" x14ac:dyDescent="0.3">
      <c r="A35" s="76">
        <v>45642</v>
      </c>
      <c r="B35" s="7" t="s">
        <v>20</v>
      </c>
      <c r="C35" s="16">
        <v>1392</v>
      </c>
      <c r="D35" s="16">
        <v>182</v>
      </c>
      <c r="E35" s="16">
        <v>714759</v>
      </c>
      <c r="F35" s="81">
        <v>5.9603306848881932</v>
      </c>
      <c r="G35" s="94">
        <f t="shared" si="0"/>
        <v>1210</v>
      </c>
      <c r="H35" s="58">
        <f t="shared" si="3"/>
        <v>1.6928782988391892E-3</v>
      </c>
      <c r="I35" s="58">
        <f t="shared" si="2"/>
        <v>1.6961816288109768E-3</v>
      </c>
      <c r="J35" s="27">
        <v>35122</v>
      </c>
    </row>
    <row r="36" spans="1:10" ht="14.25" customHeight="1" x14ac:dyDescent="0.3">
      <c r="A36" s="76">
        <v>45649</v>
      </c>
      <c r="B36" s="7" t="s">
        <v>20</v>
      </c>
      <c r="C36" s="16">
        <v>4631</v>
      </c>
      <c r="D36" s="16">
        <v>317</v>
      </c>
      <c r="E36" s="16">
        <v>735242</v>
      </c>
      <c r="F36" s="81">
        <v>1.381177897889402</v>
      </c>
      <c r="G36" s="94">
        <f t="shared" si="0"/>
        <v>4314</v>
      </c>
      <c r="H36" s="58">
        <f t="shared" si="3"/>
        <v>5.8674558852731479E-3</v>
      </c>
      <c r="I36" s="58">
        <f t="shared" si="2"/>
        <v>5.904646932498963E-3</v>
      </c>
      <c r="J36" s="27">
        <v>17999</v>
      </c>
    </row>
    <row r="37" spans="1:10" ht="14.25" customHeight="1" x14ac:dyDescent="0.3">
      <c r="A37" s="76">
        <v>45656</v>
      </c>
      <c r="B37" s="7" t="s">
        <v>20</v>
      </c>
      <c r="C37" s="16">
        <v>4897</v>
      </c>
      <c r="D37" s="16">
        <v>683</v>
      </c>
      <c r="E37" s="16">
        <v>761158</v>
      </c>
      <c r="F37" s="81">
        <v>15.06231294947961</v>
      </c>
      <c r="G37" s="94">
        <f t="shared" si="0"/>
        <v>4214</v>
      </c>
      <c r="H37" s="58">
        <f t="shared" si="3"/>
        <v>5.5363012672795921E-3</v>
      </c>
      <c r="I37" s="58">
        <f t="shared" si="2"/>
        <v>5.5721503554989615E-3</v>
      </c>
      <c r="J37" s="27">
        <v>58201</v>
      </c>
    </row>
    <row r="38" spans="1:10" ht="14.25" customHeight="1" x14ac:dyDescent="0.3">
      <c r="A38" s="76">
        <v>45670</v>
      </c>
      <c r="B38" s="7" t="s">
        <v>20</v>
      </c>
      <c r="C38" s="16">
        <v>3247</v>
      </c>
      <c r="D38" s="16">
        <v>328</v>
      </c>
      <c r="E38" s="16">
        <v>810061</v>
      </c>
      <c r="F38" s="81">
        <v>13.941172331466399</v>
      </c>
      <c r="G38" s="94">
        <f t="shared" si="0"/>
        <v>2919</v>
      </c>
      <c r="H38" s="58">
        <f t="shared" si="3"/>
        <v>3.6034323341081723E-3</v>
      </c>
      <c r="I38" s="58">
        <f t="shared" si="2"/>
        <v>3.6179342450676365E-3</v>
      </c>
      <c r="J38" s="27">
        <v>15105</v>
      </c>
    </row>
    <row r="39" spans="1:10" ht="14.25" customHeight="1" x14ac:dyDescent="0.3">
      <c r="A39" s="76">
        <v>45684</v>
      </c>
      <c r="B39" s="7" t="s">
        <v>20</v>
      </c>
      <c r="C39" s="16">
        <v>4271</v>
      </c>
      <c r="D39" s="16">
        <v>628</v>
      </c>
      <c r="E39" s="16">
        <v>868909</v>
      </c>
      <c r="F39" s="81">
        <v>11.124410036033691</v>
      </c>
      <c r="G39" s="94">
        <f t="shared" si="0"/>
        <v>3643</v>
      </c>
      <c r="H39" s="58">
        <f t="shared" si="3"/>
        <v>4.1926139561219876E-3</v>
      </c>
      <c r="I39" s="58">
        <f t="shared" si="2"/>
        <v>4.2133239575406125E-3</v>
      </c>
      <c r="J39" s="27">
        <v>47051</v>
      </c>
    </row>
    <row r="40" spans="1:10" ht="14.25" customHeight="1" x14ac:dyDescent="0.3">
      <c r="A40" s="76">
        <v>45705</v>
      </c>
      <c r="B40" s="7" t="s">
        <v>20</v>
      </c>
      <c r="C40" s="16">
        <v>6330</v>
      </c>
      <c r="D40" s="16">
        <v>891</v>
      </c>
      <c r="E40" s="16">
        <v>922914</v>
      </c>
      <c r="F40" s="81">
        <v>14.789893749580139</v>
      </c>
      <c r="G40" s="94">
        <f t="shared" si="0"/>
        <v>5439</v>
      </c>
      <c r="H40" s="58">
        <f t="shared" si="3"/>
        <v>5.8932901657142486E-3</v>
      </c>
      <c r="I40" s="58">
        <f t="shared" si="2"/>
        <v>5.9339896834332698E-3</v>
      </c>
      <c r="J40" s="27">
        <v>37037</v>
      </c>
    </row>
    <row r="41" spans="1:10" ht="14.25" customHeight="1" x14ac:dyDescent="0.3">
      <c r="A41" s="76">
        <v>45705</v>
      </c>
      <c r="B41" s="7" t="s">
        <v>20</v>
      </c>
      <c r="C41" s="16">
        <v>6510</v>
      </c>
      <c r="D41" s="16">
        <v>481</v>
      </c>
      <c r="E41" s="16">
        <v>928943</v>
      </c>
      <c r="F41" s="81">
        <v>2.3800168578696428</v>
      </c>
      <c r="G41" s="94">
        <f t="shared" si="0"/>
        <v>6029</v>
      </c>
      <c r="H41" s="58">
        <f t="shared" si="3"/>
        <v>6.4901721634158397E-3</v>
      </c>
      <c r="I41" s="58">
        <f t="shared" si="2"/>
        <v>6.5359760546294422E-3</v>
      </c>
      <c r="J41" s="27">
        <v>19557</v>
      </c>
    </row>
    <row r="42" spans="1:10" ht="14.25" customHeight="1" x14ac:dyDescent="0.3">
      <c r="A42" s="76">
        <v>45712</v>
      </c>
      <c r="B42" s="7" t="s">
        <v>20</v>
      </c>
      <c r="C42" s="16">
        <v>9754</v>
      </c>
      <c r="D42" s="16">
        <v>629</v>
      </c>
      <c r="E42" s="16">
        <v>938068</v>
      </c>
      <c r="F42" s="81">
        <v>3.4123325814333292</v>
      </c>
      <c r="G42" s="94">
        <f t="shared" si="0"/>
        <v>9125</v>
      </c>
      <c r="H42" s="58">
        <f t="shared" si="3"/>
        <v>9.7274398018054129E-3</v>
      </c>
      <c r="I42" s="58">
        <f t="shared" si="2"/>
        <v>9.8296481578431429E-3</v>
      </c>
      <c r="J42" s="27">
        <v>19435</v>
      </c>
    </row>
    <row r="43" spans="1:10" ht="14.25" customHeight="1" x14ac:dyDescent="0.3">
      <c r="A43" s="76">
        <v>45712</v>
      </c>
      <c r="B43" s="7" t="s">
        <v>20</v>
      </c>
      <c r="C43" s="16">
        <v>6439</v>
      </c>
      <c r="D43" s="16">
        <v>477</v>
      </c>
      <c r="E43" s="16">
        <v>959389</v>
      </c>
      <c r="F43" s="81">
        <v>7.4744446725989153</v>
      </c>
      <c r="G43" s="94">
        <f t="shared" si="0"/>
        <v>5962</v>
      </c>
      <c r="H43" s="58">
        <f t="shared" si="3"/>
        <v>6.2143718554204808E-3</v>
      </c>
      <c r="I43" s="58">
        <f t="shared" si="2"/>
        <v>6.2563618238102737E-3</v>
      </c>
      <c r="J43" s="27">
        <v>44742</v>
      </c>
    </row>
    <row r="44" spans="1:10" ht="14.25" customHeight="1" x14ac:dyDescent="0.3">
      <c r="A44" s="76">
        <v>45726</v>
      </c>
      <c r="B44" s="7" t="s">
        <v>20</v>
      </c>
      <c r="C44" s="16">
        <v>3376</v>
      </c>
      <c r="D44" s="16">
        <v>382</v>
      </c>
      <c r="E44" s="16">
        <v>991495</v>
      </c>
      <c r="F44" s="81">
        <v>3.8694093263203548</v>
      </c>
      <c r="G44" s="94">
        <f t="shared" si="0"/>
        <v>2994</v>
      </c>
      <c r="H44" s="58">
        <f t="shared" si="3"/>
        <v>3.0196823988018094E-3</v>
      </c>
      <c r="I44" s="58">
        <f t="shared" si="2"/>
        <v>3.0299994231464023E-3</v>
      </c>
      <c r="J44" s="27">
        <v>44782</v>
      </c>
    </row>
    <row r="45" spans="1:10" ht="14.25" customHeight="1" x14ac:dyDescent="0.3">
      <c r="A45" s="76">
        <v>45733</v>
      </c>
      <c r="B45" s="7" t="s">
        <v>20</v>
      </c>
      <c r="C45" s="16">
        <v>9569</v>
      </c>
      <c r="D45" s="16">
        <v>1277</v>
      </c>
      <c r="E45" s="16">
        <v>1013386</v>
      </c>
      <c r="F45" s="81">
        <v>12.45517502708741</v>
      </c>
      <c r="G45" s="94">
        <f t="shared" si="0"/>
        <v>8292</v>
      </c>
      <c r="H45" s="58">
        <f t="shared" si="3"/>
        <v>8.1824694637581338E-3</v>
      </c>
      <c r="I45" s="58">
        <f t="shared" si="2"/>
        <v>8.2604697868236942E-3</v>
      </c>
      <c r="J45" s="27">
        <v>59733</v>
      </c>
    </row>
    <row r="46" spans="1:10" ht="14.25" customHeight="1" x14ac:dyDescent="0.3">
      <c r="A46" s="76">
        <v>45747</v>
      </c>
      <c r="B46" s="7" t="s">
        <v>20</v>
      </c>
      <c r="C46" s="16">
        <v>6607</v>
      </c>
      <c r="D46" s="16">
        <v>479</v>
      </c>
      <c r="E46" s="16">
        <v>1063421</v>
      </c>
      <c r="F46" s="81">
        <v>5.5892257158735816</v>
      </c>
      <c r="G46" s="94">
        <f t="shared" si="0"/>
        <v>6128</v>
      </c>
      <c r="H46" s="58">
        <f t="shared" si="3"/>
        <v>5.7625343114345116E-3</v>
      </c>
      <c r="I46" s="58">
        <f t="shared" si="2"/>
        <v>5.7985605792504639E-3</v>
      </c>
      <c r="J46" s="27">
        <v>48328</v>
      </c>
    </row>
    <row r="47" spans="1:10" ht="14.25" customHeight="1" x14ac:dyDescent="0.3">
      <c r="A47" s="76">
        <v>45754</v>
      </c>
      <c r="B47" s="7" t="s">
        <v>20</v>
      </c>
      <c r="C47" s="16">
        <v>1521</v>
      </c>
      <c r="D47" s="16">
        <v>96</v>
      </c>
      <c r="E47" s="16">
        <v>1087368</v>
      </c>
      <c r="F47" s="81">
        <v>12.709772588488899</v>
      </c>
      <c r="G47" s="94">
        <f t="shared" si="0"/>
        <v>1425</v>
      </c>
      <c r="H47" s="58">
        <f t="shared" si="3"/>
        <v>1.3105038956452645E-3</v>
      </c>
      <c r="I47" s="58">
        <f t="shared" si="2"/>
        <v>1.3123395837535121E-3</v>
      </c>
      <c r="J47" s="27">
        <v>42262</v>
      </c>
    </row>
    <row r="48" spans="1:10" ht="14.25" customHeight="1" x14ac:dyDescent="0.3">
      <c r="A48" s="76">
        <v>45768</v>
      </c>
      <c r="B48" s="7" t="s">
        <v>20</v>
      </c>
      <c r="C48" s="16">
        <v>5941</v>
      </c>
      <c r="D48" s="16">
        <v>450</v>
      </c>
      <c r="E48" s="16">
        <v>1117854</v>
      </c>
      <c r="F48" s="81">
        <v>12.414411899944</v>
      </c>
      <c r="G48" s="94">
        <f t="shared" si="0"/>
        <v>5491</v>
      </c>
      <c r="H48" s="58">
        <f t="shared" si="3"/>
        <v>4.9120904876665469E-3</v>
      </c>
      <c r="I48" s="58">
        <f t="shared" si="2"/>
        <v>4.9383360029067024E-3</v>
      </c>
      <c r="J48" s="27">
        <v>58330</v>
      </c>
    </row>
    <row r="49" spans="1:10" ht="14.25" customHeight="1" x14ac:dyDescent="0.3">
      <c r="A49" s="76">
        <v>45768</v>
      </c>
      <c r="B49" s="7" t="s">
        <v>20</v>
      </c>
      <c r="C49" s="16">
        <v>7267</v>
      </c>
      <c r="D49" s="16">
        <v>842</v>
      </c>
      <c r="E49" s="16">
        <v>1124279</v>
      </c>
      <c r="F49" s="81">
        <v>2.2102165031989389</v>
      </c>
      <c r="G49" s="94">
        <f t="shared" si="0"/>
        <v>6425</v>
      </c>
      <c r="H49" s="58">
        <f t="shared" si="3"/>
        <v>5.7147736460433753E-3</v>
      </c>
      <c r="I49" s="58">
        <f t="shared" si="2"/>
        <v>5.7519525305010149E-3</v>
      </c>
      <c r="J49" s="27">
        <v>11171</v>
      </c>
    </row>
    <row r="50" spans="1:10" ht="14.25" customHeight="1" x14ac:dyDescent="0.3">
      <c r="A50" s="76">
        <v>45768</v>
      </c>
      <c r="B50" s="7" t="s">
        <v>20</v>
      </c>
      <c r="C50" s="16">
        <v>3461</v>
      </c>
      <c r="D50" s="16">
        <v>365</v>
      </c>
      <c r="E50" s="16">
        <v>1134433</v>
      </c>
      <c r="F50" s="81">
        <v>10.23489267325616</v>
      </c>
      <c r="G50" s="94">
        <f t="shared" si="0"/>
        <v>3096</v>
      </c>
      <c r="H50" s="58">
        <f t="shared" si="3"/>
        <v>2.7291166600407427E-3</v>
      </c>
      <c r="I50" s="58">
        <f t="shared" si="2"/>
        <v>2.7374683016025154E-3</v>
      </c>
      <c r="J50" s="27">
        <v>51903</v>
      </c>
    </row>
    <row r="51" spans="1:10" ht="14.25" customHeight="1" x14ac:dyDescent="0.3">
      <c r="A51" s="76">
        <v>45782</v>
      </c>
      <c r="B51" s="7" t="s">
        <v>20</v>
      </c>
      <c r="C51" s="16">
        <v>8697</v>
      </c>
      <c r="D51" s="16">
        <v>738</v>
      </c>
      <c r="E51" s="16">
        <v>1168011</v>
      </c>
      <c r="F51" s="81">
        <v>3.8777032065622672</v>
      </c>
      <c r="G51" s="94">
        <f t="shared" si="0"/>
        <v>7959</v>
      </c>
      <c r="H51" s="58">
        <f t="shared" si="3"/>
        <v>6.8141481544266276E-3</v>
      </c>
      <c r="I51" s="58">
        <f t="shared" si="2"/>
        <v>6.8652668733406134E-3</v>
      </c>
      <c r="J51" s="27">
        <v>30644</v>
      </c>
    </row>
    <row r="52" spans="1:10" ht="14.25" customHeight="1" x14ac:dyDescent="0.3">
      <c r="A52" s="76">
        <v>45789</v>
      </c>
      <c r="B52" s="7" t="s">
        <v>20</v>
      </c>
      <c r="C52" s="16">
        <v>3196</v>
      </c>
      <c r="D52" s="16">
        <v>391</v>
      </c>
      <c r="E52" s="16">
        <v>1170816</v>
      </c>
      <c r="F52" s="81">
        <v>7.2439221876024931</v>
      </c>
      <c r="G52" s="94">
        <f t="shared" si="0"/>
        <v>2805</v>
      </c>
      <c r="H52" s="58">
        <f t="shared" si="3"/>
        <v>2.3957650049196456E-3</v>
      </c>
      <c r="I52" s="58">
        <f t="shared" si="2"/>
        <v>2.402322673472534E-3</v>
      </c>
      <c r="J52" s="27">
        <v>28745</v>
      </c>
    </row>
    <row r="53" spans="1:10" ht="14.25" customHeight="1" x14ac:dyDescent="0.3">
      <c r="A53" s="76">
        <v>45460</v>
      </c>
      <c r="B53" s="7" t="s">
        <v>17</v>
      </c>
      <c r="C53" s="16">
        <v>7097</v>
      </c>
      <c r="D53" s="16">
        <v>369</v>
      </c>
      <c r="E53" s="16">
        <v>170518</v>
      </c>
      <c r="F53" s="81">
        <v>9.2506362964613711</v>
      </c>
      <c r="G53" s="94">
        <f t="shared" si="0"/>
        <v>6728</v>
      </c>
      <c r="H53" s="58">
        <f t="shared" si="3"/>
        <v>3.9456245088495059E-2</v>
      </c>
      <c r="I53" s="58">
        <f t="shared" si="2"/>
        <v>4.1169739507162482E-2</v>
      </c>
      <c r="J53" s="27">
        <v>33762</v>
      </c>
    </row>
    <row r="54" spans="1:10" ht="14.25" customHeight="1" x14ac:dyDescent="0.3">
      <c r="A54" s="76">
        <v>45474</v>
      </c>
      <c r="B54" s="7" t="s">
        <v>17</v>
      </c>
      <c r="C54" s="16">
        <v>5917</v>
      </c>
      <c r="D54" s="16">
        <v>475</v>
      </c>
      <c r="E54" s="16">
        <v>210260</v>
      </c>
      <c r="F54" s="81">
        <v>17.894035955483691</v>
      </c>
      <c r="G54" s="94">
        <f t="shared" si="0"/>
        <v>5442</v>
      </c>
      <c r="H54" s="58">
        <f t="shared" si="3"/>
        <v>2.5882241034909159E-2</v>
      </c>
      <c r="I54" s="58">
        <f t="shared" si="2"/>
        <v>2.6631692791042511E-2</v>
      </c>
      <c r="J54" s="27">
        <v>28313</v>
      </c>
    </row>
    <row r="55" spans="1:10" ht="14.25" customHeight="1" x14ac:dyDescent="0.3">
      <c r="A55" s="76">
        <v>45481</v>
      </c>
      <c r="B55" s="7" t="s">
        <v>17</v>
      </c>
      <c r="C55" s="16">
        <v>2048</v>
      </c>
      <c r="D55" s="16">
        <v>130</v>
      </c>
      <c r="E55" s="16">
        <v>233720</v>
      </c>
      <c r="F55" s="81">
        <v>39.284614068115687</v>
      </c>
      <c r="G55" s="94">
        <f t="shared" si="0"/>
        <v>1918</v>
      </c>
      <c r="H55" s="58">
        <f t="shared" si="3"/>
        <v>8.2064008214958063E-3</v>
      </c>
      <c r="I55" s="58">
        <f t="shared" si="2"/>
        <v>8.2789460962049803E-3</v>
      </c>
      <c r="J55" s="27">
        <v>11828</v>
      </c>
    </row>
    <row r="56" spans="1:10" ht="14.25" customHeight="1" x14ac:dyDescent="0.3">
      <c r="A56" s="76">
        <v>45481</v>
      </c>
      <c r="B56" s="7" t="s">
        <v>17</v>
      </c>
      <c r="C56" s="16">
        <v>6772</v>
      </c>
      <c r="D56" s="16">
        <v>536</v>
      </c>
      <c r="E56" s="16">
        <v>239956</v>
      </c>
      <c r="F56" s="81">
        <v>9.8205504342462788</v>
      </c>
      <c r="G56" s="94">
        <f t="shared" si="0"/>
        <v>6236</v>
      </c>
      <c r="H56" s="58">
        <f t="shared" si="3"/>
        <v>2.5988097817933289E-2</v>
      </c>
      <c r="I56" s="58">
        <f t="shared" si="2"/>
        <v>2.6742829696720188E-2</v>
      </c>
      <c r="J56" s="27">
        <v>17909</v>
      </c>
    </row>
    <row r="57" spans="1:10" ht="14.25" customHeight="1" x14ac:dyDescent="0.3">
      <c r="A57" s="76">
        <v>45481</v>
      </c>
      <c r="B57" s="7" t="s">
        <v>17</v>
      </c>
      <c r="C57" s="16">
        <v>3529</v>
      </c>
      <c r="D57" s="16">
        <v>305</v>
      </c>
      <c r="E57" s="16">
        <v>243180</v>
      </c>
      <c r="F57" s="81">
        <v>41.606628834608109</v>
      </c>
      <c r="G57" s="94">
        <f t="shared" si="0"/>
        <v>3224</v>
      </c>
      <c r="H57" s="58">
        <f t="shared" si="3"/>
        <v>1.3257669216218439E-2</v>
      </c>
      <c r="I57" s="58">
        <f t="shared" si="2"/>
        <v>1.3452896086392295E-2</v>
      </c>
      <c r="J57" s="27">
        <v>48356</v>
      </c>
    </row>
    <row r="58" spans="1:10" ht="14.25" customHeight="1" x14ac:dyDescent="0.3">
      <c r="A58" s="76">
        <v>45495</v>
      </c>
      <c r="B58" s="7" t="s">
        <v>17</v>
      </c>
      <c r="C58" s="16">
        <v>8340</v>
      </c>
      <c r="D58" s="16">
        <v>911</v>
      </c>
      <c r="E58" s="16">
        <v>264494</v>
      </c>
      <c r="F58" s="81">
        <v>37.302925586213682</v>
      </c>
      <c r="G58" s="94">
        <f t="shared" si="0"/>
        <v>7429</v>
      </c>
      <c r="H58" s="58">
        <f t="shared" si="3"/>
        <v>2.8087593669421613E-2</v>
      </c>
      <c r="I58" s="58">
        <f t="shared" si="2"/>
        <v>2.9002084683432624E-2</v>
      </c>
      <c r="J58" s="27">
        <v>48659</v>
      </c>
    </row>
    <row r="59" spans="1:10" ht="14.25" customHeight="1" x14ac:dyDescent="0.3">
      <c r="A59" s="76">
        <v>45495</v>
      </c>
      <c r="B59" s="7" t="s">
        <v>17</v>
      </c>
      <c r="C59" s="16">
        <v>8967</v>
      </c>
      <c r="D59" s="16">
        <v>993</v>
      </c>
      <c r="E59" s="16">
        <v>280201</v>
      </c>
      <c r="F59" s="81">
        <v>52.792102811910027</v>
      </c>
      <c r="G59" s="94">
        <f t="shared" si="0"/>
        <v>7974</v>
      </c>
      <c r="H59" s="58">
        <f t="shared" si="3"/>
        <v>2.8458142547671136E-2</v>
      </c>
      <c r="I59" s="58">
        <f t="shared" si="2"/>
        <v>2.9398969155784303E-2</v>
      </c>
      <c r="J59" s="27">
        <v>47804</v>
      </c>
    </row>
    <row r="60" spans="1:10" ht="14.25" customHeight="1" x14ac:dyDescent="0.3">
      <c r="A60" s="76">
        <v>45502</v>
      </c>
      <c r="B60" s="7" t="s">
        <v>17</v>
      </c>
      <c r="C60" s="16">
        <v>1845</v>
      </c>
      <c r="D60" s="16">
        <v>104</v>
      </c>
      <c r="E60" s="16">
        <v>291024</v>
      </c>
      <c r="F60" s="81">
        <v>28.158158777282971</v>
      </c>
      <c r="G60" s="94">
        <f t="shared" si="0"/>
        <v>1741</v>
      </c>
      <c r="H60" s="58">
        <f t="shared" si="3"/>
        <v>5.9823244818296775E-3</v>
      </c>
      <c r="I60" s="58">
        <f t="shared" si="2"/>
        <v>6.0204924977263216E-3</v>
      </c>
      <c r="J60" s="27">
        <v>37766</v>
      </c>
    </row>
    <row r="61" spans="1:10" ht="14.25" customHeight="1" x14ac:dyDescent="0.3">
      <c r="A61" s="76">
        <v>45502</v>
      </c>
      <c r="B61" s="7" t="s">
        <v>17</v>
      </c>
      <c r="C61" s="16">
        <v>6777</v>
      </c>
      <c r="D61" s="16">
        <v>981</v>
      </c>
      <c r="E61" s="16">
        <v>296820</v>
      </c>
      <c r="F61" s="81">
        <v>23.920557913887201</v>
      </c>
      <c r="G61" s="94">
        <f t="shared" si="0"/>
        <v>5796</v>
      </c>
      <c r="H61" s="58">
        <f t="shared" si="3"/>
        <v>1.952698605215282E-2</v>
      </c>
      <c r="I61" s="58">
        <f t="shared" si="2"/>
        <v>1.9983243863840879E-2</v>
      </c>
      <c r="J61" s="27">
        <v>53590</v>
      </c>
    </row>
    <row r="62" spans="1:10" ht="14.25" customHeight="1" x14ac:dyDescent="0.3">
      <c r="A62" s="76">
        <v>45509</v>
      </c>
      <c r="B62" s="7" t="s">
        <v>17</v>
      </c>
      <c r="C62" s="16">
        <v>5349</v>
      </c>
      <c r="D62" s="16">
        <v>502</v>
      </c>
      <c r="E62" s="16">
        <v>320404</v>
      </c>
      <c r="F62" s="81">
        <v>5.2152906954969351</v>
      </c>
      <c r="G62" s="94">
        <f t="shared" si="0"/>
        <v>4847</v>
      </c>
      <c r="H62" s="58">
        <f t="shared" si="3"/>
        <v>1.5127776182569505E-2</v>
      </c>
      <c r="I62" s="58">
        <f t="shared" si="2"/>
        <v>1.5384615384615385E-2</v>
      </c>
      <c r="J62" s="27">
        <v>58868</v>
      </c>
    </row>
    <row r="63" spans="1:10" ht="14.25" customHeight="1" x14ac:dyDescent="0.3">
      <c r="A63" s="76">
        <v>45530</v>
      </c>
      <c r="B63" s="7" t="s">
        <v>17</v>
      </c>
      <c r="C63" s="16">
        <v>1689</v>
      </c>
      <c r="D63" s="16">
        <v>176</v>
      </c>
      <c r="E63" s="16">
        <v>371865</v>
      </c>
      <c r="F63" s="81">
        <v>38.012181840183942</v>
      </c>
      <c r="G63" s="94">
        <f t="shared" si="0"/>
        <v>1513</v>
      </c>
      <c r="H63" s="58">
        <f t="shared" si="3"/>
        <v>4.068680838476329E-3</v>
      </c>
      <c r="I63" s="58">
        <f t="shared" si="2"/>
        <v>4.0872449861687416E-3</v>
      </c>
      <c r="J63" s="27">
        <v>26029</v>
      </c>
    </row>
    <row r="64" spans="1:10" ht="14.25" customHeight="1" x14ac:dyDescent="0.3">
      <c r="A64" s="76">
        <v>45537</v>
      </c>
      <c r="B64" s="7" t="s">
        <v>17</v>
      </c>
      <c r="C64" s="16">
        <v>9591</v>
      </c>
      <c r="D64" s="16">
        <v>1363</v>
      </c>
      <c r="E64" s="16">
        <v>413369</v>
      </c>
      <c r="F64" s="81">
        <v>10.494255737609739</v>
      </c>
      <c r="G64" s="94">
        <f t="shared" si="0"/>
        <v>8228</v>
      </c>
      <c r="H64" s="58">
        <f t="shared" si="3"/>
        <v>1.9904734026983156E-2</v>
      </c>
      <c r="I64" s="58">
        <f t="shared" si="2"/>
        <v>2.0377534189579421E-2</v>
      </c>
      <c r="J64" s="27">
        <v>15997</v>
      </c>
    </row>
    <row r="65" spans="1:10" ht="14.25" customHeight="1" x14ac:dyDescent="0.3">
      <c r="A65" s="76">
        <v>45544</v>
      </c>
      <c r="B65" s="7" t="s">
        <v>17</v>
      </c>
      <c r="C65" s="16">
        <v>6671</v>
      </c>
      <c r="D65" s="16">
        <v>550</v>
      </c>
      <c r="E65" s="16">
        <v>438545</v>
      </c>
      <c r="F65" s="81">
        <v>17.750287883797562</v>
      </c>
      <c r="G65" s="94">
        <f t="shared" si="0"/>
        <v>6121</v>
      </c>
      <c r="H65" s="58">
        <f t="shared" si="3"/>
        <v>1.3957518612685129E-2</v>
      </c>
      <c r="I65" s="58">
        <f t="shared" si="2"/>
        <v>1.4173115306779293E-2</v>
      </c>
      <c r="J65" s="27">
        <v>10541</v>
      </c>
    </row>
    <row r="66" spans="1:10" ht="14.25" customHeight="1" x14ac:dyDescent="0.3">
      <c r="A66" s="76">
        <v>45551</v>
      </c>
      <c r="B66" s="7" t="s">
        <v>17</v>
      </c>
      <c r="C66" s="16">
        <v>2382</v>
      </c>
      <c r="D66" s="16">
        <v>183</v>
      </c>
      <c r="E66" s="16">
        <v>447968</v>
      </c>
      <c r="F66" s="81">
        <v>4.7335970426459033</v>
      </c>
      <c r="G66" s="94">
        <f t="shared" ref="G66:G129" si="4">C66-D66</f>
        <v>2199</v>
      </c>
      <c r="H66" s="58">
        <f t="shared" ref="H66:H97" si="5">(C66-D66)/E66</f>
        <v>4.9088327737695546E-3</v>
      </c>
      <c r="I66" s="58">
        <f t="shared" ref="I66:I129" si="6">(C66 - D66) / (E66 - C66)</f>
        <v>4.9350742617586731E-3</v>
      </c>
      <c r="J66" s="27">
        <v>47861</v>
      </c>
    </row>
    <row r="67" spans="1:10" ht="14.25" customHeight="1" x14ac:dyDescent="0.3">
      <c r="A67" s="76">
        <v>45572</v>
      </c>
      <c r="B67" s="7" t="s">
        <v>17</v>
      </c>
      <c r="C67" s="16">
        <v>2549</v>
      </c>
      <c r="D67" s="16">
        <v>128</v>
      </c>
      <c r="E67" s="16">
        <v>492814</v>
      </c>
      <c r="F67" s="81">
        <v>12.734216154573531</v>
      </c>
      <c r="G67" s="94">
        <f t="shared" si="4"/>
        <v>2421</v>
      </c>
      <c r="H67" s="58">
        <f t="shared" si="5"/>
        <v>4.9126039438814641E-3</v>
      </c>
      <c r="I67" s="58">
        <f t="shared" si="6"/>
        <v>4.9381456967150421E-3</v>
      </c>
      <c r="J67" s="27">
        <v>43937</v>
      </c>
    </row>
    <row r="68" spans="1:10" ht="14.25" customHeight="1" x14ac:dyDescent="0.3">
      <c r="A68" s="76">
        <v>45593</v>
      </c>
      <c r="B68" s="7" t="s">
        <v>17</v>
      </c>
      <c r="C68" s="16">
        <v>7356</v>
      </c>
      <c r="D68" s="16">
        <v>904</v>
      </c>
      <c r="E68" s="16">
        <v>581126</v>
      </c>
      <c r="F68" s="81">
        <v>17.560907617280929</v>
      </c>
      <c r="G68" s="94">
        <f t="shared" si="4"/>
        <v>6452</v>
      </c>
      <c r="H68" s="58">
        <f t="shared" si="5"/>
        <v>1.1102583604932494E-2</v>
      </c>
      <c r="I68" s="58">
        <f t="shared" si="6"/>
        <v>1.1244923924220506E-2</v>
      </c>
      <c r="J68" s="27">
        <v>44051</v>
      </c>
    </row>
    <row r="69" spans="1:10" ht="14.25" customHeight="1" x14ac:dyDescent="0.3">
      <c r="A69" s="76">
        <v>45593</v>
      </c>
      <c r="B69" s="7" t="s">
        <v>17</v>
      </c>
      <c r="C69" s="16">
        <v>9433</v>
      </c>
      <c r="D69" s="16">
        <v>1073</v>
      </c>
      <c r="E69" s="16">
        <v>589486</v>
      </c>
      <c r="F69" s="81">
        <v>7.2934726185185053</v>
      </c>
      <c r="G69" s="94">
        <f t="shared" si="4"/>
        <v>8360</v>
      </c>
      <c r="H69" s="58">
        <f t="shared" si="5"/>
        <v>1.4181846557848703E-2</v>
      </c>
      <c r="I69" s="58">
        <f t="shared" si="6"/>
        <v>1.4412476101321776E-2</v>
      </c>
      <c r="J69" s="27">
        <v>59811</v>
      </c>
    </row>
    <row r="70" spans="1:10" ht="14.25" customHeight="1" x14ac:dyDescent="0.3">
      <c r="A70" s="76">
        <v>45600</v>
      </c>
      <c r="B70" s="7" t="s">
        <v>17</v>
      </c>
      <c r="C70" s="16">
        <v>5268</v>
      </c>
      <c r="D70" s="16">
        <v>326</v>
      </c>
      <c r="E70" s="16">
        <v>604702</v>
      </c>
      <c r="F70" s="81">
        <v>23.435841125050029</v>
      </c>
      <c r="G70" s="94">
        <f t="shared" si="4"/>
        <v>4942</v>
      </c>
      <c r="H70" s="58">
        <f t="shared" si="5"/>
        <v>8.1726205635172366E-3</v>
      </c>
      <c r="I70" s="58">
        <f t="shared" si="6"/>
        <v>8.2444439254363289E-3</v>
      </c>
      <c r="J70" s="27">
        <v>44501</v>
      </c>
    </row>
    <row r="71" spans="1:10" ht="14.25" customHeight="1" x14ac:dyDescent="0.3">
      <c r="A71" s="76">
        <v>45607</v>
      </c>
      <c r="B71" s="7" t="s">
        <v>17</v>
      </c>
      <c r="C71" s="16">
        <v>5592</v>
      </c>
      <c r="D71" s="16">
        <v>710</v>
      </c>
      <c r="E71" s="16">
        <v>620702</v>
      </c>
      <c r="F71" s="81">
        <v>9.07118069540617</v>
      </c>
      <c r="G71" s="94">
        <f t="shared" si="4"/>
        <v>4882</v>
      </c>
      <c r="H71" s="58">
        <f t="shared" si="5"/>
        <v>7.8652880126050834E-3</v>
      </c>
      <c r="I71" s="58">
        <f t="shared" si="6"/>
        <v>7.9367917933377777E-3</v>
      </c>
      <c r="J71" s="27">
        <v>24472</v>
      </c>
    </row>
    <row r="72" spans="1:10" ht="14.25" customHeight="1" x14ac:dyDescent="0.3">
      <c r="A72" s="76">
        <v>45614</v>
      </c>
      <c r="B72" s="7" t="s">
        <v>17</v>
      </c>
      <c r="C72" s="16">
        <v>3355</v>
      </c>
      <c r="D72" s="16">
        <v>176</v>
      </c>
      <c r="E72" s="16">
        <v>640691</v>
      </c>
      <c r="F72" s="81">
        <v>12.426427091999111</v>
      </c>
      <c r="G72" s="94">
        <f t="shared" si="4"/>
        <v>3179</v>
      </c>
      <c r="H72" s="58">
        <f t="shared" si="5"/>
        <v>4.9618302738761748E-3</v>
      </c>
      <c r="I72" s="58">
        <f t="shared" si="6"/>
        <v>4.9879498412140535E-3</v>
      </c>
      <c r="J72" s="27">
        <v>40268</v>
      </c>
    </row>
    <row r="73" spans="1:10" ht="14.25" customHeight="1" x14ac:dyDescent="0.3">
      <c r="A73" s="76">
        <v>45614</v>
      </c>
      <c r="B73" s="7" t="s">
        <v>17</v>
      </c>
      <c r="C73" s="16">
        <v>6887</v>
      </c>
      <c r="D73" s="16">
        <v>418</v>
      </c>
      <c r="E73" s="16">
        <v>647160</v>
      </c>
      <c r="F73" s="81">
        <v>20.240280610668151</v>
      </c>
      <c r="G73" s="94">
        <f t="shared" si="4"/>
        <v>6469</v>
      </c>
      <c r="H73" s="58">
        <f t="shared" si="5"/>
        <v>9.9959824463811114E-3</v>
      </c>
      <c r="I73" s="58">
        <f t="shared" si="6"/>
        <v>1.010350272461903E-2</v>
      </c>
      <c r="J73" s="27">
        <v>18329</v>
      </c>
    </row>
    <row r="74" spans="1:10" ht="14.25" customHeight="1" x14ac:dyDescent="0.3">
      <c r="A74" s="76">
        <v>45621</v>
      </c>
      <c r="B74" s="7" t="s">
        <v>17</v>
      </c>
      <c r="C74" s="16">
        <v>9737</v>
      </c>
      <c r="D74" s="16">
        <v>792</v>
      </c>
      <c r="E74" s="16">
        <v>670642</v>
      </c>
      <c r="F74" s="81">
        <v>5.301785453341723</v>
      </c>
      <c r="G74" s="94">
        <f t="shared" si="4"/>
        <v>8945</v>
      </c>
      <c r="H74" s="58">
        <f t="shared" si="5"/>
        <v>1.3337965710468476E-2</v>
      </c>
      <c r="I74" s="58">
        <f t="shared" si="6"/>
        <v>1.353447167142025E-2</v>
      </c>
      <c r="J74" s="27">
        <v>56698</v>
      </c>
    </row>
    <row r="75" spans="1:10" ht="14.25" customHeight="1" x14ac:dyDescent="0.3">
      <c r="A75" s="76">
        <v>45628</v>
      </c>
      <c r="B75" s="7" t="s">
        <v>17</v>
      </c>
      <c r="C75" s="16">
        <v>5839</v>
      </c>
      <c r="D75" s="16">
        <v>437</v>
      </c>
      <c r="E75" s="16">
        <v>682556</v>
      </c>
      <c r="F75" s="81">
        <v>17.44750613869045</v>
      </c>
      <c r="G75" s="94">
        <f t="shared" si="4"/>
        <v>5402</v>
      </c>
      <c r="H75" s="58">
        <f t="shared" si="5"/>
        <v>7.9143689309009082E-3</v>
      </c>
      <c r="I75" s="58">
        <f t="shared" si="6"/>
        <v>7.9826574476479836E-3</v>
      </c>
      <c r="J75" s="27">
        <v>16397</v>
      </c>
    </row>
    <row r="76" spans="1:10" ht="14.25" customHeight="1" x14ac:dyDescent="0.3">
      <c r="A76" s="76">
        <v>45635</v>
      </c>
      <c r="B76" s="7" t="s">
        <v>17</v>
      </c>
      <c r="C76" s="16">
        <v>1016</v>
      </c>
      <c r="D76" s="16">
        <v>67</v>
      </c>
      <c r="E76" s="16">
        <v>709957</v>
      </c>
      <c r="F76" s="81">
        <v>20.774215903216671</v>
      </c>
      <c r="G76" s="94">
        <f t="shared" si="4"/>
        <v>949</v>
      </c>
      <c r="H76" s="58">
        <f t="shared" si="5"/>
        <v>1.3367006734210664E-3</v>
      </c>
      <c r="I76" s="58">
        <f t="shared" si="6"/>
        <v>1.3386163305550108E-3</v>
      </c>
      <c r="J76" s="27">
        <v>33284</v>
      </c>
    </row>
    <row r="77" spans="1:10" ht="14.25" customHeight="1" x14ac:dyDescent="0.3">
      <c r="A77" s="76">
        <v>45642</v>
      </c>
      <c r="B77" s="7" t="s">
        <v>17</v>
      </c>
      <c r="C77" s="16">
        <v>9616</v>
      </c>
      <c r="D77" s="16">
        <v>1089</v>
      </c>
      <c r="E77" s="16">
        <v>723286</v>
      </c>
      <c r="F77" s="81">
        <v>19.25863351426683</v>
      </c>
      <c r="G77" s="94">
        <f t="shared" si="4"/>
        <v>8527</v>
      </c>
      <c r="H77" s="58">
        <f t="shared" si="5"/>
        <v>1.178925072516266E-2</v>
      </c>
      <c r="I77" s="58">
        <f t="shared" si="6"/>
        <v>1.1948099261563467E-2</v>
      </c>
      <c r="J77" s="27">
        <v>15017</v>
      </c>
    </row>
    <row r="78" spans="1:10" ht="14.25" customHeight="1" x14ac:dyDescent="0.3">
      <c r="A78" s="76">
        <v>45649</v>
      </c>
      <c r="B78" s="7" t="s">
        <v>17</v>
      </c>
      <c r="C78" s="16">
        <v>1571</v>
      </c>
      <c r="D78" s="16">
        <v>204</v>
      </c>
      <c r="E78" s="16">
        <v>730928</v>
      </c>
      <c r="F78" s="81">
        <v>19.449384891535139</v>
      </c>
      <c r="G78" s="94">
        <f t="shared" si="4"/>
        <v>1367</v>
      </c>
      <c r="H78" s="58">
        <f t="shared" si="5"/>
        <v>1.8702252479040344E-3</v>
      </c>
      <c r="I78" s="58">
        <f t="shared" si="6"/>
        <v>1.8742536233970471E-3</v>
      </c>
      <c r="J78" s="27">
        <v>39252</v>
      </c>
    </row>
    <row r="79" spans="1:10" ht="14.25" customHeight="1" x14ac:dyDescent="0.3">
      <c r="A79" s="76">
        <v>45649</v>
      </c>
      <c r="B79" s="7" t="s">
        <v>17</v>
      </c>
      <c r="C79" s="16">
        <v>7172</v>
      </c>
      <c r="D79" s="16">
        <v>998</v>
      </c>
      <c r="E79" s="16">
        <v>741416</v>
      </c>
      <c r="F79" s="81">
        <v>18.0667803230575</v>
      </c>
      <c r="G79" s="94">
        <f t="shared" si="4"/>
        <v>6174</v>
      </c>
      <c r="H79" s="58">
        <f t="shared" si="5"/>
        <v>8.32730882527488E-3</v>
      </c>
      <c r="I79" s="58">
        <f t="shared" si="6"/>
        <v>8.4086488960073216E-3</v>
      </c>
      <c r="J79" s="27">
        <v>32436</v>
      </c>
    </row>
    <row r="80" spans="1:10" ht="14.25" customHeight="1" x14ac:dyDescent="0.3">
      <c r="A80" s="76">
        <v>45656</v>
      </c>
      <c r="B80" s="7" t="s">
        <v>17</v>
      </c>
      <c r="C80" s="16">
        <v>9433</v>
      </c>
      <c r="D80" s="16">
        <v>1233</v>
      </c>
      <c r="E80" s="16">
        <v>756944</v>
      </c>
      <c r="F80" s="81">
        <v>11.391727789638329</v>
      </c>
      <c r="G80" s="94">
        <f t="shared" si="4"/>
        <v>8200</v>
      </c>
      <c r="H80" s="58">
        <f t="shared" si="5"/>
        <v>1.0833033883616226E-2</v>
      </c>
      <c r="I80" s="58">
        <f t="shared" si="6"/>
        <v>1.0969738237965728E-2</v>
      </c>
      <c r="J80" s="27">
        <v>12096</v>
      </c>
    </row>
    <row r="81" spans="1:10" ht="14.25" customHeight="1" x14ac:dyDescent="0.3">
      <c r="A81" s="76">
        <v>45656</v>
      </c>
      <c r="B81" s="7" t="s">
        <v>17</v>
      </c>
      <c r="C81" s="16">
        <v>9123</v>
      </c>
      <c r="D81" s="16">
        <v>746</v>
      </c>
      <c r="E81" s="16">
        <v>769535</v>
      </c>
      <c r="F81" s="81">
        <v>6.3086149427901264</v>
      </c>
      <c r="G81" s="94">
        <f t="shared" si="4"/>
        <v>8377</v>
      </c>
      <c r="H81" s="58">
        <f t="shared" si="5"/>
        <v>1.0885794668208723E-2</v>
      </c>
      <c r="I81" s="58">
        <f t="shared" si="6"/>
        <v>1.1016396374596929E-2</v>
      </c>
      <c r="J81" s="27">
        <v>35279</v>
      </c>
    </row>
    <row r="82" spans="1:10" ht="14.25" customHeight="1" x14ac:dyDescent="0.3">
      <c r="A82" s="76">
        <v>45663</v>
      </c>
      <c r="B82" s="7" t="s">
        <v>17</v>
      </c>
      <c r="C82" s="16">
        <v>9980</v>
      </c>
      <c r="D82" s="16">
        <v>726</v>
      </c>
      <c r="E82" s="16">
        <v>781868</v>
      </c>
      <c r="F82" s="81">
        <v>4.0220344099003924</v>
      </c>
      <c r="G82" s="94">
        <f t="shared" si="4"/>
        <v>9254</v>
      </c>
      <c r="H82" s="58">
        <f t="shared" si="5"/>
        <v>1.1835757442432739E-2</v>
      </c>
      <c r="I82" s="58">
        <f t="shared" si="6"/>
        <v>1.198878593785627E-2</v>
      </c>
      <c r="J82" s="27">
        <v>58709</v>
      </c>
    </row>
    <row r="83" spans="1:10" ht="14.25" customHeight="1" x14ac:dyDescent="0.3">
      <c r="A83" s="76">
        <v>45670</v>
      </c>
      <c r="B83" s="7" t="s">
        <v>17</v>
      </c>
      <c r="C83" s="16">
        <v>7869</v>
      </c>
      <c r="D83" s="16">
        <v>398</v>
      </c>
      <c r="E83" s="16">
        <v>807142</v>
      </c>
      <c r="F83" s="81">
        <v>15.211945357818079</v>
      </c>
      <c r="G83" s="94">
        <f t="shared" si="4"/>
        <v>7471</v>
      </c>
      <c r="H83" s="58">
        <f t="shared" si="5"/>
        <v>9.2561160241940079E-3</v>
      </c>
      <c r="I83" s="58">
        <f t="shared" si="6"/>
        <v>9.3472443082651367E-3</v>
      </c>
      <c r="J83" s="27">
        <v>25078</v>
      </c>
    </row>
    <row r="84" spans="1:10" ht="14.25" customHeight="1" x14ac:dyDescent="0.3">
      <c r="A84" s="76">
        <v>45684</v>
      </c>
      <c r="B84" s="7" t="s">
        <v>17</v>
      </c>
      <c r="C84" s="16">
        <v>8083</v>
      </c>
      <c r="D84" s="16">
        <v>823</v>
      </c>
      <c r="E84" s="16">
        <v>853477</v>
      </c>
      <c r="F84" s="81">
        <v>4.6300017457998282</v>
      </c>
      <c r="G84" s="94">
        <f t="shared" si="4"/>
        <v>7260</v>
      </c>
      <c r="H84" s="58">
        <f t="shared" si="5"/>
        <v>8.5063803711172073E-3</v>
      </c>
      <c r="I84" s="58">
        <f t="shared" si="6"/>
        <v>8.5877117651651184E-3</v>
      </c>
      <c r="J84" s="27">
        <v>27069</v>
      </c>
    </row>
    <row r="85" spans="1:10" ht="14.25" customHeight="1" x14ac:dyDescent="0.3">
      <c r="A85" s="76">
        <v>45698</v>
      </c>
      <c r="B85" s="7" t="s">
        <v>17</v>
      </c>
      <c r="C85" s="16">
        <v>3711</v>
      </c>
      <c r="D85" s="16">
        <v>291</v>
      </c>
      <c r="E85" s="16">
        <v>900862</v>
      </c>
      <c r="F85" s="81">
        <v>14.24879726306582</v>
      </c>
      <c r="G85" s="94">
        <f t="shared" si="4"/>
        <v>3420</v>
      </c>
      <c r="H85" s="58">
        <f t="shared" si="5"/>
        <v>3.7963639269943676E-3</v>
      </c>
      <c r="I85" s="58">
        <f t="shared" si="6"/>
        <v>3.8120673108540258E-3</v>
      </c>
      <c r="J85" s="27">
        <v>55603</v>
      </c>
    </row>
    <row r="86" spans="1:10" ht="14.25" customHeight="1" x14ac:dyDescent="0.3">
      <c r="A86" s="76">
        <v>45698</v>
      </c>
      <c r="B86" s="7" t="s">
        <v>17</v>
      </c>
      <c r="C86" s="16">
        <v>2668</v>
      </c>
      <c r="D86" s="16">
        <v>143</v>
      </c>
      <c r="E86" s="16">
        <v>903387</v>
      </c>
      <c r="F86" s="81">
        <v>15.903372530266649</v>
      </c>
      <c r="G86" s="94">
        <f t="shared" si="4"/>
        <v>2525</v>
      </c>
      <c r="H86" s="58">
        <f t="shared" si="5"/>
        <v>2.795036900021807E-3</v>
      </c>
      <c r="I86" s="58">
        <f t="shared" si="6"/>
        <v>2.8033160175371008E-3</v>
      </c>
      <c r="J86" s="27">
        <v>33252</v>
      </c>
    </row>
    <row r="87" spans="1:10" ht="14.25" customHeight="1" x14ac:dyDescent="0.3">
      <c r="A87" s="76">
        <v>45698</v>
      </c>
      <c r="B87" s="7" t="s">
        <v>17</v>
      </c>
      <c r="C87" s="16">
        <v>7420</v>
      </c>
      <c r="D87" s="16">
        <v>743</v>
      </c>
      <c r="E87" s="16">
        <v>911084</v>
      </c>
      <c r="F87" s="81">
        <v>10.593534734448189</v>
      </c>
      <c r="G87" s="94">
        <f t="shared" si="4"/>
        <v>6677</v>
      </c>
      <c r="H87" s="58">
        <f t="shared" si="5"/>
        <v>7.3286327056561193E-3</v>
      </c>
      <c r="I87" s="58">
        <f t="shared" si="6"/>
        <v>7.3888082296074643E-3</v>
      </c>
      <c r="J87" s="27">
        <v>11431</v>
      </c>
    </row>
    <row r="88" spans="1:10" ht="14.25" customHeight="1" x14ac:dyDescent="0.3">
      <c r="A88" s="76">
        <v>45705</v>
      </c>
      <c r="B88" s="7" t="s">
        <v>17</v>
      </c>
      <c r="C88" s="16">
        <v>5531</v>
      </c>
      <c r="D88" s="16">
        <v>430</v>
      </c>
      <c r="E88" s="16">
        <v>917475</v>
      </c>
      <c r="F88" s="81">
        <v>2.7289026948963189</v>
      </c>
      <c r="G88" s="94">
        <f t="shared" si="4"/>
        <v>5101</v>
      </c>
      <c r="H88" s="58">
        <f t="shared" si="5"/>
        <v>5.5598245183792472E-3</v>
      </c>
      <c r="I88" s="58">
        <f t="shared" si="6"/>
        <v>5.5935452176888055E-3</v>
      </c>
      <c r="J88" s="27">
        <v>47481</v>
      </c>
    </row>
    <row r="89" spans="1:10" ht="14.25" customHeight="1" x14ac:dyDescent="0.3">
      <c r="A89" s="76">
        <v>45719</v>
      </c>
      <c r="B89" s="7" t="s">
        <v>17</v>
      </c>
      <c r="C89" s="16">
        <v>8504</v>
      </c>
      <c r="D89" s="16">
        <v>1072</v>
      </c>
      <c r="E89" s="16">
        <v>973452</v>
      </c>
      <c r="F89" s="81">
        <v>6.5651927367759271</v>
      </c>
      <c r="G89" s="94">
        <f t="shared" si="4"/>
        <v>7432</v>
      </c>
      <c r="H89" s="58">
        <f t="shared" si="5"/>
        <v>7.6346856342171983E-3</v>
      </c>
      <c r="I89" s="58">
        <f t="shared" si="6"/>
        <v>7.7019694325497334E-3</v>
      </c>
      <c r="J89" s="27">
        <v>18461</v>
      </c>
    </row>
    <row r="90" spans="1:10" ht="14.25" customHeight="1" x14ac:dyDescent="0.3">
      <c r="A90" s="76">
        <v>45726</v>
      </c>
      <c r="B90" s="7" t="s">
        <v>17</v>
      </c>
      <c r="C90" s="16">
        <v>2827</v>
      </c>
      <c r="D90" s="16">
        <v>292</v>
      </c>
      <c r="E90" s="16">
        <v>997585</v>
      </c>
      <c r="F90" s="81">
        <v>2.4004972007397871</v>
      </c>
      <c r="G90" s="94">
        <f t="shared" si="4"/>
        <v>2535</v>
      </c>
      <c r="H90" s="58">
        <f t="shared" si="5"/>
        <v>2.5411368454818384E-3</v>
      </c>
      <c r="I90" s="58">
        <f t="shared" si="6"/>
        <v>2.5483584952320061E-3</v>
      </c>
      <c r="J90" s="27">
        <v>17896</v>
      </c>
    </row>
    <row r="91" spans="1:10" ht="14.25" customHeight="1" x14ac:dyDescent="0.3">
      <c r="A91" s="76">
        <v>45733</v>
      </c>
      <c r="B91" s="7" t="s">
        <v>17</v>
      </c>
      <c r="C91" s="16">
        <v>7979</v>
      </c>
      <c r="D91" s="16">
        <v>470</v>
      </c>
      <c r="E91" s="16">
        <v>1005094</v>
      </c>
      <c r="F91" s="81">
        <v>10.43086517280971</v>
      </c>
      <c r="G91" s="94">
        <f t="shared" si="4"/>
        <v>7509</v>
      </c>
      <c r="H91" s="58">
        <f t="shared" si="5"/>
        <v>7.4709430162750948E-3</v>
      </c>
      <c r="I91" s="58">
        <f t="shared" si="6"/>
        <v>7.5307261449281179E-3</v>
      </c>
      <c r="J91" s="27">
        <v>42972</v>
      </c>
    </row>
    <row r="92" spans="1:10" ht="14.25" customHeight="1" x14ac:dyDescent="0.3">
      <c r="A92" s="76">
        <v>45733</v>
      </c>
      <c r="B92" s="7" t="s">
        <v>17</v>
      </c>
      <c r="C92" s="16">
        <v>5285</v>
      </c>
      <c r="D92" s="16">
        <v>433</v>
      </c>
      <c r="E92" s="16">
        <v>1018238</v>
      </c>
      <c r="F92" s="81">
        <v>8.7022876773406619</v>
      </c>
      <c r="G92" s="94">
        <f t="shared" si="4"/>
        <v>4852</v>
      </c>
      <c r="H92" s="58">
        <f t="shared" si="5"/>
        <v>4.7650942117658151E-3</v>
      </c>
      <c r="I92" s="58">
        <f t="shared" si="6"/>
        <v>4.7899557037690789E-3</v>
      </c>
      <c r="J92" s="27">
        <v>51800</v>
      </c>
    </row>
    <row r="93" spans="1:10" ht="14.25" customHeight="1" x14ac:dyDescent="0.3">
      <c r="A93" s="76">
        <v>45733</v>
      </c>
      <c r="B93" s="7" t="s">
        <v>17</v>
      </c>
      <c r="C93" s="16">
        <v>7910</v>
      </c>
      <c r="D93" s="16">
        <v>543</v>
      </c>
      <c r="E93" s="16">
        <v>1025605</v>
      </c>
      <c r="F93" s="81">
        <v>6.0590578244060822</v>
      </c>
      <c r="G93" s="94">
        <f t="shared" si="4"/>
        <v>7367</v>
      </c>
      <c r="H93" s="58">
        <f t="shared" si="5"/>
        <v>7.183077305590359E-3</v>
      </c>
      <c r="I93" s="58">
        <f t="shared" si="6"/>
        <v>7.2389075312348002E-3</v>
      </c>
      <c r="J93" s="27">
        <v>40508</v>
      </c>
    </row>
    <row r="94" spans="1:10" ht="14.25" customHeight="1" x14ac:dyDescent="0.3">
      <c r="A94" s="76">
        <v>45740</v>
      </c>
      <c r="B94" s="7" t="s">
        <v>17</v>
      </c>
      <c r="C94" s="16">
        <v>9561</v>
      </c>
      <c r="D94" s="16">
        <v>517</v>
      </c>
      <c r="E94" s="16">
        <v>1034649</v>
      </c>
      <c r="F94" s="81">
        <v>6.4086467971263694</v>
      </c>
      <c r="G94" s="94">
        <f t="shared" si="4"/>
        <v>9044</v>
      </c>
      <c r="H94" s="58">
        <f t="shared" si="5"/>
        <v>8.741128633961856E-3</v>
      </c>
      <c r="I94" s="58">
        <f t="shared" si="6"/>
        <v>8.8226571767497028E-3</v>
      </c>
      <c r="J94" s="27">
        <v>15347</v>
      </c>
    </row>
    <row r="95" spans="1:10" ht="14.25" customHeight="1" x14ac:dyDescent="0.3">
      <c r="A95" s="76">
        <v>45740</v>
      </c>
      <c r="B95" s="7" t="s">
        <v>17</v>
      </c>
      <c r="C95" s="16">
        <v>3196</v>
      </c>
      <c r="D95" s="16">
        <v>348</v>
      </c>
      <c r="E95" s="16">
        <v>1037497</v>
      </c>
      <c r="F95" s="81">
        <v>14.03040201562029</v>
      </c>
      <c r="G95" s="94">
        <f t="shared" si="4"/>
        <v>2848</v>
      </c>
      <c r="H95" s="58">
        <f t="shared" si="5"/>
        <v>2.7450681785103955E-3</v>
      </c>
      <c r="I95" s="58">
        <f t="shared" si="6"/>
        <v>2.7535504654834521E-3</v>
      </c>
      <c r="J95" s="27">
        <v>40314</v>
      </c>
    </row>
    <row r="96" spans="1:10" ht="14.25" customHeight="1" x14ac:dyDescent="0.3">
      <c r="A96" s="76">
        <v>45740</v>
      </c>
      <c r="B96" s="7" t="s">
        <v>17</v>
      </c>
      <c r="C96" s="16">
        <v>9843</v>
      </c>
      <c r="D96" s="16">
        <v>508</v>
      </c>
      <c r="E96" s="16">
        <v>1051021</v>
      </c>
      <c r="F96" s="81">
        <v>4.2080986012648651</v>
      </c>
      <c r="G96" s="94">
        <f t="shared" si="4"/>
        <v>9335</v>
      </c>
      <c r="H96" s="58">
        <f t="shared" si="5"/>
        <v>8.8818396587699005E-3</v>
      </c>
      <c r="I96" s="58">
        <f t="shared" si="6"/>
        <v>8.9658060389289831E-3</v>
      </c>
      <c r="J96" s="27">
        <v>50785</v>
      </c>
    </row>
    <row r="97" spans="1:10" ht="14.25" customHeight="1" x14ac:dyDescent="0.3">
      <c r="A97" s="76">
        <v>45747</v>
      </c>
      <c r="B97" s="7" t="s">
        <v>17</v>
      </c>
      <c r="C97" s="16">
        <v>1780</v>
      </c>
      <c r="D97" s="16">
        <v>120</v>
      </c>
      <c r="E97" s="16">
        <v>1066648</v>
      </c>
      <c r="F97" s="81">
        <v>13.86474263299608</v>
      </c>
      <c r="G97" s="94">
        <f t="shared" si="4"/>
        <v>1660</v>
      </c>
      <c r="H97" s="58">
        <f t="shared" si="5"/>
        <v>1.55627723485161E-3</v>
      </c>
      <c r="I97" s="58">
        <f t="shared" si="6"/>
        <v>1.5588786591389731E-3</v>
      </c>
      <c r="J97" s="27">
        <v>57299</v>
      </c>
    </row>
    <row r="98" spans="1:10" ht="14.25" customHeight="1" x14ac:dyDescent="0.3">
      <c r="A98" s="76">
        <v>45754</v>
      </c>
      <c r="B98" s="7" t="s">
        <v>17</v>
      </c>
      <c r="C98" s="16">
        <v>4983</v>
      </c>
      <c r="D98" s="16">
        <v>441</v>
      </c>
      <c r="E98" s="16">
        <v>1077624</v>
      </c>
      <c r="F98" s="81">
        <v>6.8954477628560609</v>
      </c>
      <c r="G98" s="94">
        <f t="shared" si="4"/>
        <v>4542</v>
      </c>
      <c r="H98" s="58">
        <f t="shared" ref="H98:H129" si="7">(C98-D98)/E98</f>
        <v>4.2148281775461569E-3</v>
      </c>
      <c r="I98" s="58">
        <f t="shared" si="6"/>
        <v>4.2344083435184744E-3</v>
      </c>
      <c r="J98" s="27">
        <v>46768</v>
      </c>
    </row>
    <row r="99" spans="1:10" ht="14.25" customHeight="1" x14ac:dyDescent="0.3">
      <c r="A99" s="76">
        <v>45761</v>
      </c>
      <c r="B99" s="7" t="s">
        <v>17</v>
      </c>
      <c r="C99" s="16">
        <v>8569</v>
      </c>
      <c r="D99" s="16">
        <v>720</v>
      </c>
      <c r="E99" s="16">
        <v>1095217</v>
      </c>
      <c r="F99" s="81">
        <v>9.589697749395782</v>
      </c>
      <c r="G99" s="94">
        <f t="shared" si="4"/>
        <v>7849</v>
      </c>
      <c r="H99" s="58">
        <f t="shared" si="7"/>
        <v>7.1666162961312686E-3</v>
      </c>
      <c r="I99" s="58">
        <f t="shared" si="6"/>
        <v>7.2231302132797371E-3</v>
      </c>
      <c r="J99" s="27">
        <v>41358</v>
      </c>
    </row>
    <row r="100" spans="1:10" ht="14.25" customHeight="1" x14ac:dyDescent="0.3">
      <c r="A100" s="76">
        <v>45761</v>
      </c>
      <c r="B100" s="7" t="s">
        <v>17</v>
      </c>
      <c r="C100" s="16">
        <v>6784</v>
      </c>
      <c r="D100" s="16">
        <v>416</v>
      </c>
      <c r="E100" s="16">
        <v>1101585</v>
      </c>
      <c r="F100" s="81">
        <v>9.3041390360253633</v>
      </c>
      <c r="G100" s="94">
        <f t="shared" si="4"/>
        <v>6368</v>
      </c>
      <c r="H100" s="58">
        <f t="shared" si="7"/>
        <v>5.7807613574985131E-3</v>
      </c>
      <c r="I100" s="58">
        <f t="shared" si="6"/>
        <v>5.8165821916494409E-3</v>
      </c>
      <c r="J100" s="27">
        <v>24289</v>
      </c>
    </row>
    <row r="101" spans="1:10" ht="14.25" customHeight="1" x14ac:dyDescent="0.3">
      <c r="A101" s="76">
        <v>45761</v>
      </c>
      <c r="B101" s="7" t="s">
        <v>17</v>
      </c>
      <c r="C101" s="16">
        <v>5583</v>
      </c>
      <c r="D101" s="16">
        <v>795</v>
      </c>
      <c r="E101" s="16">
        <v>1106373</v>
      </c>
      <c r="F101" s="81">
        <v>12.21550055903389</v>
      </c>
      <c r="G101" s="94">
        <f t="shared" si="4"/>
        <v>4788</v>
      </c>
      <c r="H101" s="58">
        <f t="shared" si="7"/>
        <v>4.327654416729259E-3</v>
      </c>
      <c r="I101" s="58">
        <f t="shared" si="6"/>
        <v>4.349603466601259E-3</v>
      </c>
      <c r="J101" s="27">
        <v>59823</v>
      </c>
    </row>
    <row r="102" spans="1:10" ht="14.25" customHeight="1" x14ac:dyDescent="0.3">
      <c r="A102" s="76">
        <v>45761</v>
      </c>
      <c r="B102" s="7" t="s">
        <v>17</v>
      </c>
      <c r="C102" s="16">
        <v>6946</v>
      </c>
      <c r="D102" s="16">
        <v>956</v>
      </c>
      <c r="E102" s="16">
        <v>1112363</v>
      </c>
      <c r="F102" s="81">
        <v>1.64146056637986</v>
      </c>
      <c r="G102" s="94">
        <f t="shared" si="4"/>
        <v>5990</v>
      </c>
      <c r="H102" s="58">
        <f t="shared" si="7"/>
        <v>5.3849327962185002E-3</v>
      </c>
      <c r="I102" s="58">
        <f t="shared" si="6"/>
        <v>5.4187695684072166E-3</v>
      </c>
      <c r="J102" s="27">
        <v>17927</v>
      </c>
    </row>
    <row r="103" spans="1:10" ht="14.25" customHeight="1" x14ac:dyDescent="0.3">
      <c r="A103" s="76">
        <v>45775</v>
      </c>
      <c r="B103" s="7" t="s">
        <v>17</v>
      </c>
      <c r="C103" s="16">
        <v>1685</v>
      </c>
      <c r="D103" s="16">
        <v>173</v>
      </c>
      <c r="E103" s="16">
        <v>1135945</v>
      </c>
      <c r="F103" s="81">
        <v>8.7776256772995165</v>
      </c>
      <c r="G103" s="94">
        <f t="shared" si="4"/>
        <v>1512</v>
      </c>
      <c r="H103" s="58">
        <f t="shared" si="7"/>
        <v>1.331050358952238E-3</v>
      </c>
      <c r="I103" s="58">
        <f t="shared" si="6"/>
        <v>1.3330277008798688E-3</v>
      </c>
      <c r="J103" s="27">
        <v>49110</v>
      </c>
    </row>
    <row r="104" spans="1:10" ht="14.25" customHeight="1" x14ac:dyDescent="0.3">
      <c r="A104" s="76">
        <v>45782</v>
      </c>
      <c r="B104" s="7" t="s">
        <v>17</v>
      </c>
      <c r="C104" s="16">
        <v>1038</v>
      </c>
      <c r="D104" s="16">
        <v>145</v>
      </c>
      <c r="E104" s="16">
        <v>1152775</v>
      </c>
      <c r="F104" s="81">
        <v>11.093752033137431</v>
      </c>
      <c r="G104" s="94">
        <f t="shared" si="4"/>
        <v>893</v>
      </c>
      <c r="H104" s="58">
        <f t="shared" si="7"/>
        <v>7.7465246904209403E-4</v>
      </c>
      <c r="I104" s="58">
        <f t="shared" si="6"/>
        <v>7.7535062258137053E-4</v>
      </c>
      <c r="J104" s="27">
        <v>55951</v>
      </c>
    </row>
    <row r="105" spans="1:10" ht="14.25" customHeight="1" x14ac:dyDescent="0.3">
      <c r="A105" s="76">
        <v>45782</v>
      </c>
      <c r="B105" s="7" t="s">
        <v>17</v>
      </c>
      <c r="C105" s="16">
        <v>2256</v>
      </c>
      <c r="D105" s="16">
        <v>189</v>
      </c>
      <c r="E105" s="16">
        <v>1160052</v>
      </c>
      <c r="F105" s="81">
        <v>2.8935771844710412</v>
      </c>
      <c r="G105" s="94">
        <f t="shared" si="4"/>
        <v>2067</v>
      </c>
      <c r="H105" s="58">
        <f t="shared" si="7"/>
        <v>1.7818166771834366E-3</v>
      </c>
      <c r="I105" s="58">
        <f t="shared" si="6"/>
        <v>1.7852886000642601E-3</v>
      </c>
      <c r="J105" s="27">
        <v>15432</v>
      </c>
    </row>
    <row r="106" spans="1:10" ht="14.25" customHeight="1" x14ac:dyDescent="0.3">
      <c r="A106" s="76">
        <v>45789</v>
      </c>
      <c r="B106" s="7" t="s">
        <v>17</v>
      </c>
      <c r="C106" s="16">
        <v>8165</v>
      </c>
      <c r="D106" s="16">
        <v>1140</v>
      </c>
      <c r="E106" s="16">
        <v>1177841</v>
      </c>
      <c r="F106" s="81">
        <v>9.095964565675672</v>
      </c>
      <c r="G106" s="94">
        <f t="shared" si="4"/>
        <v>7025</v>
      </c>
      <c r="H106" s="58">
        <f t="shared" si="7"/>
        <v>5.9643024822535473E-3</v>
      </c>
      <c r="I106" s="58">
        <f t="shared" si="6"/>
        <v>6.0059366867406018E-3</v>
      </c>
      <c r="J106" s="27">
        <v>38228</v>
      </c>
    </row>
    <row r="107" spans="1:10" ht="14.25" customHeight="1" x14ac:dyDescent="0.3">
      <c r="A107" s="76">
        <v>45789</v>
      </c>
      <c r="B107" s="7" t="s">
        <v>17</v>
      </c>
      <c r="C107" s="16">
        <v>1301</v>
      </c>
      <c r="D107" s="16">
        <v>180</v>
      </c>
      <c r="E107" s="16">
        <v>1178962</v>
      </c>
      <c r="F107" s="81">
        <v>5.2275645864752214</v>
      </c>
      <c r="G107" s="94">
        <f t="shared" si="4"/>
        <v>1121</v>
      </c>
      <c r="H107" s="58">
        <f t="shared" si="7"/>
        <v>9.5083641372665107E-4</v>
      </c>
      <c r="I107" s="58">
        <f t="shared" si="6"/>
        <v>9.5188683330771763E-4</v>
      </c>
      <c r="J107" s="27">
        <v>44521</v>
      </c>
    </row>
    <row r="108" spans="1:10" ht="14.25" customHeight="1" x14ac:dyDescent="0.3">
      <c r="A108" s="76">
        <v>45446</v>
      </c>
      <c r="B108" s="7" t="s">
        <v>34</v>
      </c>
      <c r="C108" s="16">
        <v>8693</v>
      </c>
      <c r="D108" s="16">
        <v>1261</v>
      </c>
      <c r="E108" s="16">
        <v>111209</v>
      </c>
      <c r="F108" s="81">
        <v>69.475492091467416</v>
      </c>
      <c r="G108" s="94">
        <f t="shared" si="4"/>
        <v>7432</v>
      </c>
      <c r="H108" s="58">
        <f t="shared" si="7"/>
        <v>6.6829123542159363E-2</v>
      </c>
      <c r="I108" s="58">
        <f t="shared" si="6"/>
        <v>7.2496000624292789E-2</v>
      </c>
      <c r="J108" s="27">
        <v>29873</v>
      </c>
    </row>
    <row r="109" spans="1:10" ht="14.25" customHeight="1" x14ac:dyDescent="0.3">
      <c r="A109" s="76">
        <v>45453</v>
      </c>
      <c r="B109" s="7" t="s">
        <v>34</v>
      </c>
      <c r="C109" s="16">
        <v>5225</v>
      </c>
      <c r="D109" s="16">
        <v>291</v>
      </c>
      <c r="E109" s="16">
        <v>146830</v>
      </c>
      <c r="F109" s="81">
        <v>19.551862698358651</v>
      </c>
      <c r="G109" s="94">
        <f t="shared" si="4"/>
        <v>4934</v>
      </c>
      <c r="H109" s="58">
        <f t="shared" si="7"/>
        <v>3.3603487025812166E-2</v>
      </c>
      <c r="I109" s="58">
        <f t="shared" si="6"/>
        <v>3.484340242223085E-2</v>
      </c>
      <c r="J109" s="27">
        <v>44546</v>
      </c>
    </row>
    <row r="110" spans="1:10" ht="14.25" customHeight="1" x14ac:dyDescent="0.3">
      <c r="A110" s="76">
        <v>45453</v>
      </c>
      <c r="B110" s="7" t="s">
        <v>34</v>
      </c>
      <c r="C110" s="16">
        <v>3978</v>
      </c>
      <c r="D110" s="16">
        <v>543</v>
      </c>
      <c r="E110" s="16">
        <v>150265</v>
      </c>
      <c r="F110" s="81">
        <v>49.159817655475329</v>
      </c>
      <c r="G110" s="94">
        <f t="shared" si="4"/>
        <v>3435</v>
      </c>
      <c r="H110" s="58">
        <f t="shared" si="7"/>
        <v>2.2859614680730708E-2</v>
      </c>
      <c r="I110" s="58">
        <f t="shared" si="6"/>
        <v>2.3481238934423429E-2</v>
      </c>
      <c r="J110" s="27">
        <v>34286</v>
      </c>
    </row>
    <row r="111" spans="1:10" ht="14.25" customHeight="1" x14ac:dyDescent="0.3">
      <c r="A111" s="76">
        <v>45460</v>
      </c>
      <c r="B111" s="7" t="s">
        <v>34</v>
      </c>
      <c r="C111" s="16">
        <v>6907</v>
      </c>
      <c r="D111" s="16">
        <v>834</v>
      </c>
      <c r="E111" s="16">
        <v>163790</v>
      </c>
      <c r="F111" s="81">
        <v>54.158984064961238</v>
      </c>
      <c r="G111" s="94">
        <f t="shared" si="4"/>
        <v>6073</v>
      </c>
      <c r="H111" s="58">
        <f t="shared" si="7"/>
        <v>3.7077965687770928E-2</v>
      </c>
      <c r="I111" s="58">
        <f t="shared" si="6"/>
        <v>3.8710376522631512E-2</v>
      </c>
      <c r="J111" s="27">
        <v>22087</v>
      </c>
    </row>
    <row r="112" spans="1:10" ht="14.25" customHeight="1" x14ac:dyDescent="0.3">
      <c r="A112" s="76">
        <v>45467</v>
      </c>
      <c r="B112" s="7" t="s">
        <v>34</v>
      </c>
      <c r="C112" s="16">
        <v>9984</v>
      </c>
      <c r="D112" s="16">
        <v>1330</v>
      </c>
      <c r="E112" s="16">
        <v>184850</v>
      </c>
      <c r="F112" s="81">
        <v>57.524479307546663</v>
      </c>
      <c r="G112" s="94">
        <f t="shared" si="4"/>
        <v>8654</v>
      </c>
      <c r="H112" s="58">
        <f t="shared" si="7"/>
        <v>4.6816337571003515E-2</v>
      </c>
      <c r="I112" s="58">
        <f t="shared" si="6"/>
        <v>4.9489323253233908E-2</v>
      </c>
      <c r="J112" s="27">
        <v>44947</v>
      </c>
    </row>
    <row r="113" spans="1:10" ht="14.25" customHeight="1" x14ac:dyDescent="0.3">
      <c r="A113" s="76">
        <v>45467</v>
      </c>
      <c r="B113" s="7" t="s">
        <v>34</v>
      </c>
      <c r="C113" s="16">
        <v>6901</v>
      </c>
      <c r="D113" s="16">
        <v>471</v>
      </c>
      <c r="E113" s="16">
        <v>204818</v>
      </c>
      <c r="F113" s="81">
        <v>60.827661631301943</v>
      </c>
      <c r="G113" s="94">
        <f t="shared" si="4"/>
        <v>6430</v>
      </c>
      <c r="H113" s="58">
        <f t="shared" si="7"/>
        <v>3.1393725160874533E-2</v>
      </c>
      <c r="I113" s="58">
        <f t="shared" si="6"/>
        <v>3.2488366335383011E-2</v>
      </c>
      <c r="J113" s="27">
        <v>52003</v>
      </c>
    </row>
    <row r="114" spans="1:10" ht="14.25" customHeight="1" x14ac:dyDescent="0.3">
      <c r="A114" s="76">
        <v>45474</v>
      </c>
      <c r="B114" s="7" t="s">
        <v>34</v>
      </c>
      <c r="C114" s="16">
        <v>9429</v>
      </c>
      <c r="D114" s="16">
        <v>966</v>
      </c>
      <c r="E114" s="16">
        <v>218723</v>
      </c>
      <c r="F114" s="81">
        <v>7.6914636320825887</v>
      </c>
      <c r="G114" s="94">
        <f t="shared" si="4"/>
        <v>8463</v>
      </c>
      <c r="H114" s="58">
        <f t="shared" si="7"/>
        <v>3.8692775794040866E-2</v>
      </c>
      <c r="I114" s="58">
        <f t="shared" si="6"/>
        <v>4.0435941785239904E-2</v>
      </c>
      <c r="J114" s="27">
        <v>57639</v>
      </c>
    </row>
    <row r="115" spans="1:10" ht="14.25" customHeight="1" x14ac:dyDescent="0.3">
      <c r="A115" s="76">
        <v>45481</v>
      </c>
      <c r="B115" s="7" t="s">
        <v>34</v>
      </c>
      <c r="C115" s="16">
        <v>8045</v>
      </c>
      <c r="D115" s="16">
        <v>894</v>
      </c>
      <c r="E115" s="16">
        <v>231802</v>
      </c>
      <c r="F115" s="81">
        <v>47.634187798207087</v>
      </c>
      <c r="G115" s="94">
        <f t="shared" si="4"/>
        <v>7151</v>
      </c>
      <c r="H115" s="58">
        <f t="shared" si="7"/>
        <v>3.084960440375838E-2</v>
      </c>
      <c r="I115" s="58">
        <f t="shared" si="6"/>
        <v>3.1958776708661631E-2</v>
      </c>
      <c r="J115" s="27">
        <v>33705</v>
      </c>
    </row>
    <row r="116" spans="1:10" ht="14.25" customHeight="1" x14ac:dyDescent="0.3">
      <c r="A116" s="76">
        <v>45488</v>
      </c>
      <c r="B116" s="7" t="s">
        <v>34</v>
      </c>
      <c r="C116" s="16">
        <v>8137</v>
      </c>
      <c r="D116" s="16">
        <v>1045</v>
      </c>
      <c r="E116" s="16">
        <v>253858</v>
      </c>
      <c r="F116" s="81">
        <v>20.47246886054408</v>
      </c>
      <c r="G116" s="94">
        <f t="shared" si="4"/>
        <v>7092</v>
      </c>
      <c r="H116" s="58">
        <f t="shared" si="7"/>
        <v>2.7936878097203948E-2</v>
      </c>
      <c r="I116" s="58">
        <f t="shared" si="6"/>
        <v>2.8862002026688805E-2</v>
      </c>
      <c r="J116" s="27">
        <v>12023</v>
      </c>
    </row>
    <row r="117" spans="1:10" ht="14.25" customHeight="1" x14ac:dyDescent="0.3">
      <c r="A117" s="76">
        <v>45495</v>
      </c>
      <c r="B117" s="7" t="s">
        <v>34</v>
      </c>
      <c r="C117" s="16">
        <v>8179</v>
      </c>
      <c r="D117" s="16">
        <v>446</v>
      </c>
      <c r="E117" s="16">
        <v>272227</v>
      </c>
      <c r="F117" s="81">
        <v>41.82171496581897</v>
      </c>
      <c r="G117" s="94">
        <f t="shared" si="4"/>
        <v>7733</v>
      </c>
      <c r="H117" s="58">
        <f t="shared" si="7"/>
        <v>2.8406440213498294E-2</v>
      </c>
      <c r="I117" s="58">
        <f t="shared" si="6"/>
        <v>2.9286341877234442E-2</v>
      </c>
      <c r="J117" s="27">
        <v>43848</v>
      </c>
    </row>
    <row r="118" spans="1:10" ht="14.25" customHeight="1" x14ac:dyDescent="0.3">
      <c r="A118" s="76">
        <v>45502</v>
      </c>
      <c r="B118" s="7" t="s">
        <v>34</v>
      </c>
      <c r="C118" s="16">
        <v>6947</v>
      </c>
      <c r="D118" s="16">
        <v>908</v>
      </c>
      <c r="E118" s="16">
        <v>306304</v>
      </c>
      <c r="F118" s="81">
        <v>14.117673944839121</v>
      </c>
      <c r="G118" s="94">
        <f t="shared" si="4"/>
        <v>6039</v>
      </c>
      <c r="H118" s="58">
        <f t="shared" si="7"/>
        <v>1.9715707271207691E-2</v>
      </c>
      <c r="I118" s="58">
        <f t="shared" si="6"/>
        <v>2.0173237973389633E-2</v>
      </c>
      <c r="J118" s="27">
        <v>46060</v>
      </c>
    </row>
    <row r="119" spans="1:10" ht="14.25" customHeight="1" x14ac:dyDescent="0.3">
      <c r="A119" s="76">
        <v>45509</v>
      </c>
      <c r="B119" s="7" t="s">
        <v>34</v>
      </c>
      <c r="C119" s="16">
        <v>3719</v>
      </c>
      <c r="D119" s="16">
        <v>222</v>
      </c>
      <c r="E119" s="16">
        <v>313014</v>
      </c>
      <c r="F119" s="81">
        <v>21.669318305251519</v>
      </c>
      <c r="G119" s="94">
        <f t="shared" si="4"/>
        <v>3497</v>
      </c>
      <c r="H119" s="58">
        <f t="shared" si="7"/>
        <v>1.1172024254506188E-2</v>
      </c>
      <c r="I119" s="58">
        <f t="shared" si="6"/>
        <v>1.130635800772725E-2</v>
      </c>
      <c r="J119" s="27">
        <v>13586</v>
      </c>
    </row>
    <row r="120" spans="1:10" ht="14.25" customHeight="1" x14ac:dyDescent="0.3">
      <c r="A120" s="76">
        <v>45516</v>
      </c>
      <c r="B120" s="7" t="s">
        <v>34</v>
      </c>
      <c r="C120" s="16">
        <v>6179</v>
      </c>
      <c r="D120" s="16">
        <v>384</v>
      </c>
      <c r="E120" s="16">
        <v>326199</v>
      </c>
      <c r="F120" s="81">
        <v>14.71218489327067</v>
      </c>
      <c r="G120" s="94">
        <f t="shared" si="4"/>
        <v>5795</v>
      </c>
      <c r="H120" s="58">
        <f t="shared" si="7"/>
        <v>1.7765229200580015E-2</v>
      </c>
      <c r="I120" s="58">
        <f t="shared" si="6"/>
        <v>1.8108243234797827E-2</v>
      </c>
      <c r="J120" s="27">
        <v>33225</v>
      </c>
    </row>
    <row r="121" spans="1:10" ht="14.25" customHeight="1" x14ac:dyDescent="0.3">
      <c r="A121" s="76">
        <v>45516</v>
      </c>
      <c r="B121" s="7" t="s">
        <v>34</v>
      </c>
      <c r="C121" s="16">
        <v>8154</v>
      </c>
      <c r="D121" s="16">
        <v>1149</v>
      </c>
      <c r="E121" s="16">
        <v>347090</v>
      </c>
      <c r="F121" s="81">
        <v>26.003918292085629</v>
      </c>
      <c r="G121" s="94">
        <f t="shared" si="4"/>
        <v>7005</v>
      </c>
      <c r="H121" s="58">
        <f t="shared" si="7"/>
        <v>2.0182085338096747E-2</v>
      </c>
      <c r="I121" s="58">
        <f t="shared" si="6"/>
        <v>2.0667618665470767E-2</v>
      </c>
      <c r="J121" s="27">
        <v>37523</v>
      </c>
    </row>
    <row r="122" spans="1:10" ht="14.25" customHeight="1" x14ac:dyDescent="0.3">
      <c r="A122" s="76">
        <v>45530</v>
      </c>
      <c r="B122" s="7" t="s">
        <v>34</v>
      </c>
      <c r="C122" s="16">
        <v>6175</v>
      </c>
      <c r="D122" s="16">
        <v>422</v>
      </c>
      <c r="E122" s="16">
        <v>377618</v>
      </c>
      <c r="F122" s="81">
        <v>37.86101298137271</v>
      </c>
      <c r="G122" s="94">
        <f t="shared" si="4"/>
        <v>5753</v>
      </c>
      <c r="H122" s="58">
        <f t="shared" si="7"/>
        <v>1.523497290913039E-2</v>
      </c>
      <c r="I122" s="58">
        <f t="shared" si="6"/>
        <v>1.548824449511769E-2</v>
      </c>
      <c r="J122" s="27">
        <v>59745</v>
      </c>
    </row>
    <row r="123" spans="1:10" ht="14.25" customHeight="1" x14ac:dyDescent="0.3">
      <c r="A123" s="76">
        <v>45537</v>
      </c>
      <c r="B123" s="7" t="s">
        <v>34</v>
      </c>
      <c r="C123" s="16">
        <v>7406</v>
      </c>
      <c r="D123" s="16">
        <v>813</v>
      </c>
      <c r="E123" s="16">
        <v>405141</v>
      </c>
      <c r="F123" s="81">
        <v>24.457411123534769</v>
      </c>
      <c r="G123" s="94">
        <f t="shared" si="4"/>
        <v>6593</v>
      </c>
      <c r="H123" s="58">
        <f t="shared" si="7"/>
        <v>1.6273346810122897E-2</v>
      </c>
      <c r="I123" s="58">
        <f t="shared" si="6"/>
        <v>1.6576363659220335E-2</v>
      </c>
      <c r="J123" s="27">
        <v>13390</v>
      </c>
    </row>
    <row r="124" spans="1:10" ht="14.25" customHeight="1" x14ac:dyDescent="0.3">
      <c r="A124" s="76">
        <v>45551</v>
      </c>
      <c r="B124" s="7" t="s">
        <v>34</v>
      </c>
      <c r="C124" s="16">
        <v>4292</v>
      </c>
      <c r="D124" s="16">
        <v>367</v>
      </c>
      <c r="E124" s="16">
        <v>453977</v>
      </c>
      <c r="F124" s="81">
        <v>3.5037017293827661</v>
      </c>
      <c r="G124" s="94">
        <f t="shared" si="4"/>
        <v>3925</v>
      </c>
      <c r="H124" s="58">
        <f t="shared" si="7"/>
        <v>8.6458124530537899E-3</v>
      </c>
      <c r="I124" s="58">
        <f t="shared" si="6"/>
        <v>8.7283320546604846E-3</v>
      </c>
      <c r="J124" s="27">
        <v>53934</v>
      </c>
    </row>
    <row r="125" spans="1:10" ht="14.25" customHeight="1" x14ac:dyDescent="0.3">
      <c r="A125" s="76">
        <v>45558</v>
      </c>
      <c r="B125" s="7" t="s">
        <v>34</v>
      </c>
      <c r="C125" s="16">
        <v>5517</v>
      </c>
      <c r="D125" s="16">
        <v>575</v>
      </c>
      <c r="E125" s="16">
        <v>460228</v>
      </c>
      <c r="F125" s="81">
        <v>29.45844233727631</v>
      </c>
      <c r="G125" s="94">
        <f t="shared" si="4"/>
        <v>4942</v>
      </c>
      <c r="H125" s="58">
        <f t="shared" si="7"/>
        <v>1.07381558705685E-2</v>
      </c>
      <c r="I125" s="58">
        <f t="shared" si="6"/>
        <v>1.0868441713527932E-2</v>
      </c>
      <c r="J125" s="27">
        <v>20258</v>
      </c>
    </row>
    <row r="126" spans="1:10" ht="14.25" customHeight="1" x14ac:dyDescent="0.3">
      <c r="A126" s="76">
        <v>45565</v>
      </c>
      <c r="B126" s="7" t="s">
        <v>34</v>
      </c>
      <c r="C126" s="16">
        <v>6693</v>
      </c>
      <c r="D126" s="16">
        <v>995</v>
      </c>
      <c r="E126" s="16">
        <v>486018</v>
      </c>
      <c r="F126" s="81">
        <v>23.761877132122681</v>
      </c>
      <c r="G126" s="94">
        <f t="shared" si="4"/>
        <v>5698</v>
      </c>
      <c r="H126" s="58">
        <f t="shared" si="7"/>
        <v>1.1723845618886543E-2</v>
      </c>
      <c r="I126" s="58">
        <f t="shared" si="6"/>
        <v>1.1887550200803213E-2</v>
      </c>
      <c r="J126" s="27">
        <v>38854</v>
      </c>
    </row>
    <row r="127" spans="1:10" ht="14.25" customHeight="1" x14ac:dyDescent="0.3">
      <c r="A127" s="76">
        <v>45565</v>
      </c>
      <c r="B127" s="7" t="s">
        <v>34</v>
      </c>
      <c r="C127" s="16">
        <v>3044</v>
      </c>
      <c r="D127" s="16">
        <v>212</v>
      </c>
      <c r="E127" s="16">
        <v>490393</v>
      </c>
      <c r="F127" s="81">
        <v>8.5343795690395261</v>
      </c>
      <c r="G127" s="94">
        <f t="shared" si="4"/>
        <v>2832</v>
      </c>
      <c r="H127" s="58">
        <f t="shared" si="7"/>
        <v>5.7749600830354431E-3</v>
      </c>
      <c r="I127" s="58">
        <f t="shared" si="6"/>
        <v>5.8110306987395072E-3</v>
      </c>
      <c r="J127" s="27">
        <v>20720</v>
      </c>
    </row>
    <row r="128" spans="1:10" ht="14.25" customHeight="1" x14ac:dyDescent="0.3">
      <c r="A128" s="76">
        <v>45579</v>
      </c>
      <c r="B128" s="7" t="s">
        <v>34</v>
      </c>
      <c r="C128" s="16">
        <v>8898</v>
      </c>
      <c r="D128" s="16">
        <v>1131</v>
      </c>
      <c r="E128" s="16">
        <v>515737</v>
      </c>
      <c r="F128" s="81">
        <v>2.1877429775253669</v>
      </c>
      <c r="G128" s="94">
        <f t="shared" si="4"/>
        <v>7767</v>
      </c>
      <c r="H128" s="58">
        <f t="shared" si="7"/>
        <v>1.5060001512398761E-2</v>
      </c>
      <c r="I128" s="58">
        <f t="shared" si="6"/>
        <v>1.5324392953186317E-2</v>
      </c>
      <c r="J128" s="27">
        <v>35051</v>
      </c>
    </row>
    <row r="129" spans="1:10" ht="14.25" customHeight="1" x14ac:dyDescent="0.3">
      <c r="A129" s="76">
        <v>45579</v>
      </c>
      <c r="B129" s="7" t="s">
        <v>34</v>
      </c>
      <c r="C129" s="16">
        <v>3293</v>
      </c>
      <c r="D129" s="16">
        <v>282</v>
      </c>
      <c r="E129" s="16">
        <v>525863</v>
      </c>
      <c r="F129" s="81">
        <v>27.040693108281051</v>
      </c>
      <c r="G129" s="94">
        <f t="shared" si="4"/>
        <v>3011</v>
      </c>
      <c r="H129" s="58">
        <f t="shared" si="7"/>
        <v>5.7258259280458983E-3</v>
      </c>
      <c r="I129" s="58">
        <f t="shared" si="6"/>
        <v>5.7619074956465162E-3</v>
      </c>
      <c r="J129" s="27">
        <v>19518</v>
      </c>
    </row>
    <row r="130" spans="1:10" ht="14.25" customHeight="1" x14ac:dyDescent="0.3">
      <c r="A130" s="76">
        <v>45579</v>
      </c>
      <c r="B130" s="7" t="s">
        <v>34</v>
      </c>
      <c r="C130" s="16">
        <v>5837</v>
      </c>
      <c r="D130" s="16">
        <v>359</v>
      </c>
      <c r="E130" s="16">
        <v>531341</v>
      </c>
      <c r="F130" s="81">
        <v>6.8073045370110723</v>
      </c>
      <c r="G130" s="94">
        <f t="shared" ref="G130:G193" si="8">C130-D130</f>
        <v>5478</v>
      </c>
      <c r="H130" s="58">
        <f t="shared" ref="H130:H161" si="9">(C130-D130)/E130</f>
        <v>1.0309763409938251E-2</v>
      </c>
      <c r="I130" s="58">
        <f t="shared" ref="I130:I193" si="10">(C130 - D130) / (E130 - C130)</f>
        <v>1.0424278407014979E-2</v>
      </c>
      <c r="J130" s="27">
        <v>56026</v>
      </c>
    </row>
    <row r="131" spans="1:10" ht="14.25" customHeight="1" x14ac:dyDescent="0.3">
      <c r="A131" s="76">
        <v>45600</v>
      </c>
      <c r="B131" s="7" t="s">
        <v>34</v>
      </c>
      <c r="C131" s="16">
        <v>8380</v>
      </c>
      <c r="D131" s="16">
        <v>1162</v>
      </c>
      <c r="E131" s="16">
        <v>596704</v>
      </c>
      <c r="F131" s="81">
        <v>18.05853488496809</v>
      </c>
      <c r="G131" s="94">
        <f t="shared" si="8"/>
        <v>7218</v>
      </c>
      <c r="H131" s="58">
        <f t="shared" si="9"/>
        <v>1.2096449831072022E-2</v>
      </c>
      <c r="I131" s="58">
        <f t="shared" si="10"/>
        <v>1.2268749872519224E-2</v>
      </c>
      <c r="J131" s="27">
        <v>40447</v>
      </c>
    </row>
    <row r="132" spans="1:10" ht="14.25" customHeight="1" x14ac:dyDescent="0.3">
      <c r="A132" s="76">
        <v>45600</v>
      </c>
      <c r="B132" s="7" t="s">
        <v>34</v>
      </c>
      <c r="C132" s="16">
        <v>1671</v>
      </c>
      <c r="D132" s="16">
        <v>202</v>
      </c>
      <c r="E132" s="16">
        <v>606171</v>
      </c>
      <c r="F132" s="81">
        <v>15.150015424690389</v>
      </c>
      <c r="G132" s="94">
        <f t="shared" si="8"/>
        <v>1469</v>
      </c>
      <c r="H132" s="58">
        <f t="shared" si="9"/>
        <v>2.4234085761278583E-3</v>
      </c>
      <c r="I132" s="58">
        <f t="shared" si="10"/>
        <v>2.4301075268817205E-3</v>
      </c>
      <c r="J132" s="27">
        <v>40254</v>
      </c>
    </row>
    <row r="133" spans="1:10" ht="14.25" customHeight="1" x14ac:dyDescent="0.3">
      <c r="A133" s="76">
        <v>45607</v>
      </c>
      <c r="B133" s="7" t="s">
        <v>34</v>
      </c>
      <c r="C133" s="16">
        <v>1163</v>
      </c>
      <c r="D133" s="16">
        <v>146</v>
      </c>
      <c r="E133" s="16">
        <v>607188</v>
      </c>
      <c r="F133" s="81">
        <v>21.77776899411715</v>
      </c>
      <c r="G133" s="94">
        <f t="shared" si="8"/>
        <v>1017</v>
      </c>
      <c r="H133" s="58">
        <f t="shared" si="9"/>
        <v>1.6749342872388782E-3</v>
      </c>
      <c r="I133" s="58">
        <f t="shared" si="10"/>
        <v>1.6781485912297348E-3</v>
      </c>
      <c r="J133" s="27">
        <v>28509</v>
      </c>
    </row>
    <row r="134" spans="1:10" ht="14.25" customHeight="1" x14ac:dyDescent="0.3">
      <c r="A134" s="76">
        <v>45607</v>
      </c>
      <c r="B134" s="7" t="s">
        <v>34</v>
      </c>
      <c r="C134" s="16">
        <v>9656</v>
      </c>
      <c r="D134" s="16">
        <v>1024</v>
      </c>
      <c r="E134" s="16">
        <v>615820</v>
      </c>
      <c r="F134" s="81">
        <v>8.7252768666168681</v>
      </c>
      <c r="G134" s="94">
        <f t="shared" si="8"/>
        <v>8632</v>
      </c>
      <c r="H134" s="58">
        <f t="shared" si="9"/>
        <v>1.401708291383846E-2</v>
      </c>
      <c r="I134" s="58">
        <f t="shared" si="10"/>
        <v>1.4240370592776871E-2</v>
      </c>
      <c r="J134" s="27">
        <v>58998</v>
      </c>
    </row>
    <row r="135" spans="1:10" ht="14.25" customHeight="1" x14ac:dyDescent="0.3">
      <c r="A135" s="76">
        <v>45614</v>
      </c>
      <c r="B135" s="7" t="s">
        <v>34</v>
      </c>
      <c r="C135" s="16">
        <v>7036</v>
      </c>
      <c r="D135" s="16">
        <v>652</v>
      </c>
      <c r="E135" s="16">
        <v>637512</v>
      </c>
      <c r="F135" s="81">
        <v>3.5705994553828009</v>
      </c>
      <c r="G135" s="94">
        <f t="shared" si="8"/>
        <v>6384</v>
      </c>
      <c r="H135" s="58">
        <f t="shared" si="9"/>
        <v>1.0013929149568949E-2</v>
      </c>
      <c r="I135" s="58">
        <f t="shared" si="10"/>
        <v>1.0125682817426833E-2</v>
      </c>
      <c r="J135" s="27">
        <v>51796</v>
      </c>
    </row>
    <row r="136" spans="1:10" ht="14.25" customHeight="1" x14ac:dyDescent="0.3">
      <c r="A136" s="76">
        <v>45635</v>
      </c>
      <c r="B136" s="7" t="s">
        <v>34</v>
      </c>
      <c r="C136" s="16">
        <v>7164</v>
      </c>
      <c r="D136" s="16">
        <v>522</v>
      </c>
      <c r="E136" s="16">
        <v>700757</v>
      </c>
      <c r="F136" s="81">
        <v>13.449169969047761</v>
      </c>
      <c r="G136" s="94">
        <f t="shared" si="8"/>
        <v>6642</v>
      </c>
      <c r="H136" s="58">
        <f t="shared" si="9"/>
        <v>9.4783213011072308E-3</v>
      </c>
      <c r="I136" s="58">
        <f t="shared" si="10"/>
        <v>9.5762212133052096E-3</v>
      </c>
      <c r="J136" s="27">
        <v>34570</v>
      </c>
    </row>
    <row r="137" spans="1:10" ht="14.25" customHeight="1" x14ac:dyDescent="0.3">
      <c r="A137" s="76">
        <v>45642</v>
      </c>
      <c r="B137" s="7" t="s">
        <v>34</v>
      </c>
      <c r="C137" s="16">
        <v>7272</v>
      </c>
      <c r="D137" s="16">
        <v>997</v>
      </c>
      <c r="E137" s="16">
        <v>729561</v>
      </c>
      <c r="F137" s="81">
        <v>13.428486445958599</v>
      </c>
      <c r="G137" s="94">
        <f t="shared" si="8"/>
        <v>6275</v>
      </c>
      <c r="H137" s="58">
        <f t="shared" si="9"/>
        <v>8.6010628309353167E-3</v>
      </c>
      <c r="I137" s="58">
        <f t="shared" si="10"/>
        <v>8.6876582642128018E-3</v>
      </c>
      <c r="J137" s="27">
        <v>26370</v>
      </c>
    </row>
    <row r="138" spans="1:10" ht="14.25" customHeight="1" x14ac:dyDescent="0.3">
      <c r="A138" s="76">
        <v>45656</v>
      </c>
      <c r="B138" s="7" t="s">
        <v>34</v>
      </c>
      <c r="C138" s="16">
        <v>3279</v>
      </c>
      <c r="D138" s="16">
        <v>200</v>
      </c>
      <c r="E138" s="16">
        <v>772614</v>
      </c>
      <c r="F138" s="81">
        <v>5.0212654702089274</v>
      </c>
      <c r="G138" s="94">
        <f t="shared" si="8"/>
        <v>3079</v>
      </c>
      <c r="H138" s="58">
        <f t="shared" si="9"/>
        <v>3.9851724146857288E-3</v>
      </c>
      <c r="I138" s="58">
        <f t="shared" si="10"/>
        <v>4.0021577076306157E-3</v>
      </c>
      <c r="J138" s="27">
        <v>53363</v>
      </c>
    </row>
    <row r="139" spans="1:10" ht="14.25" customHeight="1" x14ac:dyDescent="0.3">
      <c r="A139" s="76">
        <v>45663</v>
      </c>
      <c r="B139" s="7" t="s">
        <v>34</v>
      </c>
      <c r="C139" s="16">
        <v>8451</v>
      </c>
      <c r="D139" s="16">
        <v>783</v>
      </c>
      <c r="E139" s="16">
        <v>789536</v>
      </c>
      <c r="F139" s="81">
        <v>12.407287318121019</v>
      </c>
      <c r="G139" s="94">
        <f t="shared" si="8"/>
        <v>7668</v>
      </c>
      <c r="H139" s="58">
        <f t="shared" si="9"/>
        <v>9.7120333968305442E-3</v>
      </c>
      <c r="I139" s="58">
        <f t="shared" si="10"/>
        <v>9.8171133743446617E-3</v>
      </c>
      <c r="J139" s="27">
        <v>36201</v>
      </c>
    </row>
    <row r="140" spans="1:10" ht="14.25" customHeight="1" x14ac:dyDescent="0.3">
      <c r="A140" s="76">
        <v>45663</v>
      </c>
      <c r="B140" s="7" t="s">
        <v>34</v>
      </c>
      <c r="C140" s="16">
        <v>1775</v>
      </c>
      <c r="D140" s="16">
        <v>241</v>
      </c>
      <c r="E140" s="16">
        <v>799671</v>
      </c>
      <c r="F140" s="81">
        <v>8.1379717408784362</v>
      </c>
      <c r="G140" s="94">
        <f t="shared" si="8"/>
        <v>1534</v>
      </c>
      <c r="H140" s="58">
        <f t="shared" si="9"/>
        <v>1.918288896308607E-3</v>
      </c>
      <c r="I140" s="58">
        <f t="shared" si="10"/>
        <v>1.9225563231298314E-3</v>
      </c>
      <c r="J140" s="27">
        <v>39309</v>
      </c>
    </row>
    <row r="141" spans="1:10" ht="14.25" customHeight="1" x14ac:dyDescent="0.3">
      <c r="A141" s="76">
        <v>45670</v>
      </c>
      <c r="B141" s="7" t="s">
        <v>34</v>
      </c>
      <c r="C141" s="16">
        <v>8088</v>
      </c>
      <c r="D141" s="16">
        <v>742</v>
      </c>
      <c r="E141" s="16">
        <v>817407</v>
      </c>
      <c r="F141" s="81">
        <v>14.664542877660701</v>
      </c>
      <c r="G141" s="94">
        <f t="shared" si="8"/>
        <v>7346</v>
      </c>
      <c r="H141" s="58">
        <f t="shared" si="9"/>
        <v>8.9869550909155421E-3</v>
      </c>
      <c r="I141" s="58">
        <f t="shared" si="10"/>
        <v>9.0767670102888977E-3</v>
      </c>
      <c r="J141" s="27">
        <v>39312</v>
      </c>
    </row>
    <row r="142" spans="1:10" ht="14.25" customHeight="1" x14ac:dyDescent="0.3">
      <c r="A142" s="76">
        <v>45677</v>
      </c>
      <c r="B142" s="7" t="s">
        <v>34</v>
      </c>
      <c r="C142" s="16">
        <v>9080</v>
      </c>
      <c r="D142" s="16">
        <v>562</v>
      </c>
      <c r="E142" s="16">
        <v>826926</v>
      </c>
      <c r="F142" s="81">
        <v>7.1083748727213809</v>
      </c>
      <c r="G142" s="94">
        <f t="shared" si="8"/>
        <v>8518</v>
      </c>
      <c r="H142" s="58">
        <f t="shared" si="9"/>
        <v>1.0300800797169276E-2</v>
      </c>
      <c r="I142" s="58">
        <f t="shared" si="10"/>
        <v>1.0415163734981891E-2</v>
      </c>
      <c r="J142" s="27">
        <v>13384</v>
      </c>
    </row>
    <row r="143" spans="1:10" ht="14.25" customHeight="1" x14ac:dyDescent="0.3">
      <c r="A143" s="76">
        <v>45677</v>
      </c>
      <c r="B143" s="7" t="s">
        <v>34</v>
      </c>
      <c r="C143" s="16">
        <v>8099</v>
      </c>
      <c r="D143" s="16">
        <v>678</v>
      </c>
      <c r="E143" s="16">
        <v>834347</v>
      </c>
      <c r="F143" s="81">
        <v>7.6464588474579518</v>
      </c>
      <c r="G143" s="94">
        <f t="shared" si="8"/>
        <v>7421</v>
      </c>
      <c r="H143" s="58">
        <f t="shared" si="9"/>
        <v>8.8943808751035247E-3</v>
      </c>
      <c r="I143" s="58">
        <f t="shared" si="10"/>
        <v>8.981564857040502E-3</v>
      </c>
      <c r="J143" s="27">
        <v>53619</v>
      </c>
    </row>
    <row r="144" spans="1:10" ht="14.25" customHeight="1" x14ac:dyDescent="0.3">
      <c r="A144" s="76">
        <v>45677</v>
      </c>
      <c r="B144" s="7" t="s">
        <v>34</v>
      </c>
      <c r="C144" s="16">
        <v>4926</v>
      </c>
      <c r="D144" s="16">
        <v>710</v>
      </c>
      <c r="E144" s="16">
        <v>838563</v>
      </c>
      <c r="F144" s="81">
        <v>12.96217457722318</v>
      </c>
      <c r="G144" s="94">
        <f t="shared" si="8"/>
        <v>4216</v>
      </c>
      <c r="H144" s="58">
        <f t="shared" si="9"/>
        <v>5.0276484891415433E-3</v>
      </c>
      <c r="I144" s="58">
        <f t="shared" si="10"/>
        <v>5.057357099073098E-3</v>
      </c>
      <c r="J144" s="27">
        <v>52821</v>
      </c>
    </row>
    <row r="145" spans="1:10" ht="14.25" customHeight="1" x14ac:dyDescent="0.3">
      <c r="A145" s="76">
        <v>45684</v>
      </c>
      <c r="B145" s="7" t="s">
        <v>34</v>
      </c>
      <c r="C145" s="16">
        <v>7230</v>
      </c>
      <c r="D145" s="16">
        <v>869</v>
      </c>
      <c r="E145" s="16">
        <v>859838</v>
      </c>
      <c r="F145" s="81">
        <v>7.0117859410726204</v>
      </c>
      <c r="G145" s="94">
        <f t="shared" si="8"/>
        <v>6361</v>
      </c>
      <c r="H145" s="58">
        <f t="shared" si="9"/>
        <v>7.397905186791E-3</v>
      </c>
      <c r="I145" s="58">
        <f t="shared" si="10"/>
        <v>7.4606384176550064E-3</v>
      </c>
      <c r="J145" s="27">
        <v>56907</v>
      </c>
    </row>
    <row r="146" spans="1:10" ht="14.25" customHeight="1" x14ac:dyDescent="0.3">
      <c r="A146" s="76">
        <v>45684</v>
      </c>
      <c r="B146" s="7" t="s">
        <v>34</v>
      </c>
      <c r="C146" s="16">
        <v>5940</v>
      </c>
      <c r="D146" s="16">
        <v>512</v>
      </c>
      <c r="E146" s="16">
        <v>865266</v>
      </c>
      <c r="F146" s="81">
        <v>15.7972230504839</v>
      </c>
      <c r="G146" s="94">
        <f t="shared" si="8"/>
        <v>5428</v>
      </c>
      <c r="H146" s="58">
        <f t="shared" si="9"/>
        <v>6.2732154042803023E-3</v>
      </c>
      <c r="I146" s="58">
        <f t="shared" si="10"/>
        <v>6.3165783416305335E-3</v>
      </c>
      <c r="J146" s="27">
        <v>17531</v>
      </c>
    </row>
    <row r="147" spans="1:10" ht="14.25" customHeight="1" x14ac:dyDescent="0.3">
      <c r="A147" s="76">
        <v>45691</v>
      </c>
      <c r="B147" s="7" t="s">
        <v>34</v>
      </c>
      <c r="C147" s="16">
        <v>8788</v>
      </c>
      <c r="D147" s="16">
        <v>660</v>
      </c>
      <c r="E147" s="16">
        <v>880842</v>
      </c>
      <c r="F147" s="81">
        <v>3.7175793161543158</v>
      </c>
      <c r="G147" s="94">
        <f t="shared" si="8"/>
        <v>8128</v>
      </c>
      <c r="H147" s="58">
        <f t="shared" si="9"/>
        <v>9.2275345635199051E-3</v>
      </c>
      <c r="I147" s="58">
        <f t="shared" si="10"/>
        <v>9.3205237290351281E-3</v>
      </c>
      <c r="J147" s="27">
        <v>17710</v>
      </c>
    </row>
    <row r="148" spans="1:10" ht="14.25" customHeight="1" x14ac:dyDescent="0.3">
      <c r="A148" s="76">
        <v>45691</v>
      </c>
      <c r="B148" s="7" t="s">
        <v>34</v>
      </c>
      <c r="C148" s="16">
        <v>8650</v>
      </c>
      <c r="D148" s="16">
        <v>692</v>
      </c>
      <c r="E148" s="16">
        <v>897442</v>
      </c>
      <c r="F148" s="81">
        <v>7.6673478620345374</v>
      </c>
      <c r="G148" s="94">
        <f t="shared" si="8"/>
        <v>7958</v>
      </c>
      <c r="H148" s="58">
        <f t="shared" si="9"/>
        <v>8.8674254157928862E-3</v>
      </c>
      <c r="I148" s="58">
        <f t="shared" si="10"/>
        <v>8.9537259561292184E-3</v>
      </c>
      <c r="J148" s="27">
        <v>23975</v>
      </c>
    </row>
    <row r="149" spans="1:10" ht="14.25" customHeight="1" x14ac:dyDescent="0.3">
      <c r="A149" s="76">
        <v>45698</v>
      </c>
      <c r="B149" s="7" t="s">
        <v>34</v>
      </c>
      <c r="C149" s="16">
        <v>1147</v>
      </c>
      <c r="D149" s="16">
        <v>127</v>
      </c>
      <c r="E149" s="16">
        <v>904407</v>
      </c>
      <c r="F149" s="81">
        <v>1.3997016829812241</v>
      </c>
      <c r="G149" s="94">
        <f t="shared" si="8"/>
        <v>1020</v>
      </c>
      <c r="H149" s="58">
        <f t="shared" si="9"/>
        <v>1.1278108196862695E-3</v>
      </c>
      <c r="I149" s="58">
        <f t="shared" si="10"/>
        <v>1.1292429643734916E-3</v>
      </c>
      <c r="J149" s="27">
        <v>25261</v>
      </c>
    </row>
    <row r="150" spans="1:10" ht="14.25" customHeight="1" x14ac:dyDescent="0.3">
      <c r="A150" s="76">
        <v>45705</v>
      </c>
      <c r="B150" s="7" t="s">
        <v>34</v>
      </c>
      <c r="C150" s="16">
        <v>1365</v>
      </c>
      <c r="D150" s="16">
        <v>75</v>
      </c>
      <c r="E150" s="16">
        <v>912374</v>
      </c>
      <c r="F150" s="81">
        <v>9.2688963078737441</v>
      </c>
      <c r="G150" s="94">
        <f t="shared" si="8"/>
        <v>1290</v>
      </c>
      <c r="H150" s="58">
        <f t="shared" si="9"/>
        <v>1.4138938637006315E-3</v>
      </c>
      <c r="I150" s="58">
        <f t="shared" si="10"/>
        <v>1.416012355531065E-3</v>
      </c>
      <c r="J150" s="27">
        <v>19067</v>
      </c>
    </row>
    <row r="151" spans="1:10" ht="14.25" customHeight="1" x14ac:dyDescent="0.3">
      <c r="A151" s="76">
        <v>45719</v>
      </c>
      <c r="B151" s="7" t="s">
        <v>34</v>
      </c>
      <c r="C151" s="16">
        <v>2246</v>
      </c>
      <c r="D151" s="16">
        <v>165</v>
      </c>
      <c r="E151" s="16">
        <v>975533</v>
      </c>
      <c r="F151" s="81">
        <v>2.9062061457685191</v>
      </c>
      <c r="G151" s="94">
        <f t="shared" si="8"/>
        <v>2081</v>
      </c>
      <c r="H151" s="58">
        <f t="shared" si="9"/>
        <v>2.1331928289458173E-3</v>
      </c>
      <c r="I151" s="58">
        <f t="shared" si="10"/>
        <v>2.1381154787847778E-3</v>
      </c>
      <c r="J151" s="27">
        <v>27015</v>
      </c>
    </row>
    <row r="152" spans="1:10" ht="14.25" customHeight="1" x14ac:dyDescent="0.3">
      <c r="A152" s="76">
        <v>45719</v>
      </c>
      <c r="B152" s="7" t="s">
        <v>34</v>
      </c>
      <c r="C152" s="16">
        <v>4839</v>
      </c>
      <c r="D152" s="16">
        <v>594</v>
      </c>
      <c r="E152" s="16">
        <v>979778</v>
      </c>
      <c r="F152" s="81">
        <v>2.5803804535313102</v>
      </c>
      <c r="G152" s="94">
        <f t="shared" si="8"/>
        <v>4245</v>
      </c>
      <c r="H152" s="58">
        <f t="shared" si="9"/>
        <v>4.3326141227910814E-3</v>
      </c>
      <c r="I152" s="58">
        <f t="shared" si="10"/>
        <v>4.3541185653666534E-3</v>
      </c>
      <c r="J152" s="27">
        <v>42591</v>
      </c>
    </row>
    <row r="153" spans="1:10" ht="14.25" customHeight="1" x14ac:dyDescent="0.3">
      <c r="A153" s="76">
        <v>45726</v>
      </c>
      <c r="B153" s="7" t="s">
        <v>34</v>
      </c>
      <c r="C153" s="16">
        <v>9551</v>
      </c>
      <c r="D153" s="16">
        <v>828</v>
      </c>
      <c r="E153" s="16">
        <v>988501</v>
      </c>
      <c r="F153" s="81">
        <v>1.525036393488727</v>
      </c>
      <c r="G153" s="94">
        <f t="shared" si="8"/>
        <v>8723</v>
      </c>
      <c r="H153" s="58">
        <f t="shared" si="9"/>
        <v>8.8244726105487E-3</v>
      </c>
      <c r="I153" s="58">
        <f t="shared" si="10"/>
        <v>8.9105674447111701E-3</v>
      </c>
      <c r="J153" s="27">
        <v>38047</v>
      </c>
    </row>
    <row r="154" spans="1:10" ht="14.25" customHeight="1" x14ac:dyDescent="0.3">
      <c r="A154" s="76">
        <v>45747</v>
      </c>
      <c r="B154" s="7" t="s">
        <v>34</v>
      </c>
      <c r="C154" s="16">
        <v>6978</v>
      </c>
      <c r="D154" s="16">
        <v>706</v>
      </c>
      <c r="E154" s="16">
        <v>1057293</v>
      </c>
      <c r="F154" s="81">
        <v>5.057443868445171</v>
      </c>
      <c r="G154" s="94">
        <f t="shared" si="8"/>
        <v>6272</v>
      </c>
      <c r="H154" s="58">
        <f t="shared" si="9"/>
        <v>5.9321304501212058E-3</v>
      </c>
      <c r="I154" s="58">
        <f t="shared" si="10"/>
        <v>5.9715418707721015E-3</v>
      </c>
      <c r="J154" s="27">
        <v>28681</v>
      </c>
    </row>
    <row r="155" spans="1:10" ht="14.25" customHeight="1" x14ac:dyDescent="0.3">
      <c r="A155" s="76">
        <v>45754</v>
      </c>
      <c r="B155" s="7" t="s">
        <v>34</v>
      </c>
      <c r="C155" s="16">
        <v>9714</v>
      </c>
      <c r="D155" s="16">
        <v>1395</v>
      </c>
      <c r="E155" s="16">
        <v>1085943</v>
      </c>
      <c r="F155" s="81">
        <v>5.2243073531483697</v>
      </c>
      <c r="G155" s="94">
        <f t="shared" si="8"/>
        <v>8319</v>
      </c>
      <c r="H155" s="58">
        <f t="shared" si="9"/>
        <v>7.6606230713766746E-3</v>
      </c>
      <c r="I155" s="58">
        <f t="shared" si="10"/>
        <v>7.7297675494713489E-3</v>
      </c>
      <c r="J155" s="27">
        <v>40682</v>
      </c>
    </row>
    <row r="156" spans="1:10" ht="14.25" customHeight="1" x14ac:dyDescent="0.3">
      <c r="A156" s="76">
        <v>45768</v>
      </c>
      <c r="B156" s="7" t="s">
        <v>34</v>
      </c>
      <c r="C156" s="16">
        <v>8128</v>
      </c>
      <c r="D156" s="16">
        <v>1070</v>
      </c>
      <c r="E156" s="16">
        <v>1131337</v>
      </c>
      <c r="F156" s="81">
        <v>8.1114645768679008</v>
      </c>
      <c r="G156" s="94">
        <f t="shared" si="8"/>
        <v>7058</v>
      </c>
      <c r="H156" s="58">
        <f t="shared" si="9"/>
        <v>6.2386362330587612E-3</v>
      </c>
      <c r="I156" s="58">
        <f t="shared" si="10"/>
        <v>6.2837815580181425E-3</v>
      </c>
      <c r="J156" s="27">
        <v>21918</v>
      </c>
    </row>
    <row r="157" spans="1:10" ht="14.25" customHeight="1" x14ac:dyDescent="0.3">
      <c r="A157" s="76">
        <v>45775</v>
      </c>
      <c r="B157" s="7" t="s">
        <v>34</v>
      </c>
      <c r="C157" s="16">
        <v>3160</v>
      </c>
      <c r="D157" s="16">
        <v>234</v>
      </c>
      <c r="E157" s="16">
        <v>1138871</v>
      </c>
      <c r="F157" s="81">
        <v>5.6959041015180816</v>
      </c>
      <c r="G157" s="94">
        <f t="shared" si="8"/>
        <v>2926</v>
      </c>
      <c r="H157" s="58">
        <f t="shared" si="9"/>
        <v>2.5692110871204906E-3</v>
      </c>
      <c r="I157" s="58">
        <f t="shared" si="10"/>
        <v>2.5763596548769889E-3</v>
      </c>
      <c r="J157" s="27">
        <v>21929</v>
      </c>
    </row>
    <row r="158" spans="1:10" ht="14.25" customHeight="1" x14ac:dyDescent="0.3">
      <c r="A158" s="76">
        <v>45775</v>
      </c>
      <c r="B158" s="7" t="s">
        <v>34</v>
      </c>
      <c r="C158" s="16">
        <v>8031</v>
      </c>
      <c r="D158" s="16">
        <v>476</v>
      </c>
      <c r="E158" s="16">
        <v>1146426</v>
      </c>
      <c r="F158" s="81">
        <v>11.940413075069831</v>
      </c>
      <c r="G158" s="94">
        <f t="shared" si="8"/>
        <v>7555</v>
      </c>
      <c r="H158" s="58">
        <f t="shared" si="9"/>
        <v>6.5900459340594159E-3</v>
      </c>
      <c r="I158" s="58">
        <f t="shared" si="10"/>
        <v>6.6365365273037919E-3</v>
      </c>
      <c r="J158" s="27">
        <v>12539</v>
      </c>
    </row>
    <row r="159" spans="1:10" ht="14.25" customHeight="1" x14ac:dyDescent="0.3">
      <c r="A159" s="76">
        <v>45775</v>
      </c>
      <c r="B159" s="7" t="s">
        <v>34</v>
      </c>
      <c r="C159" s="16">
        <v>6341</v>
      </c>
      <c r="D159" s="16">
        <v>885</v>
      </c>
      <c r="E159" s="16">
        <v>1151882</v>
      </c>
      <c r="F159" s="81">
        <v>6.3457020771224837</v>
      </c>
      <c r="G159" s="94">
        <f t="shared" si="8"/>
        <v>5456</v>
      </c>
      <c r="H159" s="58">
        <f t="shared" si="9"/>
        <v>4.7365962832998515E-3</v>
      </c>
      <c r="I159" s="58">
        <f t="shared" si="10"/>
        <v>4.762815124033099E-3</v>
      </c>
      <c r="J159" s="27">
        <v>46727</v>
      </c>
    </row>
    <row r="160" spans="1:10" ht="14.25" customHeight="1" x14ac:dyDescent="0.3">
      <c r="A160" s="76">
        <v>45789</v>
      </c>
      <c r="B160" s="7" t="s">
        <v>34</v>
      </c>
      <c r="C160" s="16">
        <v>8527</v>
      </c>
      <c r="D160" s="16">
        <v>1091</v>
      </c>
      <c r="E160" s="16">
        <v>1186398</v>
      </c>
      <c r="F160" s="81">
        <v>1.676081719625286</v>
      </c>
      <c r="G160" s="94">
        <f t="shared" si="8"/>
        <v>7436</v>
      </c>
      <c r="H160" s="58">
        <f t="shared" si="9"/>
        <v>6.267711172810473E-3</v>
      </c>
      <c r="I160" s="58">
        <f t="shared" si="10"/>
        <v>6.3130852190095522E-3</v>
      </c>
      <c r="J160" s="27">
        <v>41703</v>
      </c>
    </row>
    <row r="161" spans="1:10" ht="14.25" customHeight="1" x14ac:dyDescent="0.3">
      <c r="A161" s="76">
        <v>45446</v>
      </c>
      <c r="B161" s="7" t="s">
        <v>13</v>
      </c>
      <c r="C161" s="16">
        <v>9264</v>
      </c>
      <c r="D161" s="16">
        <v>1141</v>
      </c>
      <c r="E161" s="16">
        <v>119332</v>
      </c>
      <c r="F161" s="81">
        <v>92.312204605638044</v>
      </c>
      <c r="G161" s="94">
        <f t="shared" si="8"/>
        <v>8123</v>
      </c>
      <c r="H161" s="58">
        <f t="shared" si="9"/>
        <v>6.8070592967519189E-2</v>
      </c>
      <c r="I161" s="58">
        <f t="shared" si="10"/>
        <v>7.3799832830613796E-2</v>
      </c>
      <c r="J161" s="27">
        <v>50372</v>
      </c>
    </row>
    <row r="162" spans="1:10" ht="14.25" customHeight="1" x14ac:dyDescent="0.3">
      <c r="A162" s="76">
        <v>45446</v>
      </c>
      <c r="B162" s="7" t="s">
        <v>13</v>
      </c>
      <c r="C162" s="16">
        <v>8842</v>
      </c>
      <c r="D162" s="16">
        <v>971</v>
      </c>
      <c r="E162" s="16">
        <v>127203</v>
      </c>
      <c r="F162" s="81">
        <v>16.351815601833291</v>
      </c>
      <c r="G162" s="94">
        <f t="shared" si="8"/>
        <v>7871</v>
      </c>
      <c r="H162" s="58">
        <f t="shared" ref="H162:H193" si="11">(C162-D162)/E162</f>
        <v>6.1877471443283573E-2</v>
      </c>
      <c r="I162" s="58">
        <f t="shared" si="10"/>
        <v>6.6499945083262221E-2</v>
      </c>
      <c r="J162" s="27">
        <v>33928</v>
      </c>
    </row>
    <row r="163" spans="1:10" ht="14.25" customHeight="1" x14ac:dyDescent="0.3">
      <c r="A163" s="76">
        <v>45453</v>
      </c>
      <c r="B163" s="7" t="s">
        <v>13</v>
      </c>
      <c r="C163" s="16">
        <v>8002</v>
      </c>
      <c r="D163" s="16">
        <v>524</v>
      </c>
      <c r="E163" s="16">
        <v>141896</v>
      </c>
      <c r="F163" s="81">
        <v>52.064892597395271</v>
      </c>
      <c r="G163" s="94">
        <f t="shared" si="8"/>
        <v>7478</v>
      </c>
      <c r="H163" s="58">
        <f t="shared" si="11"/>
        <v>5.270056943113266E-2</v>
      </c>
      <c r="I163" s="58">
        <f t="shared" si="10"/>
        <v>5.5850150118750656E-2</v>
      </c>
      <c r="J163" s="27">
        <v>46751</v>
      </c>
    </row>
    <row r="164" spans="1:10" ht="14.25" customHeight="1" x14ac:dyDescent="0.3">
      <c r="A164" s="76">
        <v>45467</v>
      </c>
      <c r="B164" s="7" t="s">
        <v>13</v>
      </c>
      <c r="C164" s="16">
        <v>9286</v>
      </c>
      <c r="D164" s="16">
        <v>633</v>
      </c>
      <c r="E164" s="16">
        <v>198388</v>
      </c>
      <c r="F164" s="81">
        <v>5.4343004617214756</v>
      </c>
      <c r="G164" s="94">
        <f t="shared" si="8"/>
        <v>8653</v>
      </c>
      <c r="H164" s="58">
        <f t="shared" si="11"/>
        <v>4.3616549388067825E-2</v>
      </c>
      <c r="I164" s="58">
        <f t="shared" si="10"/>
        <v>4.5758373787691299E-2</v>
      </c>
      <c r="J164" s="27">
        <v>48019</v>
      </c>
    </row>
    <row r="165" spans="1:10" ht="14.25" customHeight="1" x14ac:dyDescent="0.3">
      <c r="A165" s="76">
        <v>45488</v>
      </c>
      <c r="B165" s="7" t="s">
        <v>13</v>
      </c>
      <c r="C165" s="16">
        <v>1963</v>
      </c>
      <c r="D165" s="16">
        <v>137</v>
      </c>
      <c r="E165" s="16">
        <v>255684</v>
      </c>
      <c r="F165" s="81">
        <v>11.2083665774941</v>
      </c>
      <c r="G165" s="94">
        <f t="shared" si="8"/>
        <v>1826</v>
      </c>
      <c r="H165" s="58">
        <f t="shared" si="11"/>
        <v>7.1416279469970747E-3</v>
      </c>
      <c r="I165" s="58">
        <f t="shared" si="10"/>
        <v>7.1968816140563852E-3</v>
      </c>
      <c r="J165" s="27">
        <v>24537</v>
      </c>
    </row>
    <row r="166" spans="1:10" ht="14.25" customHeight="1" x14ac:dyDescent="0.3">
      <c r="A166" s="76">
        <v>45495</v>
      </c>
      <c r="B166" s="7" t="s">
        <v>13</v>
      </c>
      <c r="C166" s="16">
        <v>9734</v>
      </c>
      <c r="D166" s="16">
        <v>652</v>
      </c>
      <c r="E166" s="16">
        <v>289283</v>
      </c>
      <c r="F166" s="81">
        <v>49.647922622483861</v>
      </c>
      <c r="G166" s="94">
        <f t="shared" si="8"/>
        <v>9082</v>
      </c>
      <c r="H166" s="58">
        <f t="shared" si="11"/>
        <v>3.1394862470314533E-2</v>
      </c>
      <c r="I166" s="58">
        <f t="shared" si="10"/>
        <v>3.248804324107759E-2</v>
      </c>
      <c r="J166" s="27">
        <v>25379</v>
      </c>
    </row>
    <row r="167" spans="1:10" ht="14.25" customHeight="1" x14ac:dyDescent="0.3">
      <c r="A167" s="76">
        <v>45502</v>
      </c>
      <c r="B167" s="7" t="s">
        <v>13</v>
      </c>
      <c r="C167" s="16">
        <v>4036</v>
      </c>
      <c r="D167" s="16">
        <v>591</v>
      </c>
      <c r="E167" s="16">
        <v>300265</v>
      </c>
      <c r="F167" s="81">
        <v>44.219272975538267</v>
      </c>
      <c r="G167" s="94">
        <f t="shared" si="8"/>
        <v>3445</v>
      </c>
      <c r="H167" s="58">
        <f t="shared" si="11"/>
        <v>1.1473198674504187E-2</v>
      </c>
      <c r="I167" s="58">
        <f t="shared" si="10"/>
        <v>1.1629516353901879E-2</v>
      </c>
      <c r="J167" s="27">
        <v>12563</v>
      </c>
    </row>
    <row r="168" spans="1:10" ht="14.25" customHeight="1" x14ac:dyDescent="0.3">
      <c r="A168" s="76">
        <v>45509</v>
      </c>
      <c r="B168" s="7" t="s">
        <v>13</v>
      </c>
      <c r="C168" s="16">
        <v>2884</v>
      </c>
      <c r="D168" s="16">
        <v>341</v>
      </c>
      <c r="E168" s="16">
        <v>315557</v>
      </c>
      <c r="F168" s="81">
        <v>46.999749649033298</v>
      </c>
      <c r="G168" s="94">
        <f t="shared" si="8"/>
        <v>2543</v>
      </c>
      <c r="H168" s="58">
        <f t="shared" si="11"/>
        <v>8.058765928184131E-3</v>
      </c>
      <c r="I168" s="58">
        <f t="shared" si="10"/>
        <v>8.1330975172144698E-3</v>
      </c>
      <c r="J168" s="27">
        <v>26087</v>
      </c>
    </row>
    <row r="169" spans="1:10" ht="14.25" customHeight="1" x14ac:dyDescent="0.3">
      <c r="A169" s="76">
        <v>45516</v>
      </c>
      <c r="B169" s="7" t="s">
        <v>13</v>
      </c>
      <c r="C169" s="16">
        <v>7430</v>
      </c>
      <c r="D169" s="16">
        <v>397</v>
      </c>
      <c r="E169" s="16">
        <v>340085</v>
      </c>
      <c r="F169" s="81">
        <v>28.065042562888689</v>
      </c>
      <c r="G169" s="94">
        <f t="shared" si="8"/>
        <v>7033</v>
      </c>
      <c r="H169" s="58">
        <f t="shared" si="11"/>
        <v>2.0680124086625402E-2</v>
      </c>
      <c r="I169" s="58">
        <f t="shared" si="10"/>
        <v>2.1142024018878419E-2</v>
      </c>
      <c r="J169" s="27">
        <v>16643</v>
      </c>
    </row>
    <row r="170" spans="1:10" ht="14.25" customHeight="1" x14ac:dyDescent="0.3">
      <c r="A170" s="76">
        <v>45523</v>
      </c>
      <c r="B170" s="7" t="s">
        <v>13</v>
      </c>
      <c r="C170" s="16">
        <v>5737</v>
      </c>
      <c r="D170" s="16">
        <v>666</v>
      </c>
      <c r="E170" s="16">
        <v>359081</v>
      </c>
      <c r="F170" s="81">
        <v>4.6034181702735593</v>
      </c>
      <c r="G170" s="94">
        <f t="shared" si="8"/>
        <v>5071</v>
      </c>
      <c r="H170" s="58">
        <f t="shared" si="11"/>
        <v>1.4122161852061233E-2</v>
      </c>
      <c r="I170" s="58">
        <f t="shared" si="10"/>
        <v>1.4351453541025176E-2</v>
      </c>
      <c r="J170" s="27">
        <v>21005</v>
      </c>
    </row>
    <row r="171" spans="1:10" ht="14.25" customHeight="1" x14ac:dyDescent="0.3">
      <c r="A171" s="76">
        <v>45523</v>
      </c>
      <c r="B171" s="7" t="s">
        <v>13</v>
      </c>
      <c r="C171" s="16">
        <v>4850</v>
      </c>
      <c r="D171" s="16">
        <v>494</v>
      </c>
      <c r="E171" s="16">
        <v>370352</v>
      </c>
      <c r="F171" s="81">
        <v>20.46539508359615</v>
      </c>
      <c r="G171" s="94">
        <f t="shared" si="8"/>
        <v>4356</v>
      </c>
      <c r="H171" s="58">
        <f t="shared" si="11"/>
        <v>1.176178338445587E-2</v>
      </c>
      <c r="I171" s="58">
        <f t="shared" si="10"/>
        <v>1.1917855442651476E-2</v>
      </c>
      <c r="J171" s="27">
        <v>10161</v>
      </c>
    </row>
    <row r="172" spans="1:10" ht="14.25" customHeight="1" x14ac:dyDescent="0.3">
      <c r="A172" s="76">
        <v>45530</v>
      </c>
      <c r="B172" s="7" t="s">
        <v>13</v>
      </c>
      <c r="C172" s="16">
        <v>6078</v>
      </c>
      <c r="D172" s="16">
        <v>775</v>
      </c>
      <c r="E172" s="16">
        <v>391152</v>
      </c>
      <c r="F172" s="81">
        <v>37.760512537325639</v>
      </c>
      <c r="G172" s="94">
        <f t="shared" si="8"/>
        <v>5303</v>
      </c>
      <c r="H172" s="58">
        <f t="shared" si="11"/>
        <v>1.3557389454738823E-2</v>
      </c>
      <c r="I172" s="58">
        <f t="shared" si="10"/>
        <v>1.3771379007671253E-2</v>
      </c>
      <c r="J172" s="27">
        <v>38731</v>
      </c>
    </row>
    <row r="173" spans="1:10" ht="14.25" customHeight="1" x14ac:dyDescent="0.3">
      <c r="A173" s="76">
        <v>45544</v>
      </c>
      <c r="B173" s="7" t="s">
        <v>13</v>
      </c>
      <c r="C173" s="16">
        <v>9800</v>
      </c>
      <c r="D173" s="16">
        <v>682</v>
      </c>
      <c r="E173" s="16">
        <v>429929</v>
      </c>
      <c r="F173" s="81">
        <v>6.2966210699906267</v>
      </c>
      <c r="G173" s="94">
        <f t="shared" si="8"/>
        <v>9118</v>
      </c>
      <c r="H173" s="58">
        <f t="shared" si="11"/>
        <v>2.1208152974095722E-2</v>
      </c>
      <c r="I173" s="58">
        <f t="shared" si="10"/>
        <v>2.1702857931730494E-2</v>
      </c>
      <c r="J173" s="27">
        <v>59815</v>
      </c>
    </row>
    <row r="174" spans="1:10" ht="14.25" customHeight="1" x14ac:dyDescent="0.3">
      <c r="A174" s="76">
        <v>45544</v>
      </c>
      <c r="B174" s="7" t="s">
        <v>13</v>
      </c>
      <c r="C174" s="16">
        <v>2638</v>
      </c>
      <c r="D174" s="16">
        <v>143</v>
      </c>
      <c r="E174" s="16">
        <v>432424</v>
      </c>
      <c r="F174" s="81">
        <v>6.9547481175882924</v>
      </c>
      <c r="G174" s="94">
        <f t="shared" si="8"/>
        <v>2495</v>
      </c>
      <c r="H174" s="58">
        <f t="shared" si="11"/>
        <v>5.7698000111002165E-3</v>
      </c>
      <c r="I174" s="58">
        <f t="shared" si="10"/>
        <v>5.8052146882401944E-3</v>
      </c>
      <c r="J174" s="27">
        <v>52092</v>
      </c>
    </row>
    <row r="175" spans="1:10" ht="14.25" customHeight="1" x14ac:dyDescent="0.3">
      <c r="A175" s="76">
        <v>45551</v>
      </c>
      <c r="B175" s="7" t="s">
        <v>13</v>
      </c>
      <c r="C175" s="16">
        <v>7928</v>
      </c>
      <c r="D175" s="16">
        <v>704</v>
      </c>
      <c r="E175" s="16">
        <v>445769</v>
      </c>
      <c r="F175" s="81">
        <v>11.194362999670229</v>
      </c>
      <c r="G175" s="94">
        <f t="shared" si="8"/>
        <v>7224</v>
      </c>
      <c r="H175" s="58">
        <f t="shared" si="11"/>
        <v>1.6205702953772022E-2</v>
      </c>
      <c r="I175" s="58">
        <f t="shared" si="10"/>
        <v>1.6499140098802989E-2</v>
      </c>
      <c r="J175" s="27">
        <v>31817</v>
      </c>
    </row>
    <row r="176" spans="1:10" ht="14.25" customHeight="1" x14ac:dyDescent="0.3">
      <c r="A176" s="76">
        <v>45551</v>
      </c>
      <c r="B176" s="7" t="s">
        <v>13</v>
      </c>
      <c r="C176" s="16">
        <v>2403</v>
      </c>
      <c r="D176" s="16">
        <v>319</v>
      </c>
      <c r="E176" s="16">
        <v>450052</v>
      </c>
      <c r="F176" s="81">
        <v>29.92120910472568</v>
      </c>
      <c r="G176" s="94">
        <f t="shared" si="8"/>
        <v>2084</v>
      </c>
      <c r="H176" s="58">
        <f t="shared" si="11"/>
        <v>4.6305760223263092E-3</v>
      </c>
      <c r="I176" s="58">
        <f t="shared" si="10"/>
        <v>4.6554331630362178E-3</v>
      </c>
      <c r="J176" s="27">
        <v>23428</v>
      </c>
    </row>
    <row r="177" spans="1:10" ht="14.25" customHeight="1" x14ac:dyDescent="0.3">
      <c r="A177" s="76">
        <v>45572</v>
      </c>
      <c r="B177" s="7" t="s">
        <v>13</v>
      </c>
      <c r="C177" s="16">
        <v>7140</v>
      </c>
      <c r="D177" s="16">
        <v>939</v>
      </c>
      <c r="E177" s="16">
        <v>499015</v>
      </c>
      <c r="F177" s="81">
        <v>25.120888149654821</v>
      </c>
      <c r="G177" s="94">
        <f t="shared" si="8"/>
        <v>6201</v>
      </c>
      <c r="H177" s="58">
        <f t="shared" si="11"/>
        <v>1.2426480165926877E-2</v>
      </c>
      <c r="I177" s="58">
        <f t="shared" si="10"/>
        <v>1.2606861499364677E-2</v>
      </c>
      <c r="J177" s="27">
        <v>43598</v>
      </c>
    </row>
    <row r="178" spans="1:10" ht="14.25" customHeight="1" x14ac:dyDescent="0.3">
      <c r="A178" s="76">
        <v>45572</v>
      </c>
      <c r="B178" s="7" t="s">
        <v>13</v>
      </c>
      <c r="C178" s="16">
        <v>4716</v>
      </c>
      <c r="D178" s="16">
        <v>569</v>
      </c>
      <c r="E178" s="16">
        <v>503162</v>
      </c>
      <c r="F178" s="81">
        <v>25.64820077827817</v>
      </c>
      <c r="G178" s="94">
        <f t="shared" si="8"/>
        <v>4147</v>
      </c>
      <c r="H178" s="58">
        <f t="shared" si="11"/>
        <v>8.2418783612434963E-3</v>
      </c>
      <c r="I178" s="58">
        <f t="shared" si="10"/>
        <v>8.3198581190339575E-3</v>
      </c>
      <c r="J178" s="27">
        <v>11651</v>
      </c>
    </row>
    <row r="179" spans="1:10" ht="14.25" customHeight="1" x14ac:dyDescent="0.3">
      <c r="A179" s="76">
        <v>45579</v>
      </c>
      <c r="B179" s="7" t="s">
        <v>13</v>
      </c>
      <c r="C179" s="16">
        <v>7548</v>
      </c>
      <c r="D179" s="16">
        <v>433</v>
      </c>
      <c r="E179" s="16">
        <v>522852</v>
      </c>
      <c r="F179" s="81">
        <v>8.3562843787534522</v>
      </c>
      <c r="G179" s="94">
        <f t="shared" si="8"/>
        <v>7115</v>
      </c>
      <c r="H179" s="58">
        <f t="shared" si="11"/>
        <v>1.3608057347012157E-2</v>
      </c>
      <c r="I179" s="58">
        <f t="shared" si="10"/>
        <v>1.3807383602688898E-2</v>
      </c>
      <c r="J179" s="27">
        <v>37386</v>
      </c>
    </row>
    <row r="180" spans="1:10" ht="14.25" customHeight="1" x14ac:dyDescent="0.3">
      <c r="A180" s="76">
        <v>45586</v>
      </c>
      <c r="B180" s="7" t="s">
        <v>13</v>
      </c>
      <c r="C180" s="16">
        <v>7793</v>
      </c>
      <c r="D180" s="16">
        <v>875</v>
      </c>
      <c r="E180" s="16">
        <v>545824</v>
      </c>
      <c r="F180" s="81">
        <v>5.5136820660139527</v>
      </c>
      <c r="G180" s="94">
        <f t="shared" si="8"/>
        <v>6918</v>
      </c>
      <c r="H180" s="58">
        <f t="shared" si="11"/>
        <v>1.267441519610717E-2</v>
      </c>
      <c r="I180" s="58">
        <f t="shared" si="10"/>
        <v>1.2857995171281953E-2</v>
      </c>
      <c r="J180" s="27">
        <v>43787</v>
      </c>
    </row>
    <row r="181" spans="1:10" ht="14.25" customHeight="1" x14ac:dyDescent="0.3">
      <c r="A181" s="76">
        <v>45593</v>
      </c>
      <c r="B181" s="7" t="s">
        <v>13</v>
      </c>
      <c r="C181" s="16">
        <v>7007</v>
      </c>
      <c r="D181" s="16">
        <v>568</v>
      </c>
      <c r="E181" s="16">
        <v>568671</v>
      </c>
      <c r="F181" s="81">
        <v>11.50507059442103</v>
      </c>
      <c r="G181" s="94">
        <f t="shared" si="8"/>
        <v>6439</v>
      </c>
      <c r="H181" s="58">
        <f t="shared" si="11"/>
        <v>1.1322891443382905E-2</v>
      </c>
      <c r="I181" s="58">
        <f t="shared" si="10"/>
        <v>1.1464149384685506E-2</v>
      </c>
      <c r="J181" s="27">
        <v>22448</v>
      </c>
    </row>
    <row r="182" spans="1:10" ht="14.25" customHeight="1" x14ac:dyDescent="0.3">
      <c r="A182" s="76">
        <v>45593</v>
      </c>
      <c r="B182" s="7" t="s">
        <v>13</v>
      </c>
      <c r="C182" s="16">
        <v>6542</v>
      </c>
      <c r="D182" s="16">
        <v>539</v>
      </c>
      <c r="E182" s="16">
        <v>574674</v>
      </c>
      <c r="F182" s="81">
        <v>6.4069368024305948</v>
      </c>
      <c r="G182" s="94">
        <f t="shared" si="8"/>
        <v>6003</v>
      </c>
      <c r="H182" s="58">
        <f t="shared" si="11"/>
        <v>1.0445922383821088E-2</v>
      </c>
      <c r="I182" s="58">
        <f t="shared" si="10"/>
        <v>1.0566206444981095E-2</v>
      </c>
      <c r="J182" s="27">
        <v>55253</v>
      </c>
    </row>
    <row r="183" spans="1:10" ht="14.25" customHeight="1" x14ac:dyDescent="0.3">
      <c r="A183" s="76">
        <v>45600</v>
      </c>
      <c r="B183" s="7" t="s">
        <v>13</v>
      </c>
      <c r="C183" s="16">
        <v>3385</v>
      </c>
      <c r="D183" s="16">
        <v>329</v>
      </c>
      <c r="E183" s="16">
        <v>599760</v>
      </c>
      <c r="F183" s="81">
        <v>17.61788048552755</v>
      </c>
      <c r="G183" s="94">
        <f t="shared" si="8"/>
        <v>3056</v>
      </c>
      <c r="H183" s="58">
        <f t="shared" si="11"/>
        <v>5.0953714819261036E-3</v>
      </c>
      <c r="I183" s="58">
        <f t="shared" si="10"/>
        <v>5.1242926011318378E-3</v>
      </c>
      <c r="J183" s="27">
        <v>28394</v>
      </c>
    </row>
    <row r="184" spans="1:10" ht="14.25" customHeight="1" x14ac:dyDescent="0.3">
      <c r="A184" s="76">
        <v>45607</v>
      </c>
      <c r="B184" s="7" t="s">
        <v>13</v>
      </c>
      <c r="C184" s="16">
        <v>5795</v>
      </c>
      <c r="D184" s="16">
        <v>575</v>
      </c>
      <c r="E184" s="16">
        <v>625922</v>
      </c>
      <c r="F184" s="81">
        <v>3.0908004511744269</v>
      </c>
      <c r="G184" s="94">
        <f t="shared" si="8"/>
        <v>5220</v>
      </c>
      <c r="H184" s="58">
        <f t="shared" si="11"/>
        <v>8.3396972785746461E-3</v>
      </c>
      <c r="I184" s="58">
        <f t="shared" si="10"/>
        <v>8.4176305821226944E-3</v>
      </c>
      <c r="J184" s="27">
        <v>55657</v>
      </c>
    </row>
    <row r="185" spans="1:10" ht="14.25" customHeight="1" x14ac:dyDescent="0.3">
      <c r="A185" s="76">
        <v>45621</v>
      </c>
      <c r="B185" s="7" t="s">
        <v>13</v>
      </c>
      <c r="C185" s="16">
        <v>5719</v>
      </c>
      <c r="D185" s="16">
        <v>576</v>
      </c>
      <c r="E185" s="16">
        <v>675785</v>
      </c>
      <c r="F185" s="81">
        <v>10.21656296011305</v>
      </c>
      <c r="G185" s="94">
        <f t="shared" si="8"/>
        <v>5143</v>
      </c>
      <c r="H185" s="58">
        <f t="shared" si="11"/>
        <v>7.6104086358827145E-3</v>
      </c>
      <c r="I185" s="58">
        <f t="shared" si="10"/>
        <v>7.6753633224189858E-3</v>
      </c>
      <c r="J185" s="27">
        <v>38272</v>
      </c>
    </row>
    <row r="186" spans="1:10" ht="14.25" customHeight="1" x14ac:dyDescent="0.3">
      <c r="A186" s="76">
        <v>45628</v>
      </c>
      <c r="B186" s="7" t="s">
        <v>13</v>
      </c>
      <c r="C186" s="16">
        <v>4493</v>
      </c>
      <c r="D186" s="16">
        <v>564</v>
      </c>
      <c r="E186" s="16">
        <v>694115</v>
      </c>
      <c r="F186" s="81">
        <v>16.625487131094989</v>
      </c>
      <c r="G186" s="94">
        <f t="shared" si="8"/>
        <v>3929</v>
      </c>
      <c r="H186" s="58">
        <f t="shared" si="11"/>
        <v>5.660445315257558E-3</v>
      </c>
      <c r="I186" s="58">
        <f t="shared" si="10"/>
        <v>5.6973240412863859E-3</v>
      </c>
      <c r="J186" s="27">
        <v>45525</v>
      </c>
    </row>
    <row r="187" spans="1:10" ht="14.25" customHeight="1" x14ac:dyDescent="0.3">
      <c r="A187" s="76">
        <v>45635</v>
      </c>
      <c r="B187" s="7" t="s">
        <v>13</v>
      </c>
      <c r="C187" s="16">
        <v>5200</v>
      </c>
      <c r="D187" s="16">
        <v>410</v>
      </c>
      <c r="E187" s="16">
        <v>709008</v>
      </c>
      <c r="F187" s="81">
        <v>12.913394489201821</v>
      </c>
      <c r="G187" s="94">
        <f t="shared" si="8"/>
        <v>4790</v>
      </c>
      <c r="H187" s="58">
        <f t="shared" si="11"/>
        <v>6.7559181278631555E-3</v>
      </c>
      <c r="I187" s="58">
        <f t="shared" si="10"/>
        <v>6.8058334091115761E-3</v>
      </c>
      <c r="J187" s="27">
        <v>28994</v>
      </c>
    </row>
    <row r="188" spans="1:10" ht="14.25" customHeight="1" x14ac:dyDescent="0.3">
      <c r="A188" s="76">
        <v>45649</v>
      </c>
      <c r="B188" s="7" t="s">
        <v>13</v>
      </c>
      <c r="C188" s="16">
        <v>8177</v>
      </c>
      <c r="D188" s="16">
        <v>849</v>
      </c>
      <c r="E188" s="16">
        <v>748744</v>
      </c>
      <c r="F188" s="81">
        <v>10.34986590877523</v>
      </c>
      <c r="G188" s="94">
        <f t="shared" si="8"/>
        <v>7328</v>
      </c>
      <c r="H188" s="58">
        <f t="shared" si="11"/>
        <v>9.7870567243276748E-3</v>
      </c>
      <c r="I188" s="58">
        <f t="shared" si="10"/>
        <v>9.8951209006072367E-3</v>
      </c>
      <c r="J188" s="27">
        <v>52963</v>
      </c>
    </row>
    <row r="189" spans="1:10" ht="14.25" customHeight="1" x14ac:dyDescent="0.3">
      <c r="A189" s="76">
        <v>45663</v>
      </c>
      <c r="B189" s="7" t="s">
        <v>13</v>
      </c>
      <c r="C189" s="16">
        <v>9906</v>
      </c>
      <c r="D189" s="16">
        <v>1305</v>
      </c>
      <c r="E189" s="16">
        <v>798137</v>
      </c>
      <c r="F189" s="81">
        <v>9.1811305577864442</v>
      </c>
      <c r="G189" s="94">
        <f t="shared" si="8"/>
        <v>8601</v>
      </c>
      <c r="H189" s="58">
        <f t="shared" si="11"/>
        <v>1.0776345414383746E-2</v>
      </c>
      <c r="I189" s="58">
        <f t="shared" si="10"/>
        <v>1.091177586265955E-2</v>
      </c>
      <c r="J189" s="27">
        <v>29715</v>
      </c>
    </row>
    <row r="190" spans="1:10" ht="14.25" customHeight="1" x14ac:dyDescent="0.3">
      <c r="A190" s="76">
        <v>45670</v>
      </c>
      <c r="B190" s="7" t="s">
        <v>13</v>
      </c>
      <c r="C190" s="16">
        <v>1078</v>
      </c>
      <c r="D190" s="16">
        <v>77</v>
      </c>
      <c r="E190" s="16">
        <v>818408</v>
      </c>
      <c r="F190" s="81">
        <v>18.236747441373989</v>
      </c>
      <c r="G190" s="94">
        <f t="shared" si="8"/>
        <v>1001</v>
      </c>
      <c r="H190" s="58">
        <f t="shared" si="11"/>
        <v>1.2231063234963489E-3</v>
      </c>
      <c r="I190" s="58">
        <f t="shared" si="10"/>
        <v>1.2247195135379834E-3</v>
      </c>
      <c r="J190" s="27">
        <v>12839</v>
      </c>
    </row>
    <row r="191" spans="1:10" ht="14.25" customHeight="1" x14ac:dyDescent="0.3">
      <c r="A191" s="76">
        <v>45677</v>
      </c>
      <c r="B191" s="7" t="s">
        <v>13</v>
      </c>
      <c r="C191" s="16">
        <v>8340</v>
      </c>
      <c r="D191" s="16">
        <v>686</v>
      </c>
      <c r="E191" s="16">
        <v>846217</v>
      </c>
      <c r="F191" s="81">
        <v>7.201344336027284</v>
      </c>
      <c r="G191" s="94">
        <f t="shared" si="8"/>
        <v>7654</v>
      </c>
      <c r="H191" s="58">
        <f t="shared" si="11"/>
        <v>9.0449612806171465E-3</v>
      </c>
      <c r="I191" s="58">
        <f t="shared" si="10"/>
        <v>9.1349923676148168E-3</v>
      </c>
      <c r="J191" s="27">
        <v>23493</v>
      </c>
    </row>
    <row r="192" spans="1:10" ht="14.25" customHeight="1" x14ac:dyDescent="0.3">
      <c r="A192" s="76">
        <v>45691</v>
      </c>
      <c r="B192" s="7" t="s">
        <v>13</v>
      </c>
      <c r="C192" s="16">
        <v>4456</v>
      </c>
      <c r="D192" s="16">
        <v>651</v>
      </c>
      <c r="E192" s="16">
        <v>872714</v>
      </c>
      <c r="F192" s="81">
        <v>9.5052903929580594</v>
      </c>
      <c r="G192" s="94">
        <f t="shared" si="8"/>
        <v>3805</v>
      </c>
      <c r="H192" s="58">
        <f t="shared" si="11"/>
        <v>4.3599621410908961E-3</v>
      </c>
      <c r="I192" s="58">
        <f t="shared" si="10"/>
        <v>4.3823379686682993E-3</v>
      </c>
      <c r="J192" s="27">
        <v>17736</v>
      </c>
    </row>
    <row r="193" spans="1:10" ht="14.25" customHeight="1" x14ac:dyDescent="0.3">
      <c r="A193" s="76">
        <v>45691</v>
      </c>
      <c r="B193" s="7" t="s">
        <v>13</v>
      </c>
      <c r="C193" s="16">
        <v>9599</v>
      </c>
      <c r="D193" s="16">
        <v>957</v>
      </c>
      <c r="E193" s="16">
        <v>889484</v>
      </c>
      <c r="F193" s="81">
        <v>8.768004820772493</v>
      </c>
      <c r="G193" s="94">
        <f t="shared" si="8"/>
        <v>8642</v>
      </c>
      <c r="H193" s="58">
        <f t="shared" si="11"/>
        <v>9.7157453085159485E-3</v>
      </c>
      <c r="I193" s="58">
        <f t="shared" si="10"/>
        <v>9.8217380680429827E-3</v>
      </c>
      <c r="J193" s="27">
        <v>11619</v>
      </c>
    </row>
    <row r="194" spans="1:10" ht="14.25" customHeight="1" x14ac:dyDescent="0.3">
      <c r="A194" s="76">
        <v>45712</v>
      </c>
      <c r="B194" s="7" t="s">
        <v>13</v>
      </c>
      <c r="C194" s="16">
        <v>9964</v>
      </c>
      <c r="D194" s="16">
        <v>985</v>
      </c>
      <c r="E194" s="16">
        <v>947047</v>
      </c>
      <c r="F194" s="81">
        <v>1.9837452629066989</v>
      </c>
      <c r="G194" s="94">
        <f t="shared" ref="G194:G257" si="12">C194-D194</f>
        <v>8979</v>
      </c>
      <c r="H194" s="58">
        <f t="shared" ref="H194:H201" si="13">(C194-D194)/E194</f>
        <v>9.4810500429228957E-3</v>
      </c>
      <c r="I194" s="58">
        <f t="shared" ref="I194:I257" si="14">(C194 - D194) / (E194 - C194)</f>
        <v>9.5818620122230368E-3</v>
      </c>
      <c r="J194" s="27">
        <v>47766</v>
      </c>
    </row>
    <row r="195" spans="1:10" ht="14.25" customHeight="1" x14ac:dyDescent="0.3">
      <c r="A195" s="76">
        <v>45712</v>
      </c>
      <c r="B195" s="7" t="s">
        <v>13</v>
      </c>
      <c r="C195" s="16">
        <v>7493</v>
      </c>
      <c r="D195" s="16">
        <v>1113</v>
      </c>
      <c r="E195" s="16">
        <v>953427</v>
      </c>
      <c r="F195" s="81">
        <v>15.684892498324469</v>
      </c>
      <c r="G195" s="94">
        <f t="shared" si="12"/>
        <v>6380</v>
      </c>
      <c r="H195" s="58">
        <f t="shared" si="13"/>
        <v>6.6916502259743013E-3</v>
      </c>
      <c r="I195" s="58">
        <f t="shared" si="14"/>
        <v>6.7446566039491129E-3</v>
      </c>
      <c r="J195" s="27">
        <v>10162</v>
      </c>
    </row>
    <row r="196" spans="1:10" ht="14.25" customHeight="1" x14ac:dyDescent="0.3">
      <c r="A196" s="76">
        <v>45719</v>
      </c>
      <c r="B196" s="7" t="s">
        <v>13</v>
      </c>
      <c r="C196" s="16">
        <v>7511</v>
      </c>
      <c r="D196" s="16">
        <v>880</v>
      </c>
      <c r="E196" s="16">
        <v>966020</v>
      </c>
      <c r="F196" s="81">
        <v>4.6083932009689246</v>
      </c>
      <c r="G196" s="94">
        <f t="shared" si="12"/>
        <v>6631</v>
      </c>
      <c r="H196" s="58">
        <f t="shared" si="13"/>
        <v>6.8642471170369144E-3</v>
      </c>
      <c r="I196" s="58">
        <f t="shared" si="14"/>
        <v>6.9180362417045642E-3</v>
      </c>
      <c r="J196" s="27">
        <v>29675</v>
      </c>
    </row>
    <row r="197" spans="1:10" ht="14.25" customHeight="1" x14ac:dyDescent="0.3">
      <c r="A197" s="76">
        <v>45726</v>
      </c>
      <c r="B197" s="7" t="s">
        <v>13</v>
      </c>
      <c r="C197" s="16">
        <v>4009</v>
      </c>
      <c r="D197" s="16">
        <v>454</v>
      </c>
      <c r="E197" s="16">
        <v>995050</v>
      </c>
      <c r="F197" s="81">
        <v>2.1106477061454201</v>
      </c>
      <c r="G197" s="94">
        <f t="shared" si="12"/>
        <v>3555</v>
      </c>
      <c r="H197" s="58">
        <f t="shared" si="13"/>
        <v>3.5726847897090599E-3</v>
      </c>
      <c r="I197" s="58">
        <f t="shared" si="14"/>
        <v>3.5871371618328607E-3</v>
      </c>
      <c r="J197" s="27">
        <v>19833</v>
      </c>
    </row>
    <row r="198" spans="1:10" ht="14.25" customHeight="1" x14ac:dyDescent="0.3">
      <c r="A198" s="76">
        <v>45740</v>
      </c>
      <c r="B198" s="7" t="s">
        <v>13</v>
      </c>
      <c r="C198" s="16">
        <v>4747</v>
      </c>
      <c r="D198" s="16">
        <v>558</v>
      </c>
      <c r="E198" s="16">
        <v>1041686</v>
      </c>
      <c r="F198" s="81">
        <v>5.7680529449373434</v>
      </c>
      <c r="G198" s="94">
        <f t="shared" si="12"/>
        <v>4189</v>
      </c>
      <c r="H198" s="58">
        <f t="shared" si="13"/>
        <v>4.021365363458854E-3</v>
      </c>
      <c r="I198" s="58">
        <f t="shared" si="14"/>
        <v>4.0397747601353604E-3</v>
      </c>
      <c r="J198" s="27">
        <v>12643</v>
      </c>
    </row>
    <row r="199" spans="1:10" ht="14.25" customHeight="1" x14ac:dyDescent="0.3">
      <c r="A199" s="76">
        <v>45747</v>
      </c>
      <c r="B199" s="7" t="s">
        <v>13</v>
      </c>
      <c r="C199" s="16">
        <v>1769</v>
      </c>
      <c r="D199" s="16">
        <v>202</v>
      </c>
      <c r="E199" s="16">
        <v>1064988</v>
      </c>
      <c r="F199" s="81">
        <v>6.5457075572682513</v>
      </c>
      <c r="G199" s="94">
        <f t="shared" si="12"/>
        <v>1567</v>
      </c>
      <c r="H199" s="58">
        <f t="shared" si="13"/>
        <v>1.4713780812553757E-3</v>
      </c>
      <c r="I199" s="58">
        <f t="shared" si="14"/>
        <v>1.4738261825644576E-3</v>
      </c>
      <c r="J199" s="27">
        <v>25892</v>
      </c>
    </row>
    <row r="200" spans="1:10" ht="14.25" customHeight="1" x14ac:dyDescent="0.3">
      <c r="A200" s="76">
        <v>45754</v>
      </c>
      <c r="B200" s="7" t="s">
        <v>13</v>
      </c>
      <c r="C200" s="16">
        <v>7303</v>
      </c>
      <c r="D200" s="16">
        <v>869</v>
      </c>
      <c r="E200" s="16">
        <v>1073082</v>
      </c>
      <c r="F200" s="81">
        <v>8.1237966902808925</v>
      </c>
      <c r="G200" s="94">
        <f t="shared" si="12"/>
        <v>6434</v>
      </c>
      <c r="H200" s="58">
        <f t="shared" si="13"/>
        <v>5.9958139266151145E-3</v>
      </c>
      <c r="I200" s="58">
        <f t="shared" si="14"/>
        <v>6.0368988317465438E-3</v>
      </c>
      <c r="J200" s="27">
        <v>27073</v>
      </c>
    </row>
    <row r="201" spans="1:10" ht="14.25" customHeight="1" x14ac:dyDescent="0.3">
      <c r="A201" s="77">
        <v>45782</v>
      </c>
      <c r="B201" s="11" t="s">
        <v>13</v>
      </c>
      <c r="C201" s="17">
        <v>5875</v>
      </c>
      <c r="D201" s="17">
        <v>665</v>
      </c>
      <c r="E201" s="17">
        <v>1157985</v>
      </c>
      <c r="F201" s="82">
        <v>6.9871371390821126</v>
      </c>
      <c r="G201" s="95">
        <f t="shared" si="12"/>
        <v>5210</v>
      </c>
      <c r="H201" s="59">
        <f t="shared" si="13"/>
        <v>4.4991947218659999E-3</v>
      </c>
      <c r="I201" s="59">
        <f t="shared" si="14"/>
        <v>4.5221376431069946E-3</v>
      </c>
      <c r="J201" s="28">
        <v>32669</v>
      </c>
    </row>
    <row r="202" spans="1:10" ht="14.25" customHeight="1" x14ac:dyDescent="0.3">
      <c r="A202" s="78"/>
      <c r="B202" s="34"/>
      <c r="C202" s="35"/>
      <c r="D202" s="35"/>
      <c r="E202" s="35"/>
      <c r="F202" s="83"/>
      <c r="G202" s="96">
        <f t="shared" si="12"/>
        <v>0</v>
      </c>
      <c r="H202" s="74" t="e">
        <f t="shared" ref="H202:H265" si="15">(C202-D202)/E202</f>
        <v>#DIV/0!</v>
      </c>
      <c r="I202" s="74" t="e">
        <f t="shared" si="14"/>
        <v>#DIV/0!</v>
      </c>
      <c r="J202" s="62"/>
    </row>
    <row r="203" spans="1:10" ht="14.25" customHeight="1" x14ac:dyDescent="0.3">
      <c r="A203" s="78"/>
      <c r="B203" s="34"/>
      <c r="C203" s="35"/>
      <c r="D203" s="35"/>
      <c r="E203" s="35"/>
      <c r="F203" s="83"/>
      <c r="G203" s="96">
        <f t="shared" si="12"/>
        <v>0</v>
      </c>
      <c r="H203" s="74" t="e">
        <f t="shared" si="15"/>
        <v>#DIV/0!</v>
      </c>
      <c r="I203" s="74" t="e">
        <f t="shared" si="14"/>
        <v>#DIV/0!</v>
      </c>
      <c r="J203" s="62"/>
    </row>
    <row r="204" spans="1:10" ht="14.25" customHeight="1" x14ac:dyDescent="0.3">
      <c r="A204" s="78"/>
      <c r="B204" s="34"/>
      <c r="C204" s="35"/>
      <c r="D204" s="35"/>
      <c r="E204" s="35"/>
      <c r="F204" s="83"/>
      <c r="G204" s="96">
        <f t="shared" si="12"/>
        <v>0</v>
      </c>
      <c r="H204" s="74" t="e">
        <f t="shared" si="15"/>
        <v>#DIV/0!</v>
      </c>
      <c r="I204" s="74" t="e">
        <f t="shared" si="14"/>
        <v>#DIV/0!</v>
      </c>
      <c r="J204" s="62"/>
    </row>
    <row r="205" spans="1:10" ht="14.25" customHeight="1" x14ac:dyDescent="0.3">
      <c r="A205" s="78"/>
      <c r="B205" s="34"/>
      <c r="C205" s="35"/>
      <c r="D205" s="35"/>
      <c r="E205" s="35"/>
      <c r="F205" s="83"/>
      <c r="G205" s="96">
        <f t="shared" si="12"/>
        <v>0</v>
      </c>
      <c r="H205" s="74" t="e">
        <f t="shared" si="15"/>
        <v>#DIV/0!</v>
      </c>
      <c r="I205" s="74" t="e">
        <f t="shared" si="14"/>
        <v>#DIV/0!</v>
      </c>
      <c r="J205" s="62"/>
    </row>
    <row r="206" spans="1:10" ht="14.25" customHeight="1" x14ac:dyDescent="0.3">
      <c r="A206" s="78"/>
      <c r="B206" s="34"/>
      <c r="C206" s="35"/>
      <c r="D206" s="35"/>
      <c r="E206" s="35"/>
      <c r="F206" s="83"/>
      <c r="G206" s="96">
        <f t="shared" si="12"/>
        <v>0</v>
      </c>
      <c r="H206" s="74" t="e">
        <f t="shared" si="15"/>
        <v>#DIV/0!</v>
      </c>
      <c r="I206" s="74" t="e">
        <f t="shared" si="14"/>
        <v>#DIV/0!</v>
      </c>
      <c r="J206" s="62"/>
    </row>
    <row r="207" spans="1:10" ht="14.25" customHeight="1" x14ac:dyDescent="0.3">
      <c r="A207" s="78"/>
      <c r="B207" s="34"/>
      <c r="C207" s="35"/>
      <c r="D207" s="35"/>
      <c r="E207" s="35"/>
      <c r="F207" s="83"/>
      <c r="G207" s="96">
        <f t="shared" si="12"/>
        <v>0</v>
      </c>
      <c r="H207" s="74" t="e">
        <f t="shared" si="15"/>
        <v>#DIV/0!</v>
      </c>
      <c r="I207" s="74" t="e">
        <f t="shared" si="14"/>
        <v>#DIV/0!</v>
      </c>
      <c r="J207" s="62"/>
    </row>
    <row r="208" spans="1:10" ht="14.25" customHeight="1" x14ac:dyDescent="0.3">
      <c r="A208" s="78"/>
      <c r="B208" s="34"/>
      <c r="C208" s="35"/>
      <c r="D208" s="35"/>
      <c r="E208" s="35"/>
      <c r="F208" s="83"/>
      <c r="G208" s="96">
        <f t="shared" si="12"/>
        <v>0</v>
      </c>
      <c r="H208" s="74" t="e">
        <f t="shared" si="15"/>
        <v>#DIV/0!</v>
      </c>
      <c r="I208" s="74" t="e">
        <f t="shared" si="14"/>
        <v>#DIV/0!</v>
      </c>
      <c r="J208" s="62"/>
    </row>
    <row r="209" spans="1:10" ht="14.25" customHeight="1" x14ac:dyDescent="0.3">
      <c r="A209" s="78"/>
      <c r="B209" s="34"/>
      <c r="C209" s="35"/>
      <c r="D209" s="35"/>
      <c r="E209" s="35"/>
      <c r="F209" s="83"/>
      <c r="G209" s="96">
        <f t="shared" si="12"/>
        <v>0</v>
      </c>
      <c r="H209" s="74" t="e">
        <f t="shared" si="15"/>
        <v>#DIV/0!</v>
      </c>
      <c r="I209" s="74" t="e">
        <f t="shared" si="14"/>
        <v>#DIV/0!</v>
      </c>
      <c r="J209" s="62"/>
    </row>
    <row r="210" spans="1:10" ht="14.25" customHeight="1" x14ac:dyDescent="0.3">
      <c r="A210" s="78"/>
      <c r="B210" s="34"/>
      <c r="C210" s="35"/>
      <c r="D210" s="35"/>
      <c r="E210" s="35"/>
      <c r="F210" s="83"/>
      <c r="G210" s="96">
        <f t="shared" si="12"/>
        <v>0</v>
      </c>
      <c r="H210" s="74" t="e">
        <f t="shared" si="15"/>
        <v>#DIV/0!</v>
      </c>
      <c r="I210" s="74" t="e">
        <f t="shared" si="14"/>
        <v>#DIV/0!</v>
      </c>
      <c r="J210" s="62"/>
    </row>
    <row r="211" spans="1:10" ht="14.25" customHeight="1" x14ac:dyDescent="0.3">
      <c r="A211" s="78"/>
      <c r="B211" s="34"/>
      <c r="C211" s="35"/>
      <c r="D211" s="35"/>
      <c r="E211" s="35"/>
      <c r="F211" s="83"/>
      <c r="G211" s="96">
        <f t="shared" si="12"/>
        <v>0</v>
      </c>
      <c r="H211" s="74" t="e">
        <f t="shared" si="15"/>
        <v>#DIV/0!</v>
      </c>
      <c r="I211" s="74" t="e">
        <f t="shared" si="14"/>
        <v>#DIV/0!</v>
      </c>
      <c r="J211" s="62"/>
    </row>
    <row r="212" spans="1:10" ht="14.25" customHeight="1" x14ac:dyDescent="0.3">
      <c r="A212" s="78"/>
      <c r="B212" s="34"/>
      <c r="C212" s="35"/>
      <c r="D212" s="35"/>
      <c r="E212" s="35"/>
      <c r="F212" s="83"/>
      <c r="G212" s="96">
        <f t="shared" si="12"/>
        <v>0</v>
      </c>
      <c r="H212" s="74" t="e">
        <f t="shared" si="15"/>
        <v>#DIV/0!</v>
      </c>
      <c r="I212" s="74" t="e">
        <f t="shared" si="14"/>
        <v>#DIV/0!</v>
      </c>
      <c r="J212" s="62"/>
    </row>
    <row r="213" spans="1:10" ht="14.25" customHeight="1" x14ac:dyDescent="0.3">
      <c r="A213" s="78"/>
      <c r="B213" s="34"/>
      <c r="C213" s="35"/>
      <c r="D213" s="35"/>
      <c r="E213" s="35"/>
      <c r="F213" s="83"/>
      <c r="G213" s="96">
        <f t="shared" si="12"/>
        <v>0</v>
      </c>
      <c r="H213" s="74" t="e">
        <f t="shared" si="15"/>
        <v>#DIV/0!</v>
      </c>
      <c r="I213" s="74" t="e">
        <f t="shared" si="14"/>
        <v>#DIV/0!</v>
      </c>
      <c r="J213" s="62"/>
    </row>
    <row r="214" spans="1:10" ht="14.25" customHeight="1" x14ac:dyDescent="0.3">
      <c r="A214" s="78"/>
      <c r="B214" s="34"/>
      <c r="C214" s="35"/>
      <c r="D214" s="35"/>
      <c r="E214" s="35"/>
      <c r="F214" s="83"/>
      <c r="G214" s="96">
        <f t="shared" si="12"/>
        <v>0</v>
      </c>
      <c r="H214" s="74" t="e">
        <f t="shared" si="15"/>
        <v>#DIV/0!</v>
      </c>
      <c r="I214" s="74" t="e">
        <f t="shared" si="14"/>
        <v>#DIV/0!</v>
      </c>
      <c r="J214" s="62"/>
    </row>
    <row r="215" spans="1:10" ht="14.25" customHeight="1" x14ac:dyDescent="0.3">
      <c r="A215" s="78"/>
      <c r="B215" s="34"/>
      <c r="C215" s="35"/>
      <c r="D215" s="35"/>
      <c r="E215" s="35"/>
      <c r="F215" s="83"/>
      <c r="G215" s="96">
        <f t="shared" si="12"/>
        <v>0</v>
      </c>
      <c r="H215" s="74" t="e">
        <f t="shared" si="15"/>
        <v>#DIV/0!</v>
      </c>
      <c r="I215" s="74" t="e">
        <f t="shared" si="14"/>
        <v>#DIV/0!</v>
      </c>
      <c r="J215" s="62"/>
    </row>
    <row r="216" spans="1:10" ht="14.25" customHeight="1" x14ac:dyDescent="0.3">
      <c r="A216" s="78"/>
      <c r="B216" s="34"/>
      <c r="C216" s="35"/>
      <c r="D216" s="35"/>
      <c r="E216" s="35"/>
      <c r="F216" s="83"/>
      <c r="G216" s="96">
        <f t="shared" si="12"/>
        <v>0</v>
      </c>
      <c r="H216" s="74" t="e">
        <f t="shared" si="15"/>
        <v>#DIV/0!</v>
      </c>
      <c r="I216" s="74" t="e">
        <f t="shared" si="14"/>
        <v>#DIV/0!</v>
      </c>
      <c r="J216" s="62"/>
    </row>
    <row r="217" spans="1:10" ht="14.25" customHeight="1" x14ac:dyDescent="0.3">
      <c r="A217" s="78"/>
      <c r="B217" s="34"/>
      <c r="C217" s="35"/>
      <c r="D217" s="35"/>
      <c r="E217" s="35"/>
      <c r="F217" s="83"/>
      <c r="G217" s="96">
        <f t="shared" si="12"/>
        <v>0</v>
      </c>
      <c r="H217" s="74" t="e">
        <f t="shared" si="15"/>
        <v>#DIV/0!</v>
      </c>
      <c r="I217" s="74" t="e">
        <f t="shared" si="14"/>
        <v>#DIV/0!</v>
      </c>
      <c r="J217" s="62"/>
    </row>
    <row r="218" spans="1:10" ht="14.25" customHeight="1" x14ac:dyDescent="0.3">
      <c r="A218" s="78"/>
      <c r="B218" s="34"/>
      <c r="C218" s="35"/>
      <c r="D218" s="35"/>
      <c r="E218" s="35"/>
      <c r="F218" s="83"/>
      <c r="G218" s="96">
        <f t="shared" si="12"/>
        <v>0</v>
      </c>
      <c r="H218" s="74" t="e">
        <f t="shared" si="15"/>
        <v>#DIV/0!</v>
      </c>
      <c r="I218" s="74" t="e">
        <f t="shared" si="14"/>
        <v>#DIV/0!</v>
      </c>
      <c r="J218" s="62"/>
    </row>
    <row r="219" spans="1:10" ht="14.25" customHeight="1" x14ac:dyDescent="0.3">
      <c r="A219" s="78"/>
      <c r="B219" s="34"/>
      <c r="C219" s="35"/>
      <c r="D219" s="35"/>
      <c r="E219" s="35"/>
      <c r="F219" s="83"/>
      <c r="G219" s="96">
        <f t="shared" si="12"/>
        <v>0</v>
      </c>
      <c r="H219" s="74" t="e">
        <f t="shared" si="15"/>
        <v>#DIV/0!</v>
      </c>
      <c r="I219" s="74" t="e">
        <f t="shared" si="14"/>
        <v>#DIV/0!</v>
      </c>
      <c r="J219" s="62"/>
    </row>
    <row r="220" spans="1:10" ht="14.25" customHeight="1" x14ac:dyDescent="0.3">
      <c r="A220" s="78"/>
      <c r="B220" s="34"/>
      <c r="C220" s="35"/>
      <c r="D220" s="35"/>
      <c r="E220" s="35"/>
      <c r="F220" s="83"/>
      <c r="G220" s="96">
        <f t="shared" si="12"/>
        <v>0</v>
      </c>
      <c r="H220" s="74" t="e">
        <f t="shared" si="15"/>
        <v>#DIV/0!</v>
      </c>
      <c r="I220" s="74" t="e">
        <f t="shared" si="14"/>
        <v>#DIV/0!</v>
      </c>
      <c r="J220" s="62"/>
    </row>
    <row r="221" spans="1:10" ht="14.25" customHeight="1" x14ac:dyDescent="0.3">
      <c r="A221" s="78"/>
      <c r="B221" s="34"/>
      <c r="C221" s="35"/>
      <c r="D221" s="35"/>
      <c r="E221" s="35"/>
      <c r="F221" s="83"/>
      <c r="G221" s="96">
        <f t="shared" si="12"/>
        <v>0</v>
      </c>
      <c r="H221" s="74" t="e">
        <f t="shared" si="15"/>
        <v>#DIV/0!</v>
      </c>
      <c r="I221" s="74" t="e">
        <f t="shared" si="14"/>
        <v>#DIV/0!</v>
      </c>
      <c r="J221" s="62"/>
    </row>
    <row r="222" spans="1:10" ht="14.25" customHeight="1" x14ac:dyDescent="0.3">
      <c r="A222" s="78"/>
      <c r="B222" s="34"/>
      <c r="C222" s="35"/>
      <c r="D222" s="35"/>
      <c r="E222" s="35"/>
      <c r="F222" s="83"/>
      <c r="G222" s="96">
        <f t="shared" si="12"/>
        <v>0</v>
      </c>
      <c r="H222" s="74" t="e">
        <f t="shared" si="15"/>
        <v>#DIV/0!</v>
      </c>
      <c r="I222" s="74" t="e">
        <f t="shared" si="14"/>
        <v>#DIV/0!</v>
      </c>
      <c r="J222" s="62"/>
    </row>
    <row r="223" spans="1:10" ht="14.25" customHeight="1" x14ac:dyDescent="0.3">
      <c r="A223" s="78"/>
      <c r="B223" s="34"/>
      <c r="C223" s="35"/>
      <c r="D223" s="35"/>
      <c r="E223" s="35"/>
      <c r="F223" s="83"/>
      <c r="G223" s="96">
        <f t="shared" si="12"/>
        <v>0</v>
      </c>
      <c r="H223" s="74" t="e">
        <f t="shared" si="15"/>
        <v>#DIV/0!</v>
      </c>
      <c r="I223" s="74" t="e">
        <f t="shared" si="14"/>
        <v>#DIV/0!</v>
      </c>
      <c r="J223" s="62"/>
    </row>
    <row r="224" spans="1:10" ht="14.25" customHeight="1" x14ac:dyDescent="0.3">
      <c r="A224" s="78"/>
      <c r="B224" s="34"/>
      <c r="C224" s="35"/>
      <c r="D224" s="35"/>
      <c r="E224" s="35"/>
      <c r="F224" s="83"/>
      <c r="G224" s="96">
        <f t="shared" si="12"/>
        <v>0</v>
      </c>
      <c r="H224" s="74" t="e">
        <f t="shared" si="15"/>
        <v>#DIV/0!</v>
      </c>
      <c r="I224" s="74" t="e">
        <f t="shared" si="14"/>
        <v>#DIV/0!</v>
      </c>
      <c r="J224" s="62"/>
    </row>
    <row r="225" spans="1:10" ht="14.25" customHeight="1" x14ac:dyDescent="0.3">
      <c r="A225" s="78"/>
      <c r="B225" s="34"/>
      <c r="C225" s="35"/>
      <c r="D225" s="35"/>
      <c r="E225" s="35"/>
      <c r="F225" s="83"/>
      <c r="G225" s="96">
        <f t="shared" si="12"/>
        <v>0</v>
      </c>
      <c r="H225" s="74" t="e">
        <f t="shared" si="15"/>
        <v>#DIV/0!</v>
      </c>
      <c r="I225" s="74" t="e">
        <f t="shared" si="14"/>
        <v>#DIV/0!</v>
      </c>
      <c r="J225" s="62"/>
    </row>
    <row r="226" spans="1:10" ht="14.25" customHeight="1" x14ac:dyDescent="0.3">
      <c r="A226" s="78"/>
      <c r="B226" s="34"/>
      <c r="C226" s="35"/>
      <c r="D226" s="35"/>
      <c r="E226" s="35"/>
      <c r="F226" s="83"/>
      <c r="G226" s="96">
        <f t="shared" si="12"/>
        <v>0</v>
      </c>
      <c r="H226" s="74" t="e">
        <f t="shared" si="15"/>
        <v>#DIV/0!</v>
      </c>
      <c r="I226" s="74" t="e">
        <f t="shared" si="14"/>
        <v>#DIV/0!</v>
      </c>
      <c r="J226" s="62"/>
    </row>
    <row r="227" spans="1:10" ht="14.25" customHeight="1" x14ac:dyDescent="0.3">
      <c r="A227" s="78"/>
      <c r="B227" s="34"/>
      <c r="C227" s="35"/>
      <c r="D227" s="35"/>
      <c r="E227" s="35"/>
      <c r="F227" s="83"/>
      <c r="G227" s="96">
        <f t="shared" si="12"/>
        <v>0</v>
      </c>
      <c r="H227" s="74" t="e">
        <f t="shared" si="15"/>
        <v>#DIV/0!</v>
      </c>
      <c r="I227" s="74" t="e">
        <f t="shared" si="14"/>
        <v>#DIV/0!</v>
      </c>
      <c r="J227" s="62"/>
    </row>
    <row r="228" spans="1:10" ht="14.25" customHeight="1" x14ac:dyDescent="0.3">
      <c r="A228" s="78"/>
      <c r="B228" s="34"/>
      <c r="C228" s="35"/>
      <c r="D228" s="35"/>
      <c r="E228" s="35"/>
      <c r="F228" s="83"/>
      <c r="G228" s="96">
        <f t="shared" si="12"/>
        <v>0</v>
      </c>
      <c r="H228" s="74" t="e">
        <f t="shared" si="15"/>
        <v>#DIV/0!</v>
      </c>
      <c r="I228" s="74" t="e">
        <f t="shared" si="14"/>
        <v>#DIV/0!</v>
      </c>
      <c r="J228" s="62"/>
    </row>
    <row r="229" spans="1:10" ht="14.25" customHeight="1" x14ac:dyDescent="0.3">
      <c r="A229" s="78"/>
      <c r="B229" s="34"/>
      <c r="C229" s="35"/>
      <c r="D229" s="35"/>
      <c r="E229" s="35"/>
      <c r="F229" s="83"/>
      <c r="G229" s="96">
        <f t="shared" si="12"/>
        <v>0</v>
      </c>
      <c r="H229" s="74" t="e">
        <f t="shared" si="15"/>
        <v>#DIV/0!</v>
      </c>
      <c r="I229" s="74" t="e">
        <f t="shared" si="14"/>
        <v>#DIV/0!</v>
      </c>
      <c r="J229" s="62"/>
    </row>
    <row r="230" spans="1:10" ht="14.25" customHeight="1" x14ac:dyDescent="0.3">
      <c r="A230" s="78"/>
      <c r="B230" s="34"/>
      <c r="C230" s="35"/>
      <c r="D230" s="35"/>
      <c r="E230" s="35"/>
      <c r="F230" s="83"/>
      <c r="G230" s="96">
        <f t="shared" si="12"/>
        <v>0</v>
      </c>
      <c r="H230" s="74" t="e">
        <f t="shared" si="15"/>
        <v>#DIV/0!</v>
      </c>
      <c r="I230" s="74" t="e">
        <f t="shared" si="14"/>
        <v>#DIV/0!</v>
      </c>
      <c r="J230" s="62"/>
    </row>
    <row r="231" spans="1:10" ht="14.25" customHeight="1" x14ac:dyDescent="0.3">
      <c r="A231" s="78"/>
      <c r="B231" s="34"/>
      <c r="C231" s="35"/>
      <c r="D231" s="35"/>
      <c r="E231" s="35"/>
      <c r="F231" s="83"/>
      <c r="G231" s="96">
        <f t="shared" si="12"/>
        <v>0</v>
      </c>
      <c r="H231" s="74" t="e">
        <f t="shared" si="15"/>
        <v>#DIV/0!</v>
      </c>
      <c r="I231" s="74" t="e">
        <f t="shared" si="14"/>
        <v>#DIV/0!</v>
      </c>
      <c r="J231" s="62"/>
    </row>
    <row r="232" spans="1:10" ht="14.25" customHeight="1" x14ac:dyDescent="0.3">
      <c r="A232" s="78"/>
      <c r="B232" s="34"/>
      <c r="C232" s="35"/>
      <c r="D232" s="35"/>
      <c r="E232" s="35"/>
      <c r="F232" s="83"/>
      <c r="G232" s="96">
        <f t="shared" si="12"/>
        <v>0</v>
      </c>
      <c r="H232" s="74" t="e">
        <f t="shared" si="15"/>
        <v>#DIV/0!</v>
      </c>
      <c r="I232" s="74" t="e">
        <f t="shared" si="14"/>
        <v>#DIV/0!</v>
      </c>
      <c r="J232" s="62"/>
    </row>
    <row r="233" spans="1:10" ht="14.25" customHeight="1" x14ac:dyDescent="0.3">
      <c r="A233" s="78"/>
      <c r="B233" s="34"/>
      <c r="C233" s="35"/>
      <c r="D233" s="35"/>
      <c r="E233" s="35"/>
      <c r="F233" s="83"/>
      <c r="G233" s="96">
        <f t="shared" si="12"/>
        <v>0</v>
      </c>
      <c r="H233" s="74" t="e">
        <f t="shared" si="15"/>
        <v>#DIV/0!</v>
      </c>
      <c r="I233" s="74" t="e">
        <f t="shared" si="14"/>
        <v>#DIV/0!</v>
      </c>
      <c r="J233" s="62"/>
    </row>
    <row r="234" spans="1:10" ht="14.25" customHeight="1" x14ac:dyDescent="0.3">
      <c r="A234" s="78"/>
      <c r="B234" s="34"/>
      <c r="C234" s="35"/>
      <c r="D234" s="35"/>
      <c r="E234" s="35"/>
      <c r="F234" s="83"/>
      <c r="G234" s="96">
        <f t="shared" si="12"/>
        <v>0</v>
      </c>
      <c r="H234" s="74" t="e">
        <f t="shared" si="15"/>
        <v>#DIV/0!</v>
      </c>
      <c r="I234" s="74" t="e">
        <f t="shared" si="14"/>
        <v>#DIV/0!</v>
      </c>
      <c r="J234" s="62"/>
    </row>
    <row r="235" spans="1:10" ht="14.25" customHeight="1" x14ac:dyDescent="0.3">
      <c r="A235" s="78"/>
      <c r="B235" s="34"/>
      <c r="C235" s="35"/>
      <c r="D235" s="35"/>
      <c r="E235" s="35"/>
      <c r="F235" s="83"/>
      <c r="G235" s="96">
        <f t="shared" si="12"/>
        <v>0</v>
      </c>
      <c r="H235" s="74" t="e">
        <f t="shared" si="15"/>
        <v>#DIV/0!</v>
      </c>
      <c r="I235" s="74" t="e">
        <f t="shared" si="14"/>
        <v>#DIV/0!</v>
      </c>
      <c r="J235" s="62"/>
    </row>
    <row r="236" spans="1:10" ht="14.25" customHeight="1" x14ac:dyDescent="0.3">
      <c r="A236" s="78"/>
      <c r="B236" s="34"/>
      <c r="C236" s="35"/>
      <c r="D236" s="35"/>
      <c r="E236" s="35"/>
      <c r="F236" s="83"/>
      <c r="G236" s="96">
        <f t="shared" si="12"/>
        <v>0</v>
      </c>
      <c r="H236" s="74" t="e">
        <f t="shared" si="15"/>
        <v>#DIV/0!</v>
      </c>
      <c r="I236" s="74" t="e">
        <f t="shared" si="14"/>
        <v>#DIV/0!</v>
      </c>
      <c r="J236" s="62"/>
    </row>
    <row r="237" spans="1:10" ht="14.25" customHeight="1" x14ac:dyDescent="0.3">
      <c r="A237" s="78"/>
      <c r="B237" s="34"/>
      <c r="C237" s="35"/>
      <c r="D237" s="35"/>
      <c r="E237" s="35"/>
      <c r="F237" s="83"/>
      <c r="G237" s="96">
        <f t="shared" si="12"/>
        <v>0</v>
      </c>
      <c r="H237" s="74" t="e">
        <f t="shared" si="15"/>
        <v>#DIV/0!</v>
      </c>
      <c r="I237" s="74" t="e">
        <f t="shared" si="14"/>
        <v>#DIV/0!</v>
      </c>
      <c r="J237" s="62"/>
    </row>
    <row r="238" spans="1:10" ht="14.25" customHeight="1" x14ac:dyDescent="0.3">
      <c r="A238" s="78"/>
      <c r="B238" s="34"/>
      <c r="C238" s="35"/>
      <c r="D238" s="35"/>
      <c r="E238" s="35"/>
      <c r="F238" s="83"/>
      <c r="G238" s="96">
        <f t="shared" si="12"/>
        <v>0</v>
      </c>
      <c r="H238" s="74" t="e">
        <f t="shared" si="15"/>
        <v>#DIV/0!</v>
      </c>
      <c r="I238" s="74" t="e">
        <f t="shared" si="14"/>
        <v>#DIV/0!</v>
      </c>
      <c r="J238" s="62"/>
    </row>
    <row r="239" spans="1:10" ht="14.25" customHeight="1" x14ac:dyDescent="0.3">
      <c r="A239" s="78"/>
      <c r="B239" s="34"/>
      <c r="C239" s="35"/>
      <c r="D239" s="35"/>
      <c r="E239" s="35"/>
      <c r="F239" s="83"/>
      <c r="G239" s="96">
        <f t="shared" si="12"/>
        <v>0</v>
      </c>
      <c r="H239" s="74" t="e">
        <f t="shared" si="15"/>
        <v>#DIV/0!</v>
      </c>
      <c r="I239" s="74" t="e">
        <f t="shared" si="14"/>
        <v>#DIV/0!</v>
      </c>
      <c r="J239" s="62"/>
    </row>
    <row r="240" spans="1:10" ht="14.25" customHeight="1" x14ac:dyDescent="0.3">
      <c r="A240" s="78"/>
      <c r="B240" s="34"/>
      <c r="C240" s="35"/>
      <c r="D240" s="35"/>
      <c r="E240" s="35"/>
      <c r="F240" s="83"/>
      <c r="G240" s="96">
        <f t="shared" si="12"/>
        <v>0</v>
      </c>
      <c r="H240" s="74" t="e">
        <f t="shared" si="15"/>
        <v>#DIV/0!</v>
      </c>
      <c r="I240" s="74" t="e">
        <f t="shared" si="14"/>
        <v>#DIV/0!</v>
      </c>
      <c r="J240" s="62"/>
    </row>
    <row r="241" spans="1:10" ht="14.25" customHeight="1" x14ac:dyDescent="0.3">
      <c r="A241" s="78"/>
      <c r="B241" s="34"/>
      <c r="C241" s="35"/>
      <c r="D241" s="35"/>
      <c r="E241" s="35"/>
      <c r="F241" s="83"/>
      <c r="G241" s="96">
        <f t="shared" si="12"/>
        <v>0</v>
      </c>
      <c r="H241" s="74" t="e">
        <f t="shared" si="15"/>
        <v>#DIV/0!</v>
      </c>
      <c r="I241" s="74" t="e">
        <f t="shared" si="14"/>
        <v>#DIV/0!</v>
      </c>
      <c r="J241" s="62"/>
    </row>
    <row r="242" spans="1:10" ht="14.25" customHeight="1" x14ac:dyDescent="0.3">
      <c r="A242" s="78"/>
      <c r="B242" s="34"/>
      <c r="C242" s="35"/>
      <c r="D242" s="35"/>
      <c r="E242" s="35"/>
      <c r="F242" s="83"/>
      <c r="G242" s="96">
        <f t="shared" si="12"/>
        <v>0</v>
      </c>
      <c r="H242" s="74" t="e">
        <f t="shared" si="15"/>
        <v>#DIV/0!</v>
      </c>
      <c r="I242" s="74" t="e">
        <f t="shared" si="14"/>
        <v>#DIV/0!</v>
      </c>
      <c r="J242" s="62"/>
    </row>
    <row r="243" spans="1:10" ht="14.25" customHeight="1" x14ac:dyDescent="0.3">
      <c r="A243" s="78"/>
      <c r="B243" s="34"/>
      <c r="C243" s="35"/>
      <c r="D243" s="35"/>
      <c r="E243" s="35"/>
      <c r="F243" s="83"/>
      <c r="G243" s="96">
        <f t="shared" si="12"/>
        <v>0</v>
      </c>
      <c r="H243" s="74" t="e">
        <f t="shared" si="15"/>
        <v>#DIV/0!</v>
      </c>
      <c r="I243" s="74" t="e">
        <f t="shared" si="14"/>
        <v>#DIV/0!</v>
      </c>
      <c r="J243" s="62"/>
    </row>
    <row r="244" spans="1:10" ht="14.25" customHeight="1" x14ac:dyDescent="0.3">
      <c r="A244" s="78"/>
      <c r="B244" s="34"/>
      <c r="C244" s="35"/>
      <c r="D244" s="35"/>
      <c r="E244" s="35"/>
      <c r="F244" s="83"/>
      <c r="G244" s="96">
        <f t="shared" si="12"/>
        <v>0</v>
      </c>
      <c r="H244" s="74" t="e">
        <f t="shared" si="15"/>
        <v>#DIV/0!</v>
      </c>
      <c r="I244" s="74" t="e">
        <f t="shared" si="14"/>
        <v>#DIV/0!</v>
      </c>
      <c r="J244" s="62"/>
    </row>
    <row r="245" spans="1:10" ht="14.25" customHeight="1" x14ac:dyDescent="0.3">
      <c r="A245" s="78"/>
      <c r="B245" s="34"/>
      <c r="C245" s="35"/>
      <c r="D245" s="35"/>
      <c r="E245" s="35"/>
      <c r="F245" s="83"/>
      <c r="G245" s="96">
        <f t="shared" si="12"/>
        <v>0</v>
      </c>
      <c r="H245" s="74" t="e">
        <f t="shared" si="15"/>
        <v>#DIV/0!</v>
      </c>
      <c r="I245" s="74" t="e">
        <f t="shared" si="14"/>
        <v>#DIV/0!</v>
      </c>
      <c r="J245" s="62"/>
    </row>
    <row r="246" spans="1:10" ht="14.25" customHeight="1" x14ac:dyDescent="0.3">
      <c r="A246" s="78"/>
      <c r="B246" s="34"/>
      <c r="C246" s="35"/>
      <c r="D246" s="35"/>
      <c r="E246" s="35"/>
      <c r="F246" s="83"/>
      <c r="G246" s="96">
        <f t="shared" si="12"/>
        <v>0</v>
      </c>
      <c r="H246" s="74" t="e">
        <f t="shared" si="15"/>
        <v>#DIV/0!</v>
      </c>
      <c r="I246" s="74" t="e">
        <f t="shared" si="14"/>
        <v>#DIV/0!</v>
      </c>
      <c r="J246" s="62"/>
    </row>
    <row r="247" spans="1:10" ht="14.25" customHeight="1" x14ac:dyDescent="0.3">
      <c r="A247" s="78"/>
      <c r="B247" s="34"/>
      <c r="C247" s="35"/>
      <c r="D247" s="35"/>
      <c r="E247" s="35"/>
      <c r="F247" s="83"/>
      <c r="G247" s="96">
        <f t="shared" si="12"/>
        <v>0</v>
      </c>
      <c r="H247" s="74" t="e">
        <f t="shared" si="15"/>
        <v>#DIV/0!</v>
      </c>
      <c r="I247" s="74" t="e">
        <f t="shared" si="14"/>
        <v>#DIV/0!</v>
      </c>
      <c r="J247" s="62"/>
    </row>
    <row r="248" spans="1:10" ht="14.25" customHeight="1" x14ac:dyDescent="0.3">
      <c r="A248" s="78"/>
      <c r="B248" s="34"/>
      <c r="C248" s="35"/>
      <c r="D248" s="35"/>
      <c r="E248" s="35"/>
      <c r="F248" s="83"/>
      <c r="G248" s="96">
        <f t="shared" si="12"/>
        <v>0</v>
      </c>
      <c r="H248" s="74" t="e">
        <f t="shared" si="15"/>
        <v>#DIV/0!</v>
      </c>
      <c r="I248" s="74" t="e">
        <f t="shared" si="14"/>
        <v>#DIV/0!</v>
      </c>
      <c r="J248" s="62"/>
    </row>
    <row r="249" spans="1:10" ht="14.25" customHeight="1" x14ac:dyDescent="0.3">
      <c r="A249" s="78"/>
      <c r="B249" s="34"/>
      <c r="C249" s="35"/>
      <c r="D249" s="35"/>
      <c r="E249" s="35"/>
      <c r="F249" s="83"/>
      <c r="G249" s="96">
        <f t="shared" si="12"/>
        <v>0</v>
      </c>
      <c r="H249" s="74" t="e">
        <f t="shared" si="15"/>
        <v>#DIV/0!</v>
      </c>
      <c r="I249" s="74" t="e">
        <f t="shared" si="14"/>
        <v>#DIV/0!</v>
      </c>
      <c r="J249" s="62"/>
    </row>
    <row r="250" spans="1:10" ht="14.25" customHeight="1" x14ac:dyDescent="0.3">
      <c r="A250" s="78"/>
      <c r="B250" s="34"/>
      <c r="C250" s="35"/>
      <c r="D250" s="35"/>
      <c r="E250" s="35"/>
      <c r="F250" s="83"/>
      <c r="G250" s="96">
        <f t="shared" si="12"/>
        <v>0</v>
      </c>
      <c r="H250" s="74" t="e">
        <f t="shared" si="15"/>
        <v>#DIV/0!</v>
      </c>
      <c r="I250" s="74" t="e">
        <f t="shared" si="14"/>
        <v>#DIV/0!</v>
      </c>
      <c r="J250" s="62"/>
    </row>
    <row r="251" spans="1:10" ht="14.25" customHeight="1" x14ac:dyDescent="0.3">
      <c r="A251" s="78"/>
      <c r="B251" s="34"/>
      <c r="C251" s="35"/>
      <c r="D251" s="35"/>
      <c r="E251" s="35"/>
      <c r="F251" s="83"/>
      <c r="G251" s="96">
        <f t="shared" si="12"/>
        <v>0</v>
      </c>
      <c r="H251" s="74" t="e">
        <f t="shared" si="15"/>
        <v>#DIV/0!</v>
      </c>
      <c r="I251" s="74" t="e">
        <f t="shared" si="14"/>
        <v>#DIV/0!</v>
      </c>
      <c r="J251" s="62"/>
    </row>
    <row r="252" spans="1:10" ht="14.25" customHeight="1" x14ac:dyDescent="0.3">
      <c r="A252" s="78"/>
      <c r="B252" s="34"/>
      <c r="C252" s="35"/>
      <c r="D252" s="35"/>
      <c r="E252" s="35"/>
      <c r="F252" s="83"/>
      <c r="G252" s="96">
        <f t="shared" si="12"/>
        <v>0</v>
      </c>
      <c r="H252" s="74" t="e">
        <f t="shared" si="15"/>
        <v>#DIV/0!</v>
      </c>
      <c r="I252" s="74" t="e">
        <f t="shared" si="14"/>
        <v>#DIV/0!</v>
      </c>
      <c r="J252" s="62"/>
    </row>
    <row r="253" spans="1:10" ht="14.25" customHeight="1" x14ac:dyDescent="0.3">
      <c r="A253" s="78"/>
      <c r="B253" s="34"/>
      <c r="C253" s="35"/>
      <c r="D253" s="35"/>
      <c r="E253" s="35"/>
      <c r="F253" s="83"/>
      <c r="G253" s="96">
        <f t="shared" si="12"/>
        <v>0</v>
      </c>
      <c r="H253" s="74" t="e">
        <f t="shared" si="15"/>
        <v>#DIV/0!</v>
      </c>
      <c r="I253" s="74" t="e">
        <f t="shared" si="14"/>
        <v>#DIV/0!</v>
      </c>
      <c r="J253" s="62"/>
    </row>
    <row r="254" spans="1:10" ht="14.25" customHeight="1" x14ac:dyDescent="0.3">
      <c r="A254" s="78"/>
      <c r="B254" s="34"/>
      <c r="C254" s="35"/>
      <c r="D254" s="35"/>
      <c r="E254" s="35"/>
      <c r="F254" s="83"/>
      <c r="G254" s="96">
        <f t="shared" si="12"/>
        <v>0</v>
      </c>
      <c r="H254" s="74" t="e">
        <f t="shared" si="15"/>
        <v>#DIV/0!</v>
      </c>
      <c r="I254" s="74" t="e">
        <f t="shared" si="14"/>
        <v>#DIV/0!</v>
      </c>
      <c r="J254" s="62"/>
    </row>
    <row r="255" spans="1:10" ht="14.25" customHeight="1" x14ac:dyDescent="0.3">
      <c r="A255" s="78"/>
      <c r="B255" s="34"/>
      <c r="C255" s="35"/>
      <c r="D255" s="35"/>
      <c r="E255" s="35"/>
      <c r="F255" s="83"/>
      <c r="G255" s="96">
        <f t="shared" si="12"/>
        <v>0</v>
      </c>
      <c r="H255" s="74" t="e">
        <f t="shared" si="15"/>
        <v>#DIV/0!</v>
      </c>
      <c r="I255" s="74" t="e">
        <f t="shared" si="14"/>
        <v>#DIV/0!</v>
      </c>
      <c r="J255" s="62"/>
    </row>
    <row r="256" spans="1:10" ht="14.25" customHeight="1" x14ac:dyDescent="0.3">
      <c r="A256" s="78"/>
      <c r="B256" s="34"/>
      <c r="C256" s="35"/>
      <c r="D256" s="35"/>
      <c r="E256" s="35"/>
      <c r="F256" s="83"/>
      <c r="G256" s="96">
        <f t="shared" si="12"/>
        <v>0</v>
      </c>
      <c r="H256" s="74" t="e">
        <f t="shared" si="15"/>
        <v>#DIV/0!</v>
      </c>
      <c r="I256" s="74" t="e">
        <f t="shared" si="14"/>
        <v>#DIV/0!</v>
      </c>
      <c r="J256" s="62"/>
    </row>
    <row r="257" spans="1:10" ht="14.25" customHeight="1" x14ac:dyDescent="0.3">
      <c r="A257" s="78"/>
      <c r="B257" s="34"/>
      <c r="C257" s="35"/>
      <c r="D257" s="35"/>
      <c r="E257" s="35"/>
      <c r="F257" s="83"/>
      <c r="G257" s="96">
        <f t="shared" si="12"/>
        <v>0</v>
      </c>
      <c r="H257" s="74" t="e">
        <f t="shared" si="15"/>
        <v>#DIV/0!</v>
      </c>
      <c r="I257" s="74" t="e">
        <f t="shared" si="14"/>
        <v>#DIV/0!</v>
      </c>
      <c r="J257" s="62"/>
    </row>
    <row r="258" spans="1:10" ht="14.25" customHeight="1" x14ac:dyDescent="0.3">
      <c r="A258" s="78"/>
      <c r="B258" s="34"/>
      <c r="C258" s="35"/>
      <c r="D258" s="35"/>
      <c r="E258" s="35"/>
      <c r="F258" s="83"/>
      <c r="G258" s="96">
        <f t="shared" ref="G258:G321" si="16">C258-D258</f>
        <v>0</v>
      </c>
      <c r="H258" s="74" t="e">
        <f t="shared" si="15"/>
        <v>#DIV/0!</v>
      </c>
      <c r="I258" s="74" t="e">
        <f t="shared" ref="I258:I321" si="17">(C258 - D258) / (E258 - C258)</f>
        <v>#DIV/0!</v>
      </c>
      <c r="J258" s="62"/>
    </row>
    <row r="259" spans="1:10" ht="14.25" customHeight="1" x14ac:dyDescent="0.3">
      <c r="A259" s="78"/>
      <c r="B259" s="34"/>
      <c r="C259" s="35"/>
      <c r="D259" s="35"/>
      <c r="E259" s="35"/>
      <c r="F259" s="83"/>
      <c r="G259" s="96">
        <f t="shared" si="16"/>
        <v>0</v>
      </c>
      <c r="H259" s="74" t="e">
        <f t="shared" si="15"/>
        <v>#DIV/0!</v>
      </c>
      <c r="I259" s="74" t="e">
        <f t="shared" si="17"/>
        <v>#DIV/0!</v>
      </c>
      <c r="J259" s="62"/>
    </row>
    <row r="260" spans="1:10" ht="14.25" customHeight="1" x14ac:dyDescent="0.3">
      <c r="A260" s="78"/>
      <c r="B260" s="34"/>
      <c r="C260" s="35"/>
      <c r="D260" s="35"/>
      <c r="E260" s="35"/>
      <c r="F260" s="83"/>
      <c r="G260" s="96">
        <f t="shared" si="16"/>
        <v>0</v>
      </c>
      <c r="H260" s="74" t="e">
        <f t="shared" si="15"/>
        <v>#DIV/0!</v>
      </c>
      <c r="I260" s="74" t="e">
        <f t="shared" si="17"/>
        <v>#DIV/0!</v>
      </c>
      <c r="J260" s="62"/>
    </row>
    <row r="261" spans="1:10" ht="14.25" customHeight="1" x14ac:dyDescent="0.3">
      <c r="A261" s="78"/>
      <c r="B261" s="34"/>
      <c r="C261" s="35"/>
      <c r="D261" s="35"/>
      <c r="E261" s="35"/>
      <c r="F261" s="83"/>
      <c r="G261" s="96">
        <f t="shared" si="16"/>
        <v>0</v>
      </c>
      <c r="H261" s="74" t="e">
        <f t="shared" si="15"/>
        <v>#DIV/0!</v>
      </c>
      <c r="I261" s="74" t="e">
        <f t="shared" si="17"/>
        <v>#DIV/0!</v>
      </c>
      <c r="J261" s="62"/>
    </row>
    <row r="262" spans="1:10" ht="14.25" customHeight="1" x14ac:dyDescent="0.3">
      <c r="A262" s="78"/>
      <c r="B262" s="34"/>
      <c r="C262" s="35"/>
      <c r="D262" s="35"/>
      <c r="E262" s="35"/>
      <c r="F262" s="83"/>
      <c r="G262" s="96">
        <f t="shared" si="16"/>
        <v>0</v>
      </c>
      <c r="H262" s="74" t="e">
        <f t="shared" si="15"/>
        <v>#DIV/0!</v>
      </c>
      <c r="I262" s="74" t="e">
        <f t="shared" si="17"/>
        <v>#DIV/0!</v>
      </c>
      <c r="J262" s="62"/>
    </row>
    <row r="263" spans="1:10" ht="14.25" customHeight="1" x14ac:dyDescent="0.3">
      <c r="A263" s="78"/>
      <c r="B263" s="34"/>
      <c r="C263" s="35"/>
      <c r="D263" s="35"/>
      <c r="E263" s="35"/>
      <c r="F263" s="83"/>
      <c r="G263" s="96">
        <f t="shared" si="16"/>
        <v>0</v>
      </c>
      <c r="H263" s="74" t="e">
        <f t="shared" si="15"/>
        <v>#DIV/0!</v>
      </c>
      <c r="I263" s="74" t="e">
        <f t="shared" si="17"/>
        <v>#DIV/0!</v>
      </c>
      <c r="J263" s="62"/>
    </row>
    <row r="264" spans="1:10" ht="14.25" customHeight="1" x14ac:dyDescent="0.3">
      <c r="A264" s="78"/>
      <c r="B264" s="34"/>
      <c r="C264" s="35"/>
      <c r="D264" s="35"/>
      <c r="E264" s="35"/>
      <c r="F264" s="83"/>
      <c r="G264" s="96">
        <f t="shared" si="16"/>
        <v>0</v>
      </c>
      <c r="H264" s="74" t="e">
        <f t="shared" si="15"/>
        <v>#DIV/0!</v>
      </c>
      <c r="I264" s="74" t="e">
        <f t="shared" si="17"/>
        <v>#DIV/0!</v>
      </c>
      <c r="J264" s="62"/>
    </row>
    <row r="265" spans="1:10" ht="14.25" customHeight="1" x14ac:dyDescent="0.3">
      <c r="A265" s="78"/>
      <c r="B265" s="34"/>
      <c r="C265" s="35"/>
      <c r="D265" s="35"/>
      <c r="E265" s="35"/>
      <c r="F265" s="83"/>
      <c r="G265" s="96">
        <f t="shared" si="16"/>
        <v>0</v>
      </c>
      <c r="H265" s="74" t="e">
        <f t="shared" si="15"/>
        <v>#DIV/0!</v>
      </c>
      <c r="I265" s="74" t="e">
        <f t="shared" si="17"/>
        <v>#DIV/0!</v>
      </c>
      <c r="J265" s="62"/>
    </row>
    <row r="266" spans="1:10" ht="14.25" customHeight="1" x14ac:dyDescent="0.3">
      <c r="A266" s="78"/>
      <c r="B266" s="34"/>
      <c r="C266" s="35"/>
      <c r="D266" s="35"/>
      <c r="E266" s="35"/>
      <c r="F266" s="83"/>
      <c r="G266" s="96">
        <f t="shared" si="16"/>
        <v>0</v>
      </c>
      <c r="H266" s="74" t="e">
        <f t="shared" ref="H266:H329" si="18">(C266-D266)/E266</f>
        <v>#DIV/0!</v>
      </c>
      <c r="I266" s="74" t="e">
        <f t="shared" si="17"/>
        <v>#DIV/0!</v>
      </c>
      <c r="J266" s="62"/>
    </row>
    <row r="267" spans="1:10" ht="14.25" customHeight="1" x14ac:dyDescent="0.3">
      <c r="A267" s="78"/>
      <c r="B267" s="34"/>
      <c r="C267" s="35"/>
      <c r="D267" s="35"/>
      <c r="E267" s="35"/>
      <c r="F267" s="83"/>
      <c r="G267" s="96">
        <f t="shared" si="16"/>
        <v>0</v>
      </c>
      <c r="H267" s="74" t="e">
        <f t="shared" si="18"/>
        <v>#DIV/0!</v>
      </c>
      <c r="I267" s="74" t="e">
        <f t="shared" si="17"/>
        <v>#DIV/0!</v>
      </c>
      <c r="J267" s="62"/>
    </row>
    <row r="268" spans="1:10" ht="14.25" customHeight="1" x14ac:dyDescent="0.3">
      <c r="A268" s="78"/>
      <c r="B268" s="34"/>
      <c r="C268" s="35"/>
      <c r="D268" s="35"/>
      <c r="E268" s="35"/>
      <c r="F268" s="83"/>
      <c r="G268" s="96">
        <f t="shared" si="16"/>
        <v>0</v>
      </c>
      <c r="H268" s="74" t="e">
        <f t="shared" si="18"/>
        <v>#DIV/0!</v>
      </c>
      <c r="I268" s="74" t="e">
        <f t="shared" si="17"/>
        <v>#DIV/0!</v>
      </c>
      <c r="J268" s="62"/>
    </row>
    <row r="269" spans="1:10" ht="14.25" customHeight="1" x14ac:dyDescent="0.3">
      <c r="A269" s="78"/>
      <c r="B269" s="34"/>
      <c r="C269" s="35"/>
      <c r="D269" s="35"/>
      <c r="E269" s="35"/>
      <c r="F269" s="83"/>
      <c r="G269" s="96">
        <f t="shared" si="16"/>
        <v>0</v>
      </c>
      <c r="H269" s="74" t="e">
        <f t="shared" si="18"/>
        <v>#DIV/0!</v>
      </c>
      <c r="I269" s="74" t="e">
        <f t="shared" si="17"/>
        <v>#DIV/0!</v>
      </c>
      <c r="J269" s="62"/>
    </row>
    <row r="270" spans="1:10" ht="14.25" customHeight="1" x14ac:dyDescent="0.3">
      <c r="A270" s="78"/>
      <c r="B270" s="34"/>
      <c r="C270" s="35"/>
      <c r="D270" s="35"/>
      <c r="E270" s="35"/>
      <c r="F270" s="83"/>
      <c r="G270" s="96">
        <f t="shared" si="16"/>
        <v>0</v>
      </c>
      <c r="H270" s="74" t="e">
        <f t="shared" si="18"/>
        <v>#DIV/0!</v>
      </c>
      <c r="I270" s="74" t="e">
        <f t="shared" si="17"/>
        <v>#DIV/0!</v>
      </c>
      <c r="J270" s="62"/>
    </row>
    <row r="271" spans="1:10" ht="14.25" customHeight="1" x14ac:dyDescent="0.3">
      <c r="A271" s="78"/>
      <c r="B271" s="34"/>
      <c r="C271" s="35"/>
      <c r="D271" s="35"/>
      <c r="E271" s="35"/>
      <c r="F271" s="83"/>
      <c r="G271" s="96">
        <f t="shared" si="16"/>
        <v>0</v>
      </c>
      <c r="H271" s="74" t="e">
        <f t="shared" si="18"/>
        <v>#DIV/0!</v>
      </c>
      <c r="I271" s="74" t="e">
        <f t="shared" si="17"/>
        <v>#DIV/0!</v>
      </c>
      <c r="J271" s="62"/>
    </row>
    <row r="272" spans="1:10" ht="14.25" customHeight="1" x14ac:dyDescent="0.3">
      <c r="A272" s="78"/>
      <c r="B272" s="34"/>
      <c r="C272" s="35"/>
      <c r="D272" s="35"/>
      <c r="E272" s="35"/>
      <c r="F272" s="83"/>
      <c r="G272" s="96">
        <f t="shared" si="16"/>
        <v>0</v>
      </c>
      <c r="H272" s="74" t="e">
        <f t="shared" si="18"/>
        <v>#DIV/0!</v>
      </c>
      <c r="I272" s="74" t="e">
        <f t="shared" si="17"/>
        <v>#DIV/0!</v>
      </c>
      <c r="J272" s="62"/>
    </row>
    <row r="273" spans="1:10" ht="14.25" customHeight="1" x14ac:dyDescent="0.3">
      <c r="A273" s="78"/>
      <c r="B273" s="34"/>
      <c r="C273" s="35"/>
      <c r="D273" s="35"/>
      <c r="E273" s="35"/>
      <c r="F273" s="83"/>
      <c r="G273" s="96">
        <f t="shared" si="16"/>
        <v>0</v>
      </c>
      <c r="H273" s="74" t="e">
        <f t="shared" si="18"/>
        <v>#DIV/0!</v>
      </c>
      <c r="I273" s="74" t="e">
        <f t="shared" si="17"/>
        <v>#DIV/0!</v>
      </c>
      <c r="J273" s="62"/>
    </row>
    <row r="274" spans="1:10" ht="14.25" customHeight="1" x14ac:dyDescent="0.3">
      <c r="A274" s="78"/>
      <c r="B274" s="34"/>
      <c r="C274" s="35"/>
      <c r="D274" s="35"/>
      <c r="E274" s="35"/>
      <c r="F274" s="83"/>
      <c r="G274" s="96">
        <f t="shared" si="16"/>
        <v>0</v>
      </c>
      <c r="H274" s="74" t="e">
        <f t="shared" si="18"/>
        <v>#DIV/0!</v>
      </c>
      <c r="I274" s="74" t="e">
        <f t="shared" si="17"/>
        <v>#DIV/0!</v>
      </c>
      <c r="J274" s="62"/>
    </row>
    <row r="275" spans="1:10" ht="14.25" customHeight="1" x14ac:dyDescent="0.3">
      <c r="A275" s="78"/>
      <c r="B275" s="34"/>
      <c r="C275" s="35"/>
      <c r="D275" s="35"/>
      <c r="E275" s="35"/>
      <c r="F275" s="83"/>
      <c r="G275" s="96">
        <f t="shared" si="16"/>
        <v>0</v>
      </c>
      <c r="H275" s="74" t="e">
        <f t="shared" si="18"/>
        <v>#DIV/0!</v>
      </c>
      <c r="I275" s="74" t="e">
        <f t="shared" si="17"/>
        <v>#DIV/0!</v>
      </c>
      <c r="J275" s="62"/>
    </row>
    <row r="276" spans="1:10" ht="14.25" customHeight="1" x14ac:dyDescent="0.3">
      <c r="A276" s="78"/>
      <c r="B276" s="34"/>
      <c r="C276" s="35"/>
      <c r="D276" s="35"/>
      <c r="E276" s="35"/>
      <c r="F276" s="83"/>
      <c r="G276" s="96">
        <f t="shared" si="16"/>
        <v>0</v>
      </c>
      <c r="H276" s="74" t="e">
        <f t="shared" si="18"/>
        <v>#DIV/0!</v>
      </c>
      <c r="I276" s="74" t="e">
        <f t="shared" si="17"/>
        <v>#DIV/0!</v>
      </c>
      <c r="J276" s="62"/>
    </row>
    <row r="277" spans="1:10" ht="14.25" customHeight="1" x14ac:dyDescent="0.3">
      <c r="A277" s="78"/>
      <c r="B277" s="34"/>
      <c r="C277" s="35"/>
      <c r="D277" s="35"/>
      <c r="E277" s="35"/>
      <c r="F277" s="83"/>
      <c r="G277" s="96">
        <f t="shared" si="16"/>
        <v>0</v>
      </c>
      <c r="H277" s="74" t="e">
        <f t="shared" si="18"/>
        <v>#DIV/0!</v>
      </c>
      <c r="I277" s="74" t="e">
        <f t="shared" si="17"/>
        <v>#DIV/0!</v>
      </c>
      <c r="J277" s="62"/>
    </row>
    <row r="278" spans="1:10" ht="14.25" customHeight="1" x14ac:dyDescent="0.3">
      <c r="A278" s="78"/>
      <c r="B278" s="34"/>
      <c r="C278" s="35"/>
      <c r="D278" s="35"/>
      <c r="E278" s="35"/>
      <c r="F278" s="83"/>
      <c r="G278" s="96">
        <f t="shared" si="16"/>
        <v>0</v>
      </c>
      <c r="H278" s="74" t="e">
        <f t="shared" si="18"/>
        <v>#DIV/0!</v>
      </c>
      <c r="I278" s="74" t="e">
        <f t="shared" si="17"/>
        <v>#DIV/0!</v>
      </c>
      <c r="J278" s="62"/>
    </row>
    <row r="279" spans="1:10" ht="14.25" customHeight="1" x14ac:dyDescent="0.3">
      <c r="A279" s="78"/>
      <c r="B279" s="34"/>
      <c r="C279" s="35"/>
      <c r="D279" s="35"/>
      <c r="E279" s="35"/>
      <c r="F279" s="83"/>
      <c r="G279" s="96">
        <f t="shared" si="16"/>
        <v>0</v>
      </c>
      <c r="H279" s="74" t="e">
        <f t="shared" si="18"/>
        <v>#DIV/0!</v>
      </c>
      <c r="I279" s="74" t="e">
        <f t="shared" si="17"/>
        <v>#DIV/0!</v>
      </c>
      <c r="J279" s="62"/>
    </row>
    <row r="280" spans="1:10" ht="14.25" customHeight="1" x14ac:dyDescent="0.3">
      <c r="A280" s="78"/>
      <c r="B280" s="34"/>
      <c r="C280" s="35"/>
      <c r="D280" s="35"/>
      <c r="E280" s="35"/>
      <c r="F280" s="83"/>
      <c r="G280" s="96">
        <f t="shared" si="16"/>
        <v>0</v>
      </c>
      <c r="H280" s="74" t="e">
        <f t="shared" si="18"/>
        <v>#DIV/0!</v>
      </c>
      <c r="I280" s="74" t="e">
        <f t="shared" si="17"/>
        <v>#DIV/0!</v>
      </c>
      <c r="J280" s="62"/>
    </row>
    <row r="281" spans="1:10" ht="14.25" customHeight="1" x14ac:dyDescent="0.3">
      <c r="A281" s="78"/>
      <c r="B281" s="34"/>
      <c r="C281" s="35"/>
      <c r="D281" s="35"/>
      <c r="E281" s="35"/>
      <c r="F281" s="83"/>
      <c r="G281" s="96">
        <f t="shared" si="16"/>
        <v>0</v>
      </c>
      <c r="H281" s="74" t="e">
        <f t="shared" si="18"/>
        <v>#DIV/0!</v>
      </c>
      <c r="I281" s="74" t="e">
        <f t="shared" si="17"/>
        <v>#DIV/0!</v>
      </c>
      <c r="J281" s="62"/>
    </row>
    <row r="282" spans="1:10" ht="14.25" customHeight="1" x14ac:dyDescent="0.3">
      <c r="A282" s="78"/>
      <c r="B282" s="34"/>
      <c r="C282" s="35"/>
      <c r="D282" s="35"/>
      <c r="E282" s="35"/>
      <c r="F282" s="83"/>
      <c r="G282" s="96">
        <f t="shared" si="16"/>
        <v>0</v>
      </c>
      <c r="H282" s="74" t="e">
        <f t="shared" si="18"/>
        <v>#DIV/0!</v>
      </c>
      <c r="I282" s="74" t="e">
        <f t="shared" si="17"/>
        <v>#DIV/0!</v>
      </c>
      <c r="J282" s="62"/>
    </row>
    <row r="283" spans="1:10" ht="14.25" customHeight="1" x14ac:dyDescent="0.3">
      <c r="A283" s="78"/>
      <c r="B283" s="34"/>
      <c r="C283" s="35"/>
      <c r="D283" s="35"/>
      <c r="E283" s="35"/>
      <c r="F283" s="83"/>
      <c r="G283" s="96">
        <f t="shared" si="16"/>
        <v>0</v>
      </c>
      <c r="H283" s="74" t="e">
        <f t="shared" si="18"/>
        <v>#DIV/0!</v>
      </c>
      <c r="I283" s="74" t="e">
        <f t="shared" si="17"/>
        <v>#DIV/0!</v>
      </c>
      <c r="J283" s="62"/>
    </row>
    <row r="284" spans="1:10" ht="14.25" customHeight="1" x14ac:dyDescent="0.3">
      <c r="A284" s="78"/>
      <c r="B284" s="34"/>
      <c r="C284" s="35"/>
      <c r="D284" s="35"/>
      <c r="E284" s="35"/>
      <c r="F284" s="83"/>
      <c r="G284" s="96">
        <f t="shared" si="16"/>
        <v>0</v>
      </c>
      <c r="H284" s="74" t="e">
        <f t="shared" si="18"/>
        <v>#DIV/0!</v>
      </c>
      <c r="I284" s="74" t="e">
        <f t="shared" si="17"/>
        <v>#DIV/0!</v>
      </c>
      <c r="J284" s="62"/>
    </row>
    <row r="285" spans="1:10" ht="14.25" customHeight="1" x14ac:dyDescent="0.3">
      <c r="A285" s="78"/>
      <c r="B285" s="34"/>
      <c r="C285" s="35"/>
      <c r="D285" s="35"/>
      <c r="E285" s="35"/>
      <c r="F285" s="83"/>
      <c r="G285" s="96">
        <f t="shared" si="16"/>
        <v>0</v>
      </c>
      <c r="H285" s="74" t="e">
        <f t="shared" si="18"/>
        <v>#DIV/0!</v>
      </c>
      <c r="I285" s="74" t="e">
        <f t="shared" si="17"/>
        <v>#DIV/0!</v>
      </c>
      <c r="J285" s="62"/>
    </row>
    <row r="286" spans="1:10" ht="14.25" customHeight="1" x14ac:dyDescent="0.3">
      <c r="A286" s="78"/>
      <c r="B286" s="34"/>
      <c r="C286" s="35"/>
      <c r="D286" s="35"/>
      <c r="E286" s="35"/>
      <c r="F286" s="83"/>
      <c r="G286" s="96">
        <f t="shared" si="16"/>
        <v>0</v>
      </c>
      <c r="H286" s="74" t="e">
        <f t="shared" si="18"/>
        <v>#DIV/0!</v>
      </c>
      <c r="I286" s="74" t="e">
        <f t="shared" si="17"/>
        <v>#DIV/0!</v>
      </c>
      <c r="J286" s="62"/>
    </row>
    <row r="287" spans="1:10" ht="14.25" customHeight="1" x14ac:dyDescent="0.3">
      <c r="A287" s="78"/>
      <c r="B287" s="34"/>
      <c r="C287" s="35"/>
      <c r="D287" s="35"/>
      <c r="E287" s="35"/>
      <c r="F287" s="83"/>
      <c r="G287" s="96">
        <f t="shared" si="16"/>
        <v>0</v>
      </c>
      <c r="H287" s="74" t="e">
        <f t="shared" si="18"/>
        <v>#DIV/0!</v>
      </c>
      <c r="I287" s="74" t="e">
        <f t="shared" si="17"/>
        <v>#DIV/0!</v>
      </c>
      <c r="J287" s="62"/>
    </row>
    <row r="288" spans="1:10" ht="14.25" customHeight="1" x14ac:dyDescent="0.3">
      <c r="A288" s="78"/>
      <c r="B288" s="34"/>
      <c r="C288" s="35"/>
      <c r="D288" s="35"/>
      <c r="E288" s="35"/>
      <c r="F288" s="83"/>
      <c r="G288" s="96">
        <f t="shared" si="16"/>
        <v>0</v>
      </c>
      <c r="H288" s="74" t="e">
        <f t="shared" si="18"/>
        <v>#DIV/0!</v>
      </c>
      <c r="I288" s="74" t="e">
        <f t="shared" si="17"/>
        <v>#DIV/0!</v>
      </c>
      <c r="J288" s="62"/>
    </row>
    <row r="289" spans="1:10" ht="14.25" customHeight="1" x14ac:dyDescent="0.3">
      <c r="A289" s="78"/>
      <c r="B289" s="34"/>
      <c r="C289" s="35"/>
      <c r="D289" s="35"/>
      <c r="E289" s="35"/>
      <c r="F289" s="83"/>
      <c r="G289" s="96">
        <f t="shared" si="16"/>
        <v>0</v>
      </c>
      <c r="H289" s="74" t="e">
        <f t="shared" si="18"/>
        <v>#DIV/0!</v>
      </c>
      <c r="I289" s="74" t="e">
        <f t="shared" si="17"/>
        <v>#DIV/0!</v>
      </c>
      <c r="J289" s="62"/>
    </row>
    <row r="290" spans="1:10" ht="14.25" customHeight="1" x14ac:dyDescent="0.3">
      <c r="A290" s="78"/>
      <c r="B290" s="34"/>
      <c r="C290" s="35"/>
      <c r="D290" s="35"/>
      <c r="E290" s="35"/>
      <c r="F290" s="83"/>
      <c r="G290" s="96">
        <f t="shared" si="16"/>
        <v>0</v>
      </c>
      <c r="H290" s="74" t="e">
        <f t="shared" si="18"/>
        <v>#DIV/0!</v>
      </c>
      <c r="I290" s="74" t="e">
        <f t="shared" si="17"/>
        <v>#DIV/0!</v>
      </c>
      <c r="J290" s="62"/>
    </row>
    <row r="291" spans="1:10" ht="14.25" customHeight="1" x14ac:dyDescent="0.3">
      <c r="A291" s="78"/>
      <c r="B291" s="34"/>
      <c r="C291" s="35"/>
      <c r="D291" s="35"/>
      <c r="E291" s="35"/>
      <c r="F291" s="83"/>
      <c r="G291" s="96">
        <f t="shared" si="16"/>
        <v>0</v>
      </c>
      <c r="H291" s="74" t="e">
        <f t="shared" si="18"/>
        <v>#DIV/0!</v>
      </c>
      <c r="I291" s="74" t="e">
        <f t="shared" si="17"/>
        <v>#DIV/0!</v>
      </c>
      <c r="J291" s="62"/>
    </row>
    <row r="292" spans="1:10" ht="14.25" customHeight="1" x14ac:dyDescent="0.3">
      <c r="A292" s="78"/>
      <c r="B292" s="34"/>
      <c r="C292" s="35"/>
      <c r="D292" s="35"/>
      <c r="E292" s="35"/>
      <c r="F292" s="83"/>
      <c r="G292" s="96">
        <f t="shared" si="16"/>
        <v>0</v>
      </c>
      <c r="H292" s="74" t="e">
        <f t="shared" si="18"/>
        <v>#DIV/0!</v>
      </c>
      <c r="I292" s="74" t="e">
        <f t="shared" si="17"/>
        <v>#DIV/0!</v>
      </c>
      <c r="J292" s="62"/>
    </row>
    <row r="293" spans="1:10" ht="14.25" customHeight="1" x14ac:dyDescent="0.3">
      <c r="A293" s="78"/>
      <c r="B293" s="34"/>
      <c r="C293" s="35"/>
      <c r="D293" s="35"/>
      <c r="E293" s="35"/>
      <c r="F293" s="83"/>
      <c r="G293" s="96">
        <f t="shared" si="16"/>
        <v>0</v>
      </c>
      <c r="H293" s="74" t="e">
        <f t="shared" si="18"/>
        <v>#DIV/0!</v>
      </c>
      <c r="I293" s="74" t="e">
        <f t="shared" si="17"/>
        <v>#DIV/0!</v>
      </c>
      <c r="J293" s="62"/>
    </row>
    <row r="294" spans="1:10" ht="14.25" customHeight="1" x14ac:dyDescent="0.3">
      <c r="A294" s="78"/>
      <c r="B294" s="34"/>
      <c r="C294" s="35"/>
      <c r="D294" s="35"/>
      <c r="E294" s="35"/>
      <c r="F294" s="83"/>
      <c r="G294" s="96">
        <f t="shared" si="16"/>
        <v>0</v>
      </c>
      <c r="H294" s="74" t="e">
        <f t="shared" si="18"/>
        <v>#DIV/0!</v>
      </c>
      <c r="I294" s="74" t="e">
        <f t="shared" si="17"/>
        <v>#DIV/0!</v>
      </c>
      <c r="J294" s="62"/>
    </row>
    <row r="295" spans="1:10" ht="14.25" customHeight="1" x14ac:dyDescent="0.3">
      <c r="A295" s="78"/>
      <c r="B295" s="34"/>
      <c r="C295" s="35"/>
      <c r="D295" s="35"/>
      <c r="E295" s="35"/>
      <c r="F295" s="83"/>
      <c r="G295" s="96">
        <f t="shared" si="16"/>
        <v>0</v>
      </c>
      <c r="H295" s="74" t="e">
        <f t="shared" si="18"/>
        <v>#DIV/0!</v>
      </c>
      <c r="I295" s="74" t="e">
        <f t="shared" si="17"/>
        <v>#DIV/0!</v>
      </c>
      <c r="J295" s="62"/>
    </row>
    <row r="296" spans="1:10" ht="14.25" customHeight="1" x14ac:dyDescent="0.3">
      <c r="A296" s="78"/>
      <c r="B296" s="34"/>
      <c r="C296" s="35"/>
      <c r="D296" s="35"/>
      <c r="E296" s="35"/>
      <c r="F296" s="83"/>
      <c r="G296" s="96">
        <f t="shared" si="16"/>
        <v>0</v>
      </c>
      <c r="H296" s="74" t="e">
        <f t="shared" si="18"/>
        <v>#DIV/0!</v>
      </c>
      <c r="I296" s="74" t="e">
        <f t="shared" si="17"/>
        <v>#DIV/0!</v>
      </c>
      <c r="J296" s="62"/>
    </row>
    <row r="297" spans="1:10" ht="14.25" customHeight="1" x14ac:dyDescent="0.3">
      <c r="A297" s="78"/>
      <c r="B297" s="34"/>
      <c r="C297" s="35"/>
      <c r="D297" s="35"/>
      <c r="E297" s="35"/>
      <c r="F297" s="83"/>
      <c r="G297" s="96">
        <f t="shared" si="16"/>
        <v>0</v>
      </c>
      <c r="H297" s="74" t="e">
        <f t="shared" si="18"/>
        <v>#DIV/0!</v>
      </c>
      <c r="I297" s="74" t="e">
        <f t="shared" si="17"/>
        <v>#DIV/0!</v>
      </c>
      <c r="J297" s="62"/>
    </row>
    <row r="298" spans="1:10" ht="14.25" customHeight="1" x14ac:dyDescent="0.3">
      <c r="A298" s="78"/>
      <c r="B298" s="34"/>
      <c r="C298" s="35"/>
      <c r="D298" s="35"/>
      <c r="E298" s="35"/>
      <c r="F298" s="83"/>
      <c r="G298" s="96">
        <f t="shared" si="16"/>
        <v>0</v>
      </c>
      <c r="H298" s="74" t="e">
        <f t="shared" si="18"/>
        <v>#DIV/0!</v>
      </c>
      <c r="I298" s="74" t="e">
        <f t="shared" si="17"/>
        <v>#DIV/0!</v>
      </c>
      <c r="J298" s="62"/>
    </row>
    <row r="299" spans="1:10" ht="14.25" customHeight="1" x14ac:dyDescent="0.3">
      <c r="A299" s="78"/>
      <c r="B299" s="34"/>
      <c r="C299" s="35"/>
      <c r="D299" s="35"/>
      <c r="E299" s="35"/>
      <c r="F299" s="83"/>
      <c r="G299" s="96">
        <f t="shared" si="16"/>
        <v>0</v>
      </c>
      <c r="H299" s="74" t="e">
        <f t="shared" si="18"/>
        <v>#DIV/0!</v>
      </c>
      <c r="I299" s="74" t="e">
        <f t="shared" si="17"/>
        <v>#DIV/0!</v>
      </c>
      <c r="J299" s="62"/>
    </row>
    <row r="300" spans="1:10" ht="14.25" customHeight="1" x14ac:dyDescent="0.3">
      <c r="A300" s="78"/>
      <c r="B300" s="34"/>
      <c r="C300" s="35"/>
      <c r="D300" s="35"/>
      <c r="E300" s="35"/>
      <c r="F300" s="83"/>
      <c r="G300" s="96">
        <f t="shared" si="16"/>
        <v>0</v>
      </c>
      <c r="H300" s="74" t="e">
        <f t="shared" si="18"/>
        <v>#DIV/0!</v>
      </c>
      <c r="I300" s="74" t="e">
        <f t="shared" si="17"/>
        <v>#DIV/0!</v>
      </c>
      <c r="J300" s="62"/>
    </row>
    <row r="301" spans="1:10" ht="14.25" customHeight="1" x14ac:dyDescent="0.3">
      <c r="A301" s="78"/>
      <c r="B301" s="34"/>
      <c r="C301" s="35"/>
      <c r="D301" s="35"/>
      <c r="E301" s="35"/>
      <c r="F301" s="83"/>
      <c r="G301" s="96">
        <f t="shared" si="16"/>
        <v>0</v>
      </c>
      <c r="H301" s="74" t="e">
        <f t="shared" si="18"/>
        <v>#DIV/0!</v>
      </c>
      <c r="I301" s="74" t="e">
        <f t="shared" si="17"/>
        <v>#DIV/0!</v>
      </c>
      <c r="J301" s="62"/>
    </row>
    <row r="302" spans="1:10" ht="14.25" customHeight="1" x14ac:dyDescent="0.3">
      <c r="A302" s="78"/>
      <c r="B302" s="34"/>
      <c r="C302" s="35"/>
      <c r="D302" s="35"/>
      <c r="E302" s="35"/>
      <c r="F302" s="83"/>
      <c r="G302" s="96">
        <f t="shared" si="16"/>
        <v>0</v>
      </c>
      <c r="H302" s="74" t="e">
        <f t="shared" si="18"/>
        <v>#DIV/0!</v>
      </c>
      <c r="I302" s="74" t="e">
        <f t="shared" si="17"/>
        <v>#DIV/0!</v>
      </c>
      <c r="J302" s="62"/>
    </row>
    <row r="303" spans="1:10" ht="14.25" customHeight="1" x14ac:dyDescent="0.3">
      <c r="A303" s="78"/>
      <c r="B303" s="34"/>
      <c r="C303" s="35"/>
      <c r="D303" s="35"/>
      <c r="E303" s="35"/>
      <c r="F303" s="83"/>
      <c r="G303" s="96">
        <f t="shared" si="16"/>
        <v>0</v>
      </c>
      <c r="H303" s="74" t="e">
        <f t="shared" si="18"/>
        <v>#DIV/0!</v>
      </c>
      <c r="I303" s="74" t="e">
        <f t="shared" si="17"/>
        <v>#DIV/0!</v>
      </c>
      <c r="J303" s="62"/>
    </row>
    <row r="304" spans="1:10" ht="14.25" customHeight="1" x14ac:dyDescent="0.3">
      <c r="A304" s="78"/>
      <c r="B304" s="34"/>
      <c r="C304" s="35"/>
      <c r="D304" s="35"/>
      <c r="E304" s="35"/>
      <c r="F304" s="83"/>
      <c r="G304" s="96">
        <f t="shared" si="16"/>
        <v>0</v>
      </c>
      <c r="H304" s="74" t="e">
        <f t="shared" si="18"/>
        <v>#DIV/0!</v>
      </c>
      <c r="I304" s="74" t="e">
        <f t="shared" si="17"/>
        <v>#DIV/0!</v>
      </c>
      <c r="J304" s="62"/>
    </row>
    <row r="305" spans="1:10" ht="14.25" customHeight="1" x14ac:dyDescent="0.3">
      <c r="A305" s="78"/>
      <c r="B305" s="34"/>
      <c r="C305" s="35"/>
      <c r="D305" s="35"/>
      <c r="E305" s="35"/>
      <c r="F305" s="83"/>
      <c r="G305" s="96">
        <f t="shared" si="16"/>
        <v>0</v>
      </c>
      <c r="H305" s="74" t="e">
        <f t="shared" si="18"/>
        <v>#DIV/0!</v>
      </c>
      <c r="I305" s="74" t="e">
        <f t="shared" si="17"/>
        <v>#DIV/0!</v>
      </c>
      <c r="J305" s="62"/>
    </row>
    <row r="306" spans="1:10" ht="14.25" customHeight="1" x14ac:dyDescent="0.3">
      <c r="A306" s="78"/>
      <c r="B306" s="34"/>
      <c r="C306" s="35"/>
      <c r="D306" s="35"/>
      <c r="E306" s="35"/>
      <c r="F306" s="83"/>
      <c r="G306" s="96">
        <f t="shared" si="16"/>
        <v>0</v>
      </c>
      <c r="H306" s="74" t="e">
        <f t="shared" si="18"/>
        <v>#DIV/0!</v>
      </c>
      <c r="I306" s="74" t="e">
        <f t="shared" si="17"/>
        <v>#DIV/0!</v>
      </c>
      <c r="J306" s="62"/>
    </row>
    <row r="307" spans="1:10" ht="14.25" customHeight="1" x14ac:dyDescent="0.3">
      <c r="A307" s="78"/>
      <c r="B307" s="34"/>
      <c r="C307" s="35"/>
      <c r="D307" s="35"/>
      <c r="E307" s="35"/>
      <c r="F307" s="83"/>
      <c r="G307" s="96">
        <f t="shared" si="16"/>
        <v>0</v>
      </c>
      <c r="H307" s="74" t="e">
        <f t="shared" si="18"/>
        <v>#DIV/0!</v>
      </c>
      <c r="I307" s="74" t="e">
        <f t="shared" si="17"/>
        <v>#DIV/0!</v>
      </c>
      <c r="J307" s="62"/>
    </row>
    <row r="308" spans="1:10" ht="14.25" customHeight="1" x14ac:dyDescent="0.3">
      <c r="A308" s="78"/>
      <c r="B308" s="34"/>
      <c r="C308" s="35"/>
      <c r="D308" s="35"/>
      <c r="E308" s="35"/>
      <c r="F308" s="83"/>
      <c r="G308" s="96">
        <f t="shared" si="16"/>
        <v>0</v>
      </c>
      <c r="H308" s="74" t="e">
        <f t="shared" si="18"/>
        <v>#DIV/0!</v>
      </c>
      <c r="I308" s="74" t="e">
        <f t="shared" si="17"/>
        <v>#DIV/0!</v>
      </c>
      <c r="J308" s="62"/>
    </row>
    <row r="309" spans="1:10" ht="14.25" customHeight="1" x14ac:dyDescent="0.3">
      <c r="A309" s="78"/>
      <c r="B309" s="34"/>
      <c r="C309" s="35"/>
      <c r="D309" s="35"/>
      <c r="E309" s="35"/>
      <c r="F309" s="83"/>
      <c r="G309" s="96">
        <f t="shared" si="16"/>
        <v>0</v>
      </c>
      <c r="H309" s="74" t="e">
        <f t="shared" si="18"/>
        <v>#DIV/0!</v>
      </c>
      <c r="I309" s="74" t="e">
        <f t="shared" si="17"/>
        <v>#DIV/0!</v>
      </c>
      <c r="J309" s="62"/>
    </row>
    <row r="310" spans="1:10" ht="14.25" customHeight="1" x14ac:dyDescent="0.3">
      <c r="A310" s="78"/>
      <c r="B310" s="34"/>
      <c r="C310" s="35"/>
      <c r="D310" s="35"/>
      <c r="E310" s="35"/>
      <c r="F310" s="83"/>
      <c r="G310" s="96">
        <f t="shared" si="16"/>
        <v>0</v>
      </c>
      <c r="H310" s="74" t="e">
        <f t="shared" si="18"/>
        <v>#DIV/0!</v>
      </c>
      <c r="I310" s="74" t="e">
        <f t="shared" si="17"/>
        <v>#DIV/0!</v>
      </c>
      <c r="J310" s="62"/>
    </row>
    <row r="311" spans="1:10" ht="14.25" customHeight="1" x14ac:dyDescent="0.3">
      <c r="A311" s="78"/>
      <c r="B311" s="34"/>
      <c r="C311" s="35"/>
      <c r="D311" s="35"/>
      <c r="E311" s="35"/>
      <c r="F311" s="83"/>
      <c r="G311" s="96">
        <f t="shared" si="16"/>
        <v>0</v>
      </c>
      <c r="H311" s="74" t="e">
        <f t="shared" si="18"/>
        <v>#DIV/0!</v>
      </c>
      <c r="I311" s="74" t="e">
        <f t="shared" si="17"/>
        <v>#DIV/0!</v>
      </c>
      <c r="J311" s="62"/>
    </row>
    <row r="312" spans="1:10" ht="14.25" customHeight="1" x14ac:dyDescent="0.3">
      <c r="A312" s="78"/>
      <c r="B312" s="34"/>
      <c r="C312" s="35"/>
      <c r="D312" s="35"/>
      <c r="E312" s="35"/>
      <c r="F312" s="83"/>
      <c r="G312" s="96">
        <f t="shared" si="16"/>
        <v>0</v>
      </c>
      <c r="H312" s="74" t="e">
        <f t="shared" si="18"/>
        <v>#DIV/0!</v>
      </c>
      <c r="I312" s="74" t="e">
        <f t="shared" si="17"/>
        <v>#DIV/0!</v>
      </c>
      <c r="J312" s="62"/>
    </row>
    <row r="313" spans="1:10" ht="14.25" customHeight="1" x14ac:dyDescent="0.3">
      <c r="A313" s="78"/>
      <c r="B313" s="34"/>
      <c r="C313" s="35"/>
      <c r="D313" s="35"/>
      <c r="E313" s="35"/>
      <c r="F313" s="83"/>
      <c r="G313" s="96">
        <f t="shared" si="16"/>
        <v>0</v>
      </c>
      <c r="H313" s="74" t="e">
        <f t="shared" si="18"/>
        <v>#DIV/0!</v>
      </c>
      <c r="I313" s="74" t="e">
        <f t="shared" si="17"/>
        <v>#DIV/0!</v>
      </c>
      <c r="J313" s="62"/>
    </row>
    <row r="314" spans="1:10" ht="14.25" customHeight="1" x14ac:dyDescent="0.3">
      <c r="A314" s="78"/>
      <c r="B314" s="34"/>
      <c r="C314" s="35"/>
      <c r="D314" s="35"/>
      <c r="E314" s="35"/>
      <c r="F314" s="83"/>
      <c r="G314" s="96">
        <f t="shared" si="16"/>
        <v>0</v>
      </c>
      <c r="H314" s="74" t="e">
        <f t="shared" si="18"/>
        <v>#DIV/0!</v>
      </c>
      <c r="I314" s="74" t="e">
        <f t="shared" si="17"/>
        <v>#DIV/0!</v>
      </c>
      <c r="J314" s="62"/>
    </row>
    <row r="315" spans="1:10" ht="14.25" customHeight="1" x14ac:dyDescent="0.3">
      <c r="A315" s="78"/>
      <c r="B315" s="34"/>
      <c r="C315" s="35"/>
      <c r="D315" s="35"/>
      <c r="E315" s="35"/>
      <c r="F315" s="83"/>
      <c r="G315" s="96">
        <f t="shared" si="16"/>
        <v>0</v>
      </c>
      <c r="H315" s="74" t="e">
        <f t="shared" si="18"/>
        <v>#DIV/0!</v>
      </c>
      <c r="I315" s="74" t="e">
        <f t="shared" si="17"/>
        <v>#DIV/0!</v>
      </c>
      <c r="J315" s="62"/>
    </row>
    <row r="316" spans="1:10" ht="14.25" customHeight="1" x14ac:dyDescent="0.3">
      <c r="A316" s="78"/>
      <c r="B316" s="34"/>
      <c r="C316" s="35"/>
      <c r="D316" s="35"/>
      <c r="E316" s="35"/>
      <c r="F316" s="83"/>
      <c r="G316" s="96">
        <f t="shared" si="16"/>
        <v>0</v>
      </c>
      <c r="H316" s="74" t="e">
        <f t="shared" si="18"/>
        <v>#DIV/0!</v>
      </c>
      <c r="I316" s="74" t="e">
        <f t="shared" si="17"/>
        <v>#DIV/0!</v>
      </c>
      <c r="J316" s="62"/>
    </row>
    <row r="317" spans="1:10" ht="14.25" customHeight="1" x14ac:dyDescent="0.3">
      <c r="A317" s="78"/>
      <c r="B317" s="34"/>
      <c r="C317" s="35"/>
      <c r="D317" s="35"/>
      <c r="E317" s="35"/>
      <c r="F317" s="83"/>
      <c r="G317" s="96">
        <f t="shared" si="16"/>
        <v>0</v>
      </c>
      <c r="H317" s="74" t="e">
        <f t="shared" si="18"/>
        <v>#DIV/0!</v>
      </c>
      <c r="I317" s="74" t="e">
        <f t="shared" si="17"/>
        <v>#DIV/0!</v>
      </c>
      <c r="J317" s="62"/>
    </row>
    <row r="318" spans="1:10" ht="14.25" customHeight="1" x14ac:dyDescent="0.3">
      <c r="A318" s="78"/>
      <c r="B318" s="34"/>
      <c r="C318" s="35"/>
      <c r="D318" s="35"/>
      <c r="E318" s="35"/>
      <c r="F318" s="83"/>
      <c r="G318" s="96">
        <f t="shared" si="16"/>
        <v>0</v>
      </c>
      <c r="H318" s="74" t="e">
        <f t="shared" si="18"/>
        <v>#DIV/0!</v>
      </c>
      <c r="I318" s="74" t="e">
        <f t="shared" si="17"/>
        <v>#DIV/0!</v>
      </c>
      <c r="J318" s="62"/>
    </row>
    <row r="319" spans="1:10" ht="14.25" customHeight="1" x14ac:dyDescent="0.3">
      <c r="A319" s="78"/>
      <c r="B319" s="34"/>
      <c r="C319" s="35"/>
      <c r="D319" s="35"/>
      <c r="E319" s="35"/>
      <c r="F319" s="83"/>
      <c r="G319" s="96">
        <f t="shared" si="16"/>
        <v>0</v>
      </c>
      <c r="H319" s="74" t="e">
        <f t="shared" si="18"/>
        <v>#DIV/0!</v>
      </c>
      <c r="I319" s="74" t="e">
        <f t="shared" si="17"/>
        <v>#DIV/0!</v>
      </c>
      <c r="J319" s="62"/>
    </row>
    <row r="320" spans="1:10" ht="14.25" customHeight="1" x14ac:dyDescent="0.3">
      <c r="A320" s="78"/>
      <c r="B320" s="34"/>
      <c r="C320" s="35"/>
      <c r="D320" s="35"/>
      <c r="E320" s="35"/>
      <c r="F320" s="83"/>
      <c r="G320" s="96">
        <f t="shared" si="16"/>
        <v>0</v>
      </c>
      <c r="H320" s="74" t="e">
        <f t="shared" si="18"/>
        <v>#DIV/0!</v>
      </c>
      <c r="I320" s="74" t="e">
        <f t="shared" si="17"/>
        <v>#DIV/0!</v>
      </c>
      <c r="J320" s="62"/>
    </row>
    <row r="321" spans="1:10" ht="14.25" customHeight="1" x14ac:dyDescent="0.3">
      <c r="A321" s="78"/>
      <c r="B321" s="34"/>
      <c r="C321" s="35"/>
      <c r="D321" s="35"/>
      <c r="E321" s="35"/>
      <c r="F321" s="83"/>
      <c r="G321" s="96">
        <f t="shared" si="16"/>
        <v>0</v>
      </c>
      <c r="H321" s="74" t="e">
        <f t="shared" si="18"/>
        <v>#DIV/0!</v>
      </c>
      <c r="I321" s="74" t="e">
        <f t="shared" si="17"/>
        <v>#DIV/0!</v>
      </c>
      <c r="J321" s="62"/>
    </row>
    <row r="322" spans="1:10" ht="14.25" customHeight="1" x14ac:dyDescent="0.3">
      <c r="A322" s="78"/>
      <c r="B322" s="34"/>
      <c r="C322" s="35"/>
      <c r="D322" s="35"/>
      <c r="E322" s="35"/>
      <c r="F322" s="83"/>
      <c r="G322" s="96">
        <f t="shared" ref="G322:G385" si="19">C322-D322</f>
        <v>0</v>
      </c>
      <c r="H322" s="74" t="e">
        <f t="shared" si="18"/>
        <v>#DIV/0!</v>
      </c>
      <c r="I322" s="74" t="e">
        <f t="shared" ref="I322:I385" si="20">(C322 - D322) / (E322 - C322)</f>
        <v>#DIV/0!</v>
      </c>
      <c r="J322" s="62"/>
    </row>
    <row r="323" spans="1:10" ht="14.25" customHeight="1" x14ac:dyDescent="0.3">
      <c r="A323" s="78"/>
      <c r="B323" s="34"/>
      <c r="C323" s="35"/>
      <c r="D323" s="35"/>
      <c r="E323" s="35"/>
      <c r="F323" s="83"/>
      <c r="G323" s="96">
        <f t="shared" si="19"/>
        <v>0</v>
      </c>
      <c r="H323" s="74" t="e">
        <f t="shared" si="18"/>
        <v>#DIV/0!</v>
      </c>
      <c r="I323" s="74" t="e">
        <f t="shared" si="20"/>
        <v>#DIV/0!</v>
      </c>
      <c r="J323" s="62"/>
    </row>
    <row r="324" spans="1:10" ht="14.25" customHeight="1" x14ac:dyDescent="0.3">
      <c r="A324" s="78"/>
      <c r="B324" s="34"/>
      <c r="C324" s="35"/>
      <c r="D324" s="35"/>
      <c r="E324" s="35"/>
      <c r="F324" s="83"/>
      <c r="G324" s="96">
        <f t="shared" si="19"/>
        <v>0</v>
      </c>
      <c r="H324" s="74" t="e">
        <f t="shared" si="18"/>
        <v>#DIV/0!</v>
      </c>
      <c r="I324" s="74" t="e">
        <f t="shared" si="20"/>
        <v>#DIV/0!</v>
      </c>
      <c r="J324" s="62"/>
    </row>
    <row r="325" spans="1:10" ht="14.25" customHeight="1" x14ac:dyDescent="0.3">
      <c r="A325" s="78"/>
      <c r="B325" s="34"/>
      <c r="C325" s="35"/>
      <c r="D325" s="35"/>
      <c r="E325" s="35"/>
      <c r="F325" s="83"/>
      <c r="G325" s="96">
        <f t="shared" si="19"/>
        <v>0</v>
      </c>
      <c r="H325" s="74" t="e">
        <f t="shared" si="18"/>
        <v>#DIV/0!</v>
      </c>
      <c r="I325" s="74" t="e">
        <f t="shared" si="20"/>
        <v>#DIV/0!</v>
      </c>
      <c r="J325" s="62"/>
    </row>
    <row r="326" spans="1:10" ht="14.25" customHeight="1" x14ac:dyDescent="0.3">
      <c r="A326" s="78"/>
      <c r="B326" s="34"/>
      <c r="C326" s="35"/>
      <c r="D326" s="35"/>
      <c r="E326" s="35"/>
      <c r="F326" s="83"/>
      <c r="G326" s="96">
        <f t="shared" si="19"/>
        <v>0</v>
      </c>
      <c r="H326" s="74" t="e">
        <f t="shared" si="18"/>
        <v>#DIV/0!</v>
      </c>
      <c r="I326" s="74" t="e">
        <f t="shared" si="20"/>
        <v>#DIV/0!</v>
      </c>
      <c r="J326" s="62"/>
    </row>
    <row r="327" spans="1:10" ht="14.25" customHeight="1" x14ac:dyDescent="0.3">
      <c r="A327" s="78"/>
      <c r="B327" s="34"/>
      <c r="C327" s="35"/>
      <c r="D327" s="35"/>
      <c r="E327" s="35"/>
      <c r="F327" s="83"/>
      <c r="G327" s="96">
        <f t="shared" si="19"/>
        <v>0</v>
      </c>
      <c r="H327" s="74" t="e">
        <f t="shared" si="18"/>
        <v>#DIV/0!</v>
      </c>
      <c r="I327" s="74" t="e">
        <f t="shared" si="20"/>
        <v>#DIV/0!</v>
      </c>
      <c r="J327" s="62"/>
    </row>
    <row r="328" spans="1:10" ht="14.25" customHeight="1" x14ac:dyDescent="0.3">
      <c r="A328" s="78"/>
      <c r="B328" s="34"/>
      <c r="C328" s="35"/>
      <c r="D328" s="35"/>
      <c r="E328" s="35"/>
      <c r="F328" s="83"/>
      <c r="G328" s="96">
        <f t="shared" si="19"/>
        <v>0</v>
      </c>
      <c r="H328" s="74" t="e">
        <f t="shared" si="18"/>
        <v>#DIV/0!</v>
      </c>
      <c r="I328" s="74" t="e">
        <f t="shared" si="20"/>
        <v>#DIV/0!</v>
      </c>
      <c r="J328" s="62"/>
    </row>
    <row r="329" spans="1:10" ht="14.25" customHeight="1" x14ac:dyDescent="0.3">
      <c r="A329" s="78"/>
      <c r="B329" s="34"/>
      <c r="C329" s="35"/>
      <c r="D329" s="35"/>
      <c r="E329" s="35"/>
      <c r="F329" s="83"/>
      <c r="G329" s="96">
        <f t="shared" si="19"/>
        <v>0</v>
      </c>
      <c r="H329" s="74" t="e">
        <f t="shared" si="18"/>
        <v>#DIV/0!</v>
      </c>
      <c r="I329" s="74" t="e">
        <f t="shared" si="20"/>
        <v>#DIV/0!</v>
      </c>
      <c r="J329" s="62"/>
    </row>
    <row r="330" spans="1:10" ht="14.25" customHeight="1" x14ac:dyDescent="0.3">
      <c r="A330" s="78"/>
      <c r="B330" s="34"/>
      <c r="C330" s="35"/>
      <c r="D330" s="35"/>
      <c r="E330" s="35"/>
      <c r="F330" s="83"/>
      <c r="G330" s="96">
        <f t="shared" si="19"/>
        <v>0</v>
      </c>
      <c r="H330" s="74" t="e">
        <f t="shared" ref="H330:H393" si="21">(C330-D330)/E330</f>
        <v>#DIV/0!</v>
      </c>
      <c r="I330" s="74" t="e">
        <f t="shared" si="20"/>
        <v>#DIV/0!</v>
      </c>
      <c r="J330" s="62"/>
    </row>
    <row r="331" spans="1:10" ht="14.25" customHeight="1" x14ac:dyDescent="0.3">
      <c r="A331" s="78"/>
      <c r="B331" s="34"/>
      <c r="C331" s="35"/>
      <c r="D331" s="35"/>
      <c r="E331" s="35"/>
      <c r="F331" s="83"/>
      <c r="G331" s="96">
        <f t="shared" si="19"/>
        <v>0</v>
      </c>
      <c r="H331" s="74" t="e">
        <f t="shared" si="21"/>
        <v>#DIV/0!</v>
      </c>
      <c r="I331" s="74" t="e">
        <f t="shared" si="20"/>
        <v>#DIV/0!</v>
      </c>
      <c r="J331" s="62"/>
    </row>
    <row r="332" spans="1:10" ht="14.25" customHeight="1" x14ac:dyDescent="0.3">
      <c r="A332" s="78"/>
      <c r="B332" s="34"/>
      <c r="C332" s="35"/>
      <c r="D332" s="35"/>
      <c r="E332" s="35"/>
      <c r="F332" s="83"/>
      <c r="G332" s="96">
        <f t="shared" si="19"/>
        <v>0</v>
      </c>
      <c r="H332" s="74" t="e">
        <f t="shared" si="21"/>
        <v>#DIV/0!</v>
      </c>
      <c r="I332" s="74" t="e">
        <f t="shared" si="20"/>
        <v>#DIV/0!</v>
      </c>
      <c r="J332" s="62"/>
    </row>
    <row r="333" spans="1:10" ht="14.25" customHeight="1" x14ac:dyDescent="0.3">
      <c r="A333" s="78"/>
      <c r="B333" s="34"/>
      <c r="C333" s="35"/>
      <c r="D333" s="35"/>
      <c r="E333" s="35"/>
      <c r="F333" s="83"/>
      <c r="G333" s="96">
        <f t="shared" si="19"/>
        <v>0</v>
      </c>
      <c r="H333" s="74" t="e">
        <f t="shared" si="21"/>
        <v>#DIV/0!</v>
      </c>
      <c r="I333" s="74" t="e">
        <f t="shared" si="20"/>
        <v>#DIV/0!</v>
      </c>
      <c r="J333" s="62"/>
    </row>
    <row r="334" spans="1:10" ht="14.25" customHeight="1" x14ac:dyDescent="0.3">
      <c r="A334" s="78"/>
      <c r="B334" s="34"/>
      <c r="C334" s="35"/>
      <c r="D334" s="35"/>
      <c r="E334" s="35"/>
      <c r="F334" s="83"/>
      <c r="G334" s="96">
        <f t="shared" si="19"/>
        <v>0</v>
      </c>
      <c r="H334" s="74" t="e">
        <f t="shared" si="21"/>
        <v>#DIV/0!</v>
      </c>
      <c r="I334" s="74" t="e">
        <f t="shared" si="20"/>
        <v>#DIV/0!</v>
      </c>
      <c r="J334" s="62"/>
    </row>
    <row r="335" spans="1:10" ht="14.25" customHeight="1" x14ac:dyDescent="0.3">
      <c r="A335" s="78"/>
      <c r="B335" s="34"/>
      <c r="C335" s="35"/>
      <c r="D335" s="35"/>
      <c r="E335" s="35"/>
      <c r="F335" s="83"/>
      <c r="G335" s="96">
        <f t="shared" si="19"/>
        <v>0</v>
      </c>
      <c r="H335" s="74" t="e">
        <f t="shared" si="21"/>
        <v>#DIV/0!</v>
      </c>
      <c r="I335" s="74" t="e">
        <f t="shared" si="20"/>
        <v>#DIV/0!</v>
      </c>
      <c r="J335" s="62"/>
    </row>
    <row r="336" spans="1:10" ht="14.25" customHeight="1" x14ac:dyDescent="0.3">
      <c r="A336" s="78"/>
      <c r="B336" s="34"/>
      <c r="C336" s="35"/>
      <c r="D336" s="35"/>
      <c r="E336" s="35"/>
      <c r="F336" s="83"/>
      <c r="G336" s="96">
        <f t="shared" si="19"/>
        <v>0</v>
      </c>
      <c r="H336" s="74" t="e">
        <f t="shared" si="21"/>
        <v>#DIV/0!</v>
      </c>
      <c r="I336" s="74" t="e">
        <f t="shared" si="20"/>
        <v>#DIV/0!</v>
      </c>
      <c r="J336" s="62"/>
    </row>
    <row r="337" spans="1:10" ht="14.25" customHeight="1" x14ac:dyDescent="0.3">
      <c r="A337" s="78"/>
      <c r="B337" s="34"/>
      <c r="C337" s="35"/>
      <c r="D337" s="35"/>
      <c r="E337" s="35"/>
      <c r="F337" s="83"/>
      <c r="G337" s="96">
        <f t="shared" si="19"/>
        <v>0</v>
      </c>
      <c r="H337" s="74" t="e">
        <f t="shared" si="21"/>
        <v>#DIV/0!</v>
      </c>
      <c r="I337" s="74" t="e">
        <f t="shared" si="20"/>
        <v>#DIV/0!</v>
      </c>
      <c r="J337" s="62"/>
    </row>
    <row r="338" spans="1:10" ht="14.25" customHeight="1" x14ac:dyDescent="0.3">
      <c r="A338" s="78"/>
      <c r="B338" s="34"/>
      <c r="C338" s="35"/>
      <c r="D338" s="35"/>
      <c r="E338" s="35"/>
      <c r="F338" s="83"/>
      <c r="G338" s="96">
        <f t="shared" si="19"/>
        <v>0</v>
      </c>
      <c r="H338" s="74" t="e">
        <f t="shared" si="21"/>
        <v>#DIV/0!</v>
      </c>
      <c r="I338" s="74" t="e">
        <f t="shared" si="20"/>
        <v>#DIV/0!</v>
      </c>
      <c r="J338" s="62"/>
    </row>
    <row r="339" spans="1:10" ht="14.25" customHeight="1" x14ac:dyDescent="0.3">
      <c r="A339" s="78"/>
      <c r="B339" s="34"/>
      <c r="C339" s="35"/>
      <c r="D339" s="35"/>
      <c r="E339" s="35"/>
      <c r="F339" s="83"/>
      <c r="G339" s="96">
        <f t="shared" si="19"/>
        <v>0</v>
      </c>
      <c r="H339" s="74" t="e">
        <f t="shared" si="21"/>
        <v>#DIV/0!</v>
      </c>
      <c r="I339" s="74" t="e">
        <f t="shared" si="20"/>
        <v>#DIV/0!</v>
      </c>
      <c r="J339" s="62"/>
    </row>
    <row r="340" spans="1:10" ht="14.25" customHeight="1" x14ac:dyDescent="0.3">
      <c r="A340" s="78"/>
      <c r="B340" s="34"/>
      <c r="C340" s="35"/>
      <c r="D340" s="35"/>
      <c r="E340" s="35"/>
      <c r="F340" s="83"/>
      <c r="G340" s="96">
        <f t="shared" si="19"/>
        <v>0</v>
      </c>
      <c r="H340" s="74" t="e">
        <f t="shared" si="21"/>
        <v>#DIV/0!</v>
      </c>
      <c r="I340" s="74" t="e">
        <f t="shared" si="20"/>
        <v>#DIV/0!</v>
      </c>
      <c r="J340" s="62"/>
    </row>
    <row r="341" spans="1:10" ht="14.25" customHeight="1" x14ac:dyDescent="0.3">
      <c r="A341" s="78"/>
      <c r="B341" s="34"/>
      <c r="C341" s="35"/>
      <c r="D341" s="35"/>
      <c r="E341" s="35"/>
      <c r="F341" s="83"/>
      <c r="G341" s="96">
        <f t="shared" si="19"/>
        <v>0</v>
      </c>
      <c r="H341" s="74" t="e">
        <f t="shared" si="21"/>
        <v>#DIV/0!</v>
      </c>
      <c r="I341" s="74" t="e">
        <f t="shared" si="20"/>
        <v>#DIV/0!</v>
      </c>
      <c r="J341" s="62"/>
    </row>
    <row r="342" spans="1:10" ht="14.25" customHeight="1" x14ac:dyDescent="0.3">
      <c r="A342" s="78"/>
      <c r="B342" s="34"/>
      <c r="C342" s="35"/>
      <c r="D342" s="35"/>
      <c r="E342" s="35"/>
      <c r="F342" s="83"/>
      <c r="G342" s="96">
        <f t="shared" si="19"/>
        <v>0</v>
      </c>
      <c r="H342" s="74" t="e">
        <f t="shared" si="21"/>
        <v>#DIV/0!</v>
      </c>
      <c r="I342" s="74" t="e">
        <f t="shared" si="20"/>
        <v>#DIV/0!</v>
      </c>
      <c r="J342" s="62"/>
    </row>
    <row r="343" spans="1:10" ht="14.25" customHeight="1" x14ac:dyDescent="0.3">
      <c r="A343" s="78"/>
      <c r="B343" s="34"/>
      <c r="C343" s="35"/>
      <c r="D343" s="35"/>
      <c r="E343" s="35"/>
      <c r="F343" s="83"/>
      <c r="G343" s="96">
        <f t="shared" si="19"/>
        <v>0</v>
      </c>
      <c r="H343" s="74" t="e">
        <f t="shared" si="21"/>
        <v>#DIV/0!</v>
      </c>
      <c r="I343" s="74" t="e">
        <f t="shared" si="20"/>
        <v>#DIV/0!</v>
      </c>
      <c r="J343" s="62"/>
    </row>
    <row r="344" spans="1:10" ht="14.25" customHeight="1" x14ac:dyDescent="0.3">
      <c r="A344" s="78"/>
      <c r="B344" s="34"/>
      <c r="C344" s="35"/>
      <c r="D344" s="35"/>
      <c r="E344" s="35"/>
      <c r="F344" s="83"/>
      <c r="G344" s="96">
        <f t="shared" si="19"/>
        <v>0</v>
      </c>
      <c r="H344" s="74" t="e">
        <f t="shared" si="21"/>
        <v>#DIV/0!</v>
      </c>
      <c r="I344" s="74" t="e">
        <f t="shared" si="20"/>
        <v>#DIV/0!</v>
      </c>
      <c r="J344" s="62"/>
    </row>
    <row r="345" spans="1:10" ht="14.25" customHeight="1" x14ac:dyDescent="0.3">
      <c r="A345" s="78"/>
      <c r="B345" s="34"/>
      <c r="C345" s="35"/>
      <c r="D345" s="35"/>
      <c r="E345" s="35"/>
      <c r="F345" s="83"/>
      <c r="G345" s="96">
        <f t="shared" si="19"/>
        <v>0</v>
      </c>
      <c r="H345" s="74" t="e">
        <f t="shared" si="21"/>
        <v>#DIV/0!</v>
      </c>
      <c r="I345" s="74" t="e">
        <f t="shared" si="20"/>
        <v>#DIV/0!</v>
      </c>
      <c r="J345" s="62"/>
    </row>
    <row r="346" spans="1:10" ht="14.25" customHeight="1" x14ac:dyDescent="0.3">
      <c r="A346" s="78"/>
      <c r="B346" s="34"/>
      <c r="C346" s="35"/>
      <c r="D346" s="35"/>
      <c r="E346" s="35"/>
      <c r="F346" s="83"/>
      <c r="G346" s="96">
        <f t="shared" si="19"/>
        <v>0</v>
      </c>
      <c r="H346" s="74" t="e">
        <f t="shared" si="21"/>
        <v>#DIV/0!</v>
      </c>
      <c r="I346" s="74" t="e">
        <f t="shared" si="20"/>
        <v>#DIV/0!</v>
      </c>
      <c r="J346" s="62"/>
    </row>
    <row r="347" spans="1:10" ht="14.25" customHeight="1" x14ac:dyDescent="0.3">
      <c r="A347" s="78"/>
      <c r="B347" s="34"/>
      <c r="C347" s="35"/>
      <c r="D347" s="35"/>
      <c r="E347" s="35"/>
      <c r="F347" s="83"/>
      <c r="G347" s="96">
        <f t="shared" si="19"/>
        <v>0</v>
      </c>
      <c r="H347" s="74" t="e">
        <f t="shared" si="21"/>
        <v>#DIV/0!</v>
      </c>
      <c r="I347" s="74" t="e">
        <f t="shared" si="20"/>
        <v>#DIV/0!</v>
      </c>
      <c r="J347" s="62"/>
    </row>
    <row r="348" spans="1:10" ht="14.25" customHeight="1" x14ac:dyDescent="0.3">
      <c r="A348" s="78"/>
      <c r="B348" s="34"/>
      <c r="C348" s="35"/>
      <c r="D348" s="35"/>
      <c r="E348" s="35"/>
      <c r="F348" s="83"/>
      <c r="G348" s="96">
        <f t="shared" si="19"/>
        <v>0</v>
      </c>
      <c r="H348" s="74" t="e">
        <f t="shared" si="21"/>
        <v>#DIV/0!</v>
      </c>
      <c r="I348" s="74" t="e">
        <f t="shared" si="20"/>
        <v>#DIV/0!</v>
      </c>
      <c r="J348" s="62"/>
    </row>
    <row r="349" spans="1:10" ht="14.25" customHeight="1" x14ac:dyDescent="0.3">
      <c r="A349" s="78"/>
      <c r="B349" s="34"/>
      <c r="C349" s="35"/>
      <c r="D349" s="35"/>
      <c r="E349" s="35"/>
      <c r="F349" s="83"/>
      <c r="G349" s="96">
        <f t="shared" si="19"/>
        <v>0</v>
      </c>
      <c r="H349" s="74" t="e">
        <f t="shared" si="21"/>
        <v>#DIV/0!</v>
      </c>
      <c r="I349" s="74" t="e">
        <f t="shared" si="20"/>
        <v>#DIV/0!</v>
      </c>
      <c r="J349" s="62"/>
    </row>
    <row r="350" spans="1:10" ht="14.25" customHeight="1" x14ac:dyDescent="0.3">
      <c r="A350" s="78"/>
      <c r="B350" s="34"/>
      <c r="C350" s="35"/>
      <c r="D350" s="35"/>
      <c r="E350" s="35"/>
      <c r="F350" s="83"/>
      <c r="G350" s="96">
        <f t="shared" si="19"/>
        <v>0</v>
      </c>
      <c r="H350" s="74" t="e">
        <f t="shared" si="21"/>
        <v>#DIV/0!</v>
      </c>
      <c r="I350" s="74" t="e">
        <f t="shared" si="20"/>
        <v>#DIV/0!</v>
      </c>
      <c r="J350" s="62"/>
    </row>
    <row r="351" spans="1:10" ht="14.25" customHeight="1" x14ac:dyDescent="0.3">
      <c r="A351" s="78"/>
      <c r="B351" s="34"/>
      <c r="C351" s="35"/>
      <c r="D351" s="35"/>
      <c r="E351" s="35"/>
      <c r="F351" s="83"/>
      <c r="G351" s="96">
        <f t="shared" si="19"/>
        <v>0</v>
      </c>
      <c r="H351" s="74" t="e">
        <f t="shared" si="21"/>
        <v>#DIV/0!</v>
      </c>
      <c r="I351" s="74" t="e">
        <f t="shared" si="20"/>
        <v>#DIV/0!</v>
      </c>
      <c r="J351" s="62"/>
    </row>
    <row r="352" spans="1:10" ht="14.25" customHeight="1" x14ac:dyDescent="0.3">
      <c r="A352" s="78"/>
      <c r="B352" s="34"/>
      <c r="C352" s="35"/>
      <c r="D352" s="35"/>
      <c r="E352" s="35"/>
      <c r="F352" s="83"/>
      <c r="G352" s="96">
        <f t="shared" si="19"/>
        <v>0</v>
      </c>
      <c r="H352" s="74" t="e">
        <f t="shared" si="21"/>
        <v>#DIV/0!</v>
      </c>
      <c r="I352" s="74" t="e">
        <f t="shared" si="20"/>
        <v>#DIV/0!</v>
      </c>
      <c r="J352" s="62"/>
    </row>
    <row r="353" spans="1:10" ht="14.25" customHeight="1" x14ac:dyDescent="0.3">
      <c r="A353" s="78"/>
      <c r="B353" s="34"/>
      <c r="C353" s="35"/>
      <c r="D353" s="35"/>
      <c r="E353" s="35"/>
      <c r="F353" s="83"/>
      <c r="G353" s="96">
        <f t="shared" si="19"/>
        <v>0</v>
      </c>
      <c r="H353" s="74" t="e">
        <f t="shared" si="21"/>
        <v>#DIV/0!</v>
      </c>
      <c r="I353" s="74" t="e">
        <f t="shared" si="20"/>
        <v>#DIV/0!</v>
      </c>
      <c r="J353" s="62"/>
    </row>
    <row r="354" spans="1:10" ht="14.25" customHeight="1" x14ac:dyDescent="0.3">
      <c r="A354" s="78"/>
      <c r="B354" s="34"/>
      <c r="C354" s="35"/>
      <c r="D354" s="35"/>
      <c r="E354" s="35"/>
      <c r="F354" s="83"/>
      <c r="G354" s="96">
        <f t="shared" si="19"/>
        <v>0</v>
      </c>
      <c r="H354" s="74" t="e">
        <f t="shared" si="21"/>
        <v>#DIV/0!</v>
      </c>
      <c r="I354" s="74" t="e">
        <f t="shared" si="20"/>
        <v>#DIV/0!</v>
      </c>
      <c r="J354" s="62"/>
    </row>
    <row r="355" spans="1:10" ht="14.25" customHeight="1" x14ac:dyDescent="0.3">
      <c r="A355" s="78"/>
      <c r="B355" s="34"/>
      <c r="C355" s="35"/>
      <c r="D355" s="35"/>
      <c r="E355" s="35"/>
      <c r="F355" s="83"/>
      <c r="G355" s="96">
        <f t="shared" si="19"/>
        <v>0</v>
      </c>
      <c r="H355" s="74" t="e">
        <f t="shared" si="21"/>
        <v>#DIV/0!</v>
      </c>
      <c r="I355" s="74" t="e">
        <f t="shared" si="20"/>
        <v>#DIV/0!</v>
      </c>
      <c r="J355" s="62"/>
    </row>
    <row r="356" spans="1:10" ht="14.25" customHeight="1" x14ac:dyDescent="0.3">
      <c r="A356" s="78"/>
      <c r="B356" s="34"/>
      <c r="C356" s="35"/>
      <c r="D356" s="35"/>
      <c r="E356" s="35"/>
      <c r="F356" s="83"/>
      <c r="G356" s="96">
        <f t="shared" si="19"/>
        <v>0</v>
      </c>
      <c r="H356" s="74" t="e">
        <f t="shared" si="21"/>
        <v>#DIV/0!</v>
      </c>
      <c r="I356" s="74" t="e">
        <f t="shared" si="20"/>
        <v>#DIV/0!</v>
      </c>
      <c r="J356" s="62"/>
    </row>
    <row r="357" spans="1:10" ht="14.25" customHeight="1" x14ac:dyDescent="0.3">
      <c r="A357" s="78"/>
      <c r="B357" s="34"/>
      <c r="C357" s="35"/>
      <c r="D357" s="35"/>
      <c r="E357" s="35"/>
      <c r="F357" s="83"/>
      <c r="G357" s="96">
        <f t="shared" si="19"/>
        <v>0</v>
      </c>
      <c r="H357" s="74" t="e">
        <f t="shared" si="21"/>
        <v>#DIV/0!</v>
      </c>
      <c r="I357" s="74" t="e">
        <f t="shared" si="20"/>
        <v>#DIV/0!</v>
      </c>
      <c r="J357" s="62"/>
    </row>
    <row r="358" spans="1:10" ht="14.25" customHeight="1" x14ac:dyDescent="0.3">
      <c r="A358" s="78"/>
      <c r="B358" s="34"/>
      <c r="C358" s="35"/>
      <c r="D358" s="35"/>
      <c r="E358" s="35"/>
      <c r="F358" s="83"/>
      <c r="G358" s="96">
        <f t="shared" si="19"/>
        <v>0</v>
      </c>
      <c r="H358" s="74" t="e">
        <f t="shared" si="21"/>
        <v>#DIV/0!</v>
      </c>
      <c r="I358" s="74" t="e">
        <f t="shared" si="20"/>
        <v>#DIV/0!</v>
      </c>
      <c r="J358" s="62"/>
    </row>
    <row r="359" spans="1:10" ht="14.25" customHeight="1" x14ac:dyDescent="0.3">
      <c r="A359" s="78"/>
      <c r="B359" s="34"/>
      <c r="C359" s="35"/>
      <c r="D359" s="35"/>
      <c r="E359" s="35"/>
      <c r="F359" s="83"/>
      <c r="G359" s="96">
        <f t="shared" si="19"/>
        <v>0</v>
      </c>
      <c r="H359" s="74" t="e">
        <f t="shared" si="21"/>
        <v>#DIV/0!</v>
      </c>
      <c r="I359" s="74" t="e">
        <f t="shared" si="20"/>
        <v>#DIV/0!</v>
      </c>
      <c r="J359" s="62"/>
    </row>
    <row r="360" spans="1:10" ht="14.25" customHeight="1" x14ac:dyDescent="0.3">
      <c r="A360" s="78"/>
      <c r="B360" s="34"/>
      <c r="C360" s="35"/>
      <c r="D360" s="35"/>
      <c r="E360" s="35"/>
      <c r="F360" s="83"/>
      <c r="G360" s="96">
        <f t="shared" si="19"/>
        <v>0</v>
      </c>
      <c r="H360" s="74" t="e">
        <f t="shared" si="21"/>
        <v>#DIV/0!</v>
      </c>
      <c r="I360" s="74" t="e">
        <f t="shared" si="20"/>
        <v>#DIV/0!</v>
      </c>
      <c r="J360" s="62"/>
    </row>
    <row r="361" spans="1:10" ht="14.25" customHeight="1" x14ac:dyDescent="0.3">
      <c r="A361" s="78"/>
      <c r="B361" s="34"/>
      <c r="C361" s="35"/>
      <c r="D361" s="35"/>
      <c r="E361" s="35"/>
      <c r="F361" s="83"/>
      <c r="G361" s="96">
        <f t="shared" si="19"/>
        <v>0</v>
      </c>
      <c r="H361" s="74" t="e">
        <f t="shared" si="21"/>
        <v>#DIV/0!</v>
      </c>
      <c r="I361" s="74" t="e">
        <f t="shared" si="20"/>
        <v>#DIV/0!</v>
      </c>
      <c r="J361" s="62"/>
    </row>
    <row r="362" spans="1:10" ht="14.25" customHeight="1" x14ac:dyDescent="0.3">
      <c r="A362" s="78"/>
      <c r="B362" s="34"/>
      <c r="C362" s="35"/>
      <c r="D362" s="35"/>
      <c r="E362" s="35"/>
      <c r="F362" s="83"/>
      <c r="G362" s="96">
        <f t="shared" si="19"/>
        <v>0</v>
      </c>
      <c r="H362" s="74" t="e">
        <f t="shared" si="21"/>
        <v>#DIV/0!</v>
      </c>
      <c r="I362" s="74" t="e">
        <f t="shared" si="20"/>
        <v>#DIV/0!</v>
      </c>
      <c r="J362" s="62"/>
    </row>
    <row r="363" spans="1:10" ht="14.25" customHeight="1" x14ac:dyDescent="0.3">
      <c r="A363" s="78"/>
      <c r="B363" s="34"/>
      <c r="C363" s="35"/>
      <c r="D363" s="35"/>
      <c r="E363" s="35"/>
      <c r="F363" s="83"/>
      <c r="G363" s="96">
        <f t="shared" si="19"/>
        <v>0</v>
      </c>
      <c r="H363" s="74" t="e">
        <f t="shared" si="21"/>
        <v>#DIV/0!</v>
      </c>
      <c r="I363" s="74" t="e">
        <f t="shared" si="20"/>
        <v>#DIV/0!</v>
      </c>
      <c r="J363" s="62"/>
    </row>
    <row r="364" spans="1:10" ht="14.25" customHeight="1" x14ac:dyDescent="0.3">
      <c r="A364" s="78"/>
      <c r="B364" s="34"/>
      <c r="C364" s="35"/>
      <c r="D364" s="35"/>
      <c r="E364" s="35"/>
      <c r="F364" s="83"/>
      <c r="G364" s="96">
        <f t="shared" si="19"/>
        <v>0</v>
      </c>
      <c r="H364" s="74" t="e">
        <f t="shared" si="21"/>
        <v>#DIV/0!</v>
      </c>
      <c r="I364" s="74" t="e">
        <f t="shared" si="20"/>
        <v>#DIV/0!</v>
      </c>
      <c r="J364" s="62"/>
    </row>
    <row r="365" spans="1:10" ht="14.25" customHeight="1" x14ac:dyDescent="0.3">
      <c r="A365" s="78"/>
      <c r="B365" s="34"/>
      <c r="C365" s="35"/>
      <c r="D365" s="35"/>
      <c r="E365" s="35"/>
      <c r="F365" s="83"/>
      <c r="G365" s="96">
        <f t="shared" si="19"/>
        <v>0</v>
      </c>
      <c r="H365" s="74" t="e">
        <f t="shared" si="21"/>
        <v>#DIV/0!</v>
      </c>
      <c r="I365" s="74" t="e">
        <f t="shared" si="20"/>
        <v>#DIV/0!</v>
      </c>
      <c r="J365" s="62"/>
    </row>
    <row r="366" spans="1:10" ht="14.25" customHeight="1" x14ac:dyDescent="0.3">
      <c r="A366" s="78"/>
      <c r="B366" s="34"/>
      <c r="C366" s="35"/>
      <c r="D366" s="35"/>
      <c r="E366" s="35"/>
      <c r="F366" s="83"/>
      <c r="G366" s="96">
        <f t="shared" si="19"/>
        <v>0</v>
      </c>
      <c r="H366" s="74" t="e">
        <f t="shared" si="21"/>
        <v>#DIV/0!</v>
      </c>
      <c r="I366" s="74" t="e">
        <f t="shared" si="20"/>
        <v>#DIV/0!</v>
      </c>
      <c r="J366" s="62"/>
    </row>
    <row r="367" spans="1:10" ht="14.25" customHeight="1" x14ac:dyDescent="0.3">
      <c r="A367" s="78"/>
      <c r="B367" s="34"/>
      <c r="C367" s="35"/>
      <c r="D367" s="35"/>
      <c r="E367" s="35"/>
      <c r="F367" s="83"/>
      <c r="G367" s="96">
        <f t="shared" si="19"/>
        <v>0</v>
      </c>
      <c r="H367" s="74" t="e">
        <f t="shared" si="21"/>
        <v>#DIV/0!</v>
      </c>
      <c r="I367" s="74" t="e">
        <f t="shared" si="20"/>
        <v>#DIV/0!</v>
      </c>
      <c r="J367" s="62"/>
    </row>
    <row r="368" spans="1:10" ht="14.25" customHeight="1" x14ac:dyDescent="0.3">
      <c r="A368" s="78"/>
      <c r="B368" s="34"/>
      <c r="C368" s="35"/>
      <c r="D368" s="35"/>
      <c r="E368" s="35"/>
      <c r="F368" s="83"/>
      <c r="G368" s="96">
        <f t="shared" si="19"/>
        <v>0</v>
      </c>
      <c r="H368" s="74" t="e">
        <f t="shared" si="21"/>
        <v>#DIV/0!</v>
      </c>
      <c r="I368" s="74" t="e">
        <f t="shared" si="20"/>
        <v>#DIV/0!</v>
      </c>
      <c r="J368" s="62"/>
    </row>
    <row r="369" spans="1:10" ht="14.25" customHeight="1" x14ac:dyDescent="0.3">
      <c r="A369" s="78"/>
      <c r="B369" s="34"/>
      <c r="C369" s="35"/>
      <c r="D369" s="35"/>
      <c r="E369" s="35"/>
      <c r="F369" s="83"/>
      <c r="G369" s="96">
        <f t="shared" si="19"/>
        <v>0</v>
      </c>
      <c r="H369" s="74" t="e">
        <f t="shared" si="21"/>
        <v>#DIV/0!</v>
      </c>
      <c r="I369" s="74" t="e">
        <f t="shared" si="20"/>
        <v>#DIV/0!</v>
      </c>
      <c r="J369" s="62"/>
    </row>
    <row r="370" spans="1:10" ht="14.25" customHeight="1" x14ac:dyDescent="0.3">
      <c r="A370" s="78"/>
      <c r="B370" s="34"/>
      <c r="C370" s="35"/>
      <c r="D370" s="35"/>
      <c r="E370" s="35"/>
      <c r="F370" s="83"/>
      <c r="G370" s="96">
        <f t="shared" si="19"/>
        <v>0</v>
      </c>
      <c r="H370" s="74" t="e">
        <f t="shared" si="21"/>
        <v>#DIV/0!</v>
      </c>
      <c r="I370" s="74" t="e">
        <f t="shared" si="20"/>
        <v>#DIV/0!</v>
      </c>
      <c r="J370" s="62"/>
    </row>
    <row r="371" spans="1:10" ht="14.25" customHeight="1" x14ac:dyDescent="0.3">
      <c r="A371" s="78"/>
      <c r="B371" s="34"/>
      <c r="C371" s="35"/>
      <c r="D371" s="35"/>
      <c r="E371" s="35"/>
      <c r="F371" s="83"/>
      <c r="G371" s="96">
        <f t="shared" si="19"/>
        <v>0</v>
      </c>
      <c r="H371" s="74" t="e">
        <f t="shared" si="21"/>
        <v>#DIV/0!</v>
      </c>
      <c r="I371" s="74" t="e">
        <f t="shared" si="20"/>
        <v>#DIV/0!</v>
      </c>
      <c r="J371" s="62"/>
    </row>
    <row r="372" spans="1:10" ht="14.25" customHeight="1" x14ac:dyDescent="0.3">
      <c r="A372" s="78"/>
      <c r="B372" s="34"/>
      <c r="C372" s="35"/>
      <c r="D372" s="35"/>
      <c r="E372" s="35"/>
      <c r="F372" s="83"/>
      <c r="G372" s="96">
        <f t="shared" si="19"/>
        <v>0</v>
      </c>
      <c r="H372" s="74" t="e">
        <f t="shared" si="21"/>
        <v>#DIV/0!</v>
      </c>
      <c r="I372" s="74" t="e">
        <f t="shared" si="20"/>
        <v>#DIV/0!</v>
      </c>
      <c r="J372" s="62"/>
    </row>
    <row r="373" spans="1:10" ht="14.25" customHeight="1" x14ac:dyDescent="0.3">
      <c r="A373" s="78"/>
      <c r="B373" s="34"/>
      <c r="C373" s="35"/>
      <c r="D373" s="35"/>
      <c r="E373" s="35"/>
      <c r="F373" s="83"/>
      <c r="G373" s="96">
        <f t="shared" si="19"/>
        <v>0</v>
      </c>
      <c r="H373" s="74" t="e">
        <f t="shared" si="21"/>
        <v>#DIV/0!</v>
      </c>
      <c r="I373" s="74" t="e">
        <f t="shared" si="20"/>
        <v>#DIV/0!</v>
      </c>
      <c r="J373" s="62"/>
    </row>
    <row r="374" spans="1:10" ht="14.25" customHeight="1" x14ac:dyDescent="0.3">
      <c r="A374" s="78"/>
      <c r="B374" s="34"/>
      <c r="C374" s="35"/>
      <c r="D374" s="35"/>
      <c r="E374" s="35"/>
      <c r="F374" s="83"/>
      <c r="G374" s="96">
        <f t="shared" si="19"/>
        <v>0</v>
      </c>
      <c r="H374" s="74" t="e">
        <f t="shared" si="21"/>
        <v>#DIV/0!</v>
      </c>
      <c r="I374" s="74" t="e">
        <f t="shared" si="20"/>
        <v>#DIV/0!</v>
      </c>
      <c r="J374" s="62"/>
    </row>
    <row r="375" spans="1:10" ht="14.25" customHeight="1" x14ac:dyDescent="0.3">
      <c r="A375" s="78"/>
      <c r="B375" s="34"/>
      <c r="C375" s="35"/>
      <c r="D375" s="35"/>
      <c r="E375" s="35"/>
      <c r="F375" s="83"/>
      <c r="G375" s="96">
        <f t="shared" si="19"/>
        <v>0</v>
      </c>
      <c r="H375" s="74" t="e">
        <f t="shared" si="21"/>
        <v>#DIV/0!</v>
      </c>
      <c r="I375" s="74" t="e">
        <f t="shared" si="20"/>
        <v>#DIV/0!</v>
      </c>
      <c r="J375" s="62"/>
    </row>
    <row r="376" spans="1:10" ht="14.25" customHeight="1" x14ac:dyDescent="0.3">
      <c r="A376" s="78"/>
      <c r="B376" s="34"/>
      <c r="C376" s="35"/>
      <c r="D376" s="35"/>
      <c r="E376" s="35"/>
      <c r="F376" s="83"/>
      <c r="G376" s="96">
        <f t="shared" si="19"/>
        <v>0</v>
      </c>
      <c r="H376" s="74" t="e">
        <f t="shared" si="21"/>
        <v>#DIV/0!</v>
      </c>
      <c r="I376" s="74" t="e">
        <f t="shared" si="20"/>
        <v>#DIV/0!</v>
      </c>
      <c r="J376" s="62"/>
    </row>
    <row r="377" spans="1:10" ht="14.25" customHeight="1" x14ac:dyDescent="0.3">
      <c r="A377" s="78"/>
      <c r="B377" s="34"/>
      <c r="C377" s="35"/>
      <c r="D377" s="35"/>
      <c r="E377" s="35"/>
      <c r="F377" s="83"/>
      <c r="G377" s="96">
        <f t="shared" si="19"/>
        <v>0</v>
      </c>
      <c r="H377" s="74" t="e">
        <f t="shared" si="21"/>
        <v>#DIV/0!</v>
      </c>
      <c r="I377" s="74" t="e">
        <f t="shared" si="20"/>
        <v>#DIV/0!</v>
      </c>
      <c r="J377" s="62"/>
    </row>
    <row r="378" spans="1:10" ht="14.25" customHeight="1" x14ac:dyDescent="0.3">
      <c r="A378" s="78"/>
      <c r="B378" s="34"/>
      <c r="C378" s="35"/>
      <c r="D378" s="35"/>
      <c r="E378" s="35"/>
      <c r="F378" s="83"/>
      <c r="G378" s="96">
        <f t="shared" si="19"/>
        <v>0</v>
      </c>
      <c r="H378" s="74" t="e">
        <f t="shared" si="21"/>
        <v>#DIV/0!</v>
      </c>
      <c r="I378" s="74" t="e">
        <f t="shared" si="20"/>
        <v>#DIV/0!</v>
      </c>
      <c r="J378" s="62"/>
    </row>
    <row r="379" spans="1:10" ht="14.25" customHeight="1" x14ac:dyDescent="0.3">
      <c r="A379" s="78"/>
      <c r="B379" s="34"/>
      <c r="C379" s="35"/>
      <c r="D379" s="35"/>
      <c r="E379" s="35"/>
      <c r="F379" s="83"/>
      <c r="G379" s="96">
        <f t="shared" si="19"/>
        <v>0</v>
      </c>
      <c r="H379" s="74" t="e">
        <f t="shared" si="21"/>
        <v>#DIV/0!</v>
      </c>
      <c r="I379" s="74" t="e">
        <f t="shared" si="20"/>
        <v>#DIV/0!</v>
      </c>
      <c r="J379" s="62"/>
    </row>
    <row r="380" spans="1:10" ht="14.25" customHeight="1" x14ac:dyDescent="0.3">
      <c r="A380" s="78"/>
      <c r="B380" s="34"/>
      <c r="C380" s="35"/>
      <c r="D380" s="35"/>
      <c r="E380" s="35"/>
      <c r="F380" s="83"/>
      <c r="G380" s="96">
        <f t="shared" si="19"/>
        <v>0</v>
      </c>
      <c r="H380" s="74" t="e">
        <f t="shared" si="21"/>
        <v>#DIV/0!</v>
      </c>
      <c r="I380" s="74" t="e">
        <f t="shared" si="20"/>
        <v>#DIV/0!</v>
      </c>
      <c r="J380" s="62"/>
    </row>
    <row r="381" spans="1:10" ht="14.25" customHeight="1" x14ac:dyDescent="0.3">
      <c r="A381" s="78"/>
      <c r="B381" s="34"/>
      <c r="C381" s="35"/>
      <c r="D381" s="35"/>
      <c r="E381" s="35"/>
      <c r="F381" s="83"/>
      <c r="G381" s="96">
        <f t="shared" si="19"/>
        <v>0</v>
      </c>
      <c r="H381" s="74" t="e">
        <f t="shared" si="21"/>
        <v>#DIV/0!</v>
      </c>
      <c r="I381" s="74" t="e">
        <f t="shared" si="20"/>
        <v>#DIV/0!</v>
      </c>
      <c r="J381" s="62"/>
    </row>
    <row r="382" spans="1:10" ht="14.25" customHeight="1" x14ac:dyDescent="0.3">
      <c r="A382" s="78"/>
      <c r="B382" s="34"/>
      <c r="C382" s="35"/>
      <c r="D382" s="35"/>
      <c r="E382" s="35"/>
      <c r="F382" s="83"/>
      <c r="G382" s="96">
        <f t="shared" si="19"/>
        <v>0</v>
      </c>
      <c r="H382" s="74" t="e">
        <f t="shared" si="21"/>
        <v>#DIV/0!</v>
      </c>
      <c r="I382" s="74" t="e">
        <f t="shared" si="20"/>
        <v>#DIV/0!</v>
      </c>
      <c r="J382" s="62"/>
    </row>
    <row r="383" spans="1:10" ht="14.25" customHeight="1" x14ac:dyDescent="0.3">
      <c r="A383" s="78"/>
      <c r="B383" s="34"/>
      <c r="C383" s="35"/>
      <c r="D383" s="35"/>
      <c r="E383" s="35"/>
      <c r="F383" s="83"/>
      <c r="G383" s="96">
        <f t="shared" si="19"/>
        <v>0</v>
      </c>
      <c r="H383" s="74" t="e">
        <f t="shared" si="21"/>
        <v>#DIV/0!</v>
      </c>
      <c r="I383" s="74" t="e">
        <f t="shared" si="20"/>
        <v>#DIV/0!</v>
      </c>
      <c r="J383" s="62"/>
    </row>
    <row r="384" spans="1:10" ht="14.25" customHeight="1" x14ac:dyDescent="0.3">
      <c r="A384" s="78"/>
      <c r="B384" s="34"/>
      <c r="C384" s="35"/>
      <c r="D384" s="35"/>
      <c r="E384" s="35"/>
      <c r="F384" s="83"/>
      <c r="G384" s="96">
        <f t="shared" si="19"/>
        <v>0</v>
      </c>
      <c r="H384" s="74" t="e">
        <f t="shared" si="21"/>
        <v>#DIV/0!</v>
      </c>
      <c r="I384" s="74" t="e">
        <f t="shared" si="20"/>
        <v>#DIV/0!</v>
      </c>
      <c r="J384" s="62"/>
    </row>
    <row r="385" spans="1:10" ht="14.25" customHeight="1" x14ac:dyDescent="0.3">
      <c r="A385" s="78"/>
      <c r="B385" s="34"/>
      <c r="C385" s="35"/>
      <c r="D385" s="35"/>
      <c r="E385" s="35"/>
      <c r="F385" s="83"/>
      <c r="G385" s="96">
        <f t="shared" si="19"/>
        <v>0</v>
      </c>
      <c r="H385" s="74" t="e">
        <f t="shared" si="21"/>
        <v>#DIV/0!</v>
      </c>
      <c r="I385" s="74" t="e">
        <f t="shared" si="20"/>
        <v>#DIV/0!</v>
      </c>
      <c r="J385" s="62"/>
    </row>
    <row r="386" spans="1:10" ht="14.25" customHeight="1" x14ac:dyDescent="0.3">
      <c r="A386" s="78"/>
      <c r="B386" s="34"/>
      <c r="C386" s="35"/>
      <c r="D386" s="35"/>
      <c r="E386" s="35"/>
      <c r="F386" s="83"/>
      <c r="G386" s="96">
        <f t="shared" ref="G386:G449" si="22">C386-D386</f>
        <v>0</v>
      </c>
      <c r="H386" s="74" t="e">
        <f t="shared" si="21"/>
        <v>#DIV/0!</v>
      </c>
      <c r="I386" s="74" t="e">
        <f t="shared" ref="I386:I449" si="23">(C386 - D386) / (E386 - C386)</f>
        <v>#DIV/0!</v>
      </c>
      <c r="J386" s="62"/>
    </row>
    <row r="387" spans="1:10" ht="14.25" customHeight="1" x14ac:dyDescent="0.3">
      <c r="A387" s="78"/>
      <c r="B387" s="34"/>
      <c r="C387" s="35"/>
      <c r="D387" s="35"/>
      <c r="E387" s="35"/>
      <c r="F387" s="83"/>
      <c r="G387" s="96">
        <f t="shared" si="22"/>
        <v>0</v>
      </c>
      <c r="H387" s="74" t="e">
        <f t="shared" si="21"/>
        <v>#DIV/0!</v>
      </c>
      <c r="I387" s="74" t="e">
        <f t="shared" si="23"/>
        <v>#DIV/0!</v>
      </c>
      <c r="J387" s="62"/>
    </row>
    <row r="388" spans="1:10" ht="14.25" customHeight="1" x14ac:dyDescent="0.3">
      <c r="A388" s="78"/>
      <c r="B388" s="34"/>
      <c r="C388" s="35"/>
      <c r="D388" s="35"/>
      <c r="E388" s="35"/>
      <c r="F388" s="83"/>
      <c r="G388" s="96">
        <f t="shared" si="22"/>
        <v>0</v>
      </c>
      <c r="H388" s="74" t="e">
        <f t="shared" si="21"/>
        <v>#DIV/0!</v>
      </c>
      <c r="I388" s="74" t="e">
        <f t="shared" si="23"/>
        <v>#DIV/0!</v>
      </c>
      <c r="J388" s="62"/>
    </row>
    <row r="389" spans="1:10" ht="14.25" customHeight="1" x14ac:dyDescent="0.3">
      <c r="A389" s="78"/>
      <c r="B389" s="34"/>
      <c r="C389" s="35"/>
      <c r="D389" s="35"/>
      <c r="E389" s="35"/>
      <c r="F389" s="83"/>
      <c r="G389" s="96">
        <f t="shared" si="22"/>
        <v>0</v>
      </c>
      <c r="H389" s="74" t="e">
        <f t="shared" si="21"/>
        <v>#DIV/0!</v>
      </c>
      <c r="I389" s="74" t="e">
        <f t="shared" si="23"/>
        <v>#DIV/0!</v>
      </c>
      <c r="J389" s="62"/>
    </row>
    <row r="390" spans="1:10" ht="14.25" customHeight="1" x14ac:dyDescent="0.3">
      <c r="A390" s="78"/>
      <c r="B390" s="34"/>
      <c r="C390" s="35"/>
      <c r="D390" s="35"/>
      <c r="E390" s="35"/>
      <c r="F390" s="83"/>
      <c r="G390" s="96">
        <f t="shared" si="22"/>
        <v>0</v>
      </c>
      <c r="H390" s="74" t="e">
        <f t="shared" si="21"/>
        <v>#DIV/0!</v>
      </c>
      <c r="I390" s="74" t="e">
        <f t="shared" si="23"/>
        <v>#DIV/0!</v>
      </c>
      <c r="J390" s="62"/>
    </row>
    <row r="391" spans="1:10" ht="14.25" customHeight="1" x14ac:dyDescent="0.3">
      <c r="A391" s="78"/>
      <c r="B391" s="34"/>
      <c r="C391" s="35"/>
      <c r="D391" s="35"/>
      <c r="E391" s="35"/>
      <c r="F391" s="83"/>
      <c r="G391" s="96">
        <f t="shared" si="22"/>
        <v>0</v>
      </c>
      <c r="H391" s="74" t="e">
        <f t="shared" si="21"/>
        <v>#DIV/0!</v>
      </c>
      <c r="I391" s="74" t="e">
        <f t="shared" si="23"/>
        <v>#DIV/0!</v>
      </c>
      <c r="J391" s="62"/>
    </row>
    <row r="392" spans="1:10" ht="14.25" customHeight="1" x14ac:dyDescent="0.3">
      <c r="A392" s="78"/>
      <c r="B392" s="34"/>
      <c r="C392" s="35"/>
      <c r="D392" s="35"/>
      <c r="E392" s="35"/>
      <c r="F392" s="83"/>
      <c r="G392" s="96">
        <f t="shared" si="22"/>
        <v>0</v>
      </c>
      <c r="H392" s="74" t="e">
        <f t="shared" si="21"/>
        <v>#DIV/0!</v>
      </c>
      <c r="I392" s="74" t="e">
        <f t="shared" si="23"/>
        <v>#DIV/0!</v>
      </c>
      <c r="J392" s="62"/>
    </row>
    <row r="393" spans="1:10" ht="14.25" customHeight="1" x14ac:dyDescent="0.3">
      <c r="A393" s="78"/>
      <c r="B393" s="34"/>
      <c r="C393" s="35"/>
      <c r="D393" s="35"/>
      <c r="E393" s="35"/>
      <c r="F393" s="83"/>
      <c r="G393" s="96">
        <f t="shared" si="22"/>
        <v>0</v>
      </c>
      <c r="H393" s="74" t="e">
        <f t="shared" si="21"/>
        <v>#DIV/0!</v>
      </c>
      <c r="I393" s="74" t="e">
        <f t="shared" si="23"/>
        <v>#DIV/0!</v>
      </c>
      <c r="J393" s="62"/>
    </row>
    <row r="394" spans="1:10" ht="14.25" customHeight="1" x14ac:dyDescent="0.3">
      <c r="A394" s="78"/>
      <c r="B394" s="34"/>
      <c r="C394" s="35"/>
      <c r="D394" s="35"/>
      <c r="E394" s="35"/>
      <c r="F394" s="83"/>
      <c r="G394" s="96">
        <f t="shared" si="22"/>
        <v>0</v>
      </c>
      <c r="H394" s="74" t="e">
        <f t="shared" ref="H394:H457" si="24">(C394-D394)/E394</f>
        <v>#DIV/0!</v>
      </c>
      <c r="I394" s="74" t="e">
        <f t="shared" si="23"/>
        <v>#DIV/0!</v>
      </c>
      <c r="J394" s="62"/>
    </row>
    <row r="395" spans="1:10" ht="14.25" customHeight="1" x14ac:dyDescent="0.3">
      <c r="A395" s="78"/>
      <c r="B395" s="34"/>
      <c r="C395" s="35"/>
      <c r="D395" s="35"/>
      <c r="E395" s="35"/>
      <c r="F395" s="83"/>
      <c r="G395" s="96">
        <f t="shared" si="22"/>
        <v>0</v>
      </c>
      <c r="H395" s="74" t="e">
        <f t="shared" si="24"/>
        <v>#DIV/0!</v>
      </c>
      <c r="I395" s="74" t="e">
        <f t="shared" si="23"/>
        <v>#DIV/0!</v>
      </c>
      <c r="J395" s="62"/>
    </row>
    <row r="396" spans="1:10" ht="14.25" customHeight="1" x14ac:dyDescent="0.3">
      <c r="A396" s="78"/>
      <c r="B396" s="34"/>
      <c r="C396" s="35"/>
      <c r="D396" s="35"/>
      <c r="E396" s="35"/>
      <c r="F396" s="83"/>
      <c r="G396" s="96">
        <f t="shared" si="22"/>
        <v>0</v>
      </c>
      <c r="H396" s="74" t="e">
        <f t="shared" si="24"/>
        <v>#DIV/0!</v>
      </c>
      <c r="I396" s="74" t="e">
        <f t="shared" si="23"/>
        <v>#DIV/0!</v>
      </c>
      <c r="J396" s="62"/>
    </row>
    <row r="397" spans="1:10" ht="14.25" customHeight="1" x14ac:dyDescent="0.3">
      <c r="A397" s="78"/>
      <c r="B397" s="34"/>
      <c r="C397" s="35"/>
      <c r="D397" s="35"/>
      <c r="E397" s="35"/>
      <c r="F397" s="83"/>
      <c r="G397" s="96">
        <f t="shared" si="22"/>
        <v>0</v>
      </c>
      <c r="H397" s="74" t="e">
        <f t="shared" si="24"/>
        <v>#DIV/0!</v>
      </c>
      <c r="I397" s="74" t="e">
        <f t="shared" si="23"/>
        <v>#DIV/0!</v>
      </c>
      <c r="J397" s="62"/>
    </row>
    <row r="398" spans="1:10" ht="14.25" customHeight="1" x14ac:dyDescent="0.3">
      <c r="A398" s="78"/>
      <c r="B398" s="34"/>
      <c r="C398" s="35"/>
      <c r="D398" s="35"/>
      <c r="E398" s="35"/>
      <c r="F398" s="83"/>
      <c r="G398" s="96">
        <f t="shared" si="22"/>
        <v>0</v>
      </c>
      <c r="H398" s="74" t="e">
        <f t="shared" si="24"/>
        <v>#DIV/0!</v>
      </c>
      <c r="I398" s="74" t="e">
        <f t="shared" si="23"/>
        <v>#DIV/0!</v>
      </c>
      <c r="J398" s="62"/>
    </row>
    <row r="399" spans="1:10" ht="14.25" customHeight="1" x14ac:dyDescent="0.3">
      <c r="A399" s="78"/>
      <c r="B399" s="34"/>
      <c r="C399" s="35"/>
      <c r="D399" s="35"/>
      <c r="E399" s="35"/>
      <c r="F399" s="83"/>
      <c r="G399" s="96">
        <f t="shared" si="22"/>
        <v>0</v>
      </c>
      <c r="H399" s="74" t="e">
        <f t="shared" si="24"/>
        <v>#DIV/0!</v>
      </c>
      <c r="I399" s="74" t="e">
        <f t="shared" si="23"/>
        <v>#DIV/0!</v>
      </c>
      <c r="J399" s="62"/>
    </row>
    <row r="400" spans="1:10" ht="14.25" customHeight="1" x14ac:dyDescent="0.3">
      <c r="A400" s="78"/>
      <c r="B400" s="34"/>
      <c r="C400" s="35"/>
      <c r="D400" s="35"/>
      <c r="E400" s="35"/>
      <c r="F400" s="83"/>
      <c r="G400" s="96">
        <f t="shared" si="22"/>
        <v>0</v>
      </c>
      <c r="H400" s="74" t="e">
        <f t="shared" si="24"/>
        <v>#DIV/0!</v>
      </c>
      <c r="I400" s="74" t="e">
        <f t="shared" si="23"/>
        <v>#DIV/0!</v>
      </c>
      <c r="J400" s="62"/>
    </row>
    <row r="401" spans="1:10" ht="14.25" customHeight="1" x14ac:dyDescent="0.3">
      <c r="A401" s="78"/>
      <c r="B401" s="34"/>
      <c r="C401" s="35"/>
      <c r="D401" s="35"/>
      <c r="E401" s="35"/>
      <c r="F401" s="83"/>
      <c r="G401" s="96">
        <f t="shared" si="22"/>
        <v>0</v>
      </c>
      <c r="H401" s="74" t="e">
        <f t="shared" si="24"/>
        <v>#DIV/0!</v>
      </c>
      <c r="I401" s="74" t="e">
        <f t="shared" si="23"/>
        <v>#DIV/0!</v>
      </c>
      <c r="J401" s="62"/>
    </row>
    <row r="402" spans="1:10" ht="14.25" customHeight="1" x14ac:dyDescent="0.3">
      <c r="A402" s="78"/>
      <c r="B402" s="34"/>
      <c r="C402" s="35"/>
      <c r="D402" s="35"/>
      <c r="E402" s="35"/>
      <c r="F402" s="83"/>
      <c r="G402" s="96">
        <f t="shared" si="22"/>
        <v>0</v>
      </c>
      <c r="H402" s="74" t="e">
        <f t="shared" si="24"/>
        <v>#DIV/0!</v>
      </c>
      <c r="I402" s="74" t="e">
        <f t="shared" si="23"/>
        <v>#DIV/0!</v>
      </c>
      <c r="J402" s="62"/>
    </row>
    <row r="403" spans="1:10" ht="14.25" customHeight="1" x14ac:dyDescent="0.3">
      <c r="A403" s="78"/>
      <c r="B403" s="34"/>
      <c r="C403" s="35"/>
      <c r="D403" s="35"/>
      <c r="E403" s="35"/>
      <c r="F403" s="83"/>
      <c r="G403" s="96">
        <f t="shared" si="22"/>
        <v>0</v>
      </c>
      <c r="H403" s="74" t="e">
        <f t="shared" si="24"/>
        <v>#DIV/0!</v>
      </c>
      <c r="I403" s="74" t="e">
        <f t="shared" si="23"/>
        <v>#DIV/0!</v>
      </c>
      <c r="J403" s="62"/>
    </row>
    <row r="404" spans="1:10" ht="14.25" customHeight="1" x14ac:dyDescent="0.3">
      <c r="A404" s="78"/>
      <c r="B404" s="34"/>
      <c r="C404" s="35"/>
      <c r="D404" s="35"/>
      <c r="E404" s="35"/>
      <c r="F404" s="83"/>
      <c r="G404" s="96">
        <f t="shared" si="22"/>
        <v>0</v>
      </c>
      <c r="H404" s="74" t="e">
        <f t="shared" si="24"/>
        <v>#DIV/0!</v>
      </c>
      <c r="I404" s="74" t="e">
        <f t="shared" si="23"/>
        <v>#DIV/0!</v>
      </c>
      <c r="J404" s="62"/>
    </row>
    <row r="405" spans="1:10" ht="14.25" customHeight="1" x14ac:dyDescent="0.3">
      <c r="A405" s="78"/>
      <c r="B405" s="34"/>
      <c r="C405" s="35"/>
      <c r="D405" s="35"/>
      <c r="E405" s="35"/>
      <c r="F405" s="83"/>
      <c r="G405" s="96">
        <f t="shared" si="22"/>
        <v>0</v>
      </c>
      <c r="H405" s="74" t="e">
        <f t="shared" si="24"/>
        <v>#DIV/0!</v>
      </c>
      <c r="I405" s="74" t="e">
        <f t="shared" si="23"/>
        <v>#DIV/0!</v>
      </c>
      <c r="J405" s="62"/>
    </row>
    <row r="406" spans="1:10" ht="14.25" customHeight="1" x14ac:dyDescent="0.3">
      <c r="A406" s="78"/>
      <c r="B406" s="34"/>
      <c r="C406" s="35"/>
      <c r="D406" s="35"/>
      <c r="E406" s="35"/>
      <c r="F406" s="83"/>
      <c r="G406" s="96">
        <f t="shared" si="22"/>
        <v>0</v>
      </c>
      <c r="H406" s="74" t="e">
        <f t="shared" si="24"/>
        <v>#DIV/0!</v>
      </c>
      <c r="I406" s="74" t="e">
        <f t="shared" si="23"/>
        <v>#DIV/0!</v>
      </c>
      <c r="J406" s="62"/>
    </row>
    <row r="407" spans="1:10" ht="14.25" customHeight="1" x14ac:dyDescent="0.3">
      <c r="A407" s="78"/>
      <c r="B407" s="34"/>
      <c r="C407" s="35"/>
      <c r="D407" s="35"/>
      <c r="E407" s="35"/>
      <c r="F407" s="83"/>
      <c r="G407" s="96">
        <f t="shared" si="22"/>
        <v>0</v>
      </c>
      <c r="H407" s="74" t="e">
        <f t="shared" si="24"/>
        <v>#DIV/0!</v>
      </c>
      <c r="I407" s="74" t="e">
        <f t="shared" si="23"/>
        <v>#DIV/0!</v>
      </c>
      <c r="J407" s="62"/>
    </row>
    <row r="408" spans="1:10" ht="14.25" customHeight="1" x14ac:dyDescent="0.3">
      <c r="A408" s="78"/>
      <c r="B408" s="34"/>
      <c r="C408" s="35"/>
      <c r="D408" s="35"/>
      <c r="E408" s="35"/>
      <c r="F408" s="83"/>
      <c r="G408" s="96">
        <f t="shared" si="22"/>
        <v>0</v>
      </c>
      <c r="H408" s="74" t="e">
        <f t="shared" si="24"/>
        <v>#DIV/0!</v>
      </c>
      <c r="I408" s="74" t="e">
        <f t="shared" si="23"/>
        <v>#DIV/0!</v>
      </c>
      <c r="J408" s="62"/>
    </row>
    <row r="409" spans="1:10" ht="14.25" customHeight="1" x14ac:dyDescent="0.3">
      <c r="A409" s="78"/>
      <c r="B409" s="34"/>
      <c r="C409" s="35"/>
      <c r="D409" s="35"/>
      <c r="E409" s="35"/>
      <c r="F409" s="83"/>
      <c r="G409" s="96">
        <f t="shared" si="22"/>
        <v>0</v>
      </c>
      <c r="H409" s="74" t="e">
        <f t="shared" si="24"/>
        <v>#DIV/0!</v>
      </c>
      <c r="I409" s="74" t="e">
        <f t="shared" si="23"/>
        <v>#DIV/0!</v>
      </c>
      <c r="J409" s="62"/>
    </row>
    <row r="410" spans="1:10" ht="14.25" customHeight="1" x14ac:dyDescent="0.3">
      <c r="A410" s="78"/>
      <c r="B410" s="34"/>
      <c r="C410" s="35"/>
      <c r="D410" s="35"/>
      <c r="E410" s="35"/>
      <c r="F410" s="83"/>
      <c r="G410" s="96">
        <f t="shared" si="22"/>
        <v>0</v>
      </c>
      <c r="H410" s="74" t="e">
        <f t="shared" si="24"/>
        <v>#DIV/0!</v>
      </c>
      <c r="I410" s="74" t="e">
        <f t="shared" si="23"/>
        <v>#DIV/0!</v>
      </c>
      <c r="J410" s="62"/>
    </row>
    <row r="411" spans="1:10" ht="14.25" customHeight="1" x14ac:dyDescent="0.3">
      <c r="A411" s="78"/>
      <c r="B411" s="34"/>
      <c r="C411" s="35"/>
      <c r="D411" s="35"/>
      <c r="E411" s="35"/>
      <c r="F411" s="83"/>
      <c r="G411" s="96">
        <f t="shared" si="22"/>
        <v>0</v>
      </c>
      <c r="H411" s="74" t="e">
        <f t="shared" si="24"/>
        <v>#DIV/0!</v>
      </c>
      <c r="I411" s="74" t="e">
        <f t="shared" si="23"/>
        <v>#DIV/0!</v>
      </c>
      <c r="J411" s="62"/>
    </row>
    <row r="412" spans="1:10" ht="14.25" customHeight="1" x14ac:dyDescent="0.3">
      <c r="A412" s="78"/>
      <c r="B412" s="34"/>
      <c r="C412" s="35"/>
      <c r="D412" s="35"/>
      <c r="E412" s="35"/>
      <c r="F412" s="83"/>
      <c r="G412" s="96">
        <f t="shared" si="22"/>
        <v>0</v>
      </c>
      <c r="H412" s="74" t="e">
        <f t="shared" si="24"/>
        <v>#DIV/0!</v>
      </c>
      <c r="I412" s="74" t="e">
        <f t="shared" si="23"/>
        <v>#DIV/0!</v>
      </c>
      <c r="J412" s="62"/>
    </row>
    <row r="413" spans="1:10" ht="14.25" customHeight="1" x14ac:dyDescent="0.3">
      <c r="A413" s="78"/>
      <c r="B413" s="34"/>
      <c r="C413" s="35"/>
      <c r="D413" s="35"/>
      <c r="E413" s="35"/>
      <c r="F413" s="83"/>
      <c r="G413" s="96">
        <f t="shared" si="22"/>
        <v>0</v>
      </c>
      <c r="H413" s="74" t="e">
        <f t="shared" si="24"/>
        <v>#DIV/0!</v>
      </c>
      <c r="I413" s="74" t="e">
        <f t="shared" si="23"/>
        <v>#DIV/0!</v>
      </c>
      <c r="J413" s="62"/>
    </row>
    <row r="414" spans="1:10" ht="14.25" customHeight="1" x14ac:dyDescent="0.3">
      <c r="A414" s="78"/>
      <c r="B414" s="34"/>
      <c r="C414" s="35"/>
      <c r="D414" s="35"/>
      <c r="E414" s="35"/>
      <c r="F414" s="83"/>
      <c r="G414" s="96">
        <f t="shared" si="22"/>
        <v>0</v>
      </c>
      <c r="H414" s="74" t="e">
        <f t="shared" si="24"/>
        <v>#DIV/0!</v>
      </c>
      <c r="I414" s="74" t="e">
        <f t="shared" si="23"/>
        <v>#DIV/0!</v>
      </c>
      <c r="J414" s="62"/>
    </row>
    <row r="415" spans="1:10" ht="14.25" customHeight="1" x14ac:dyDescent="0.3">
      <c r="A415" s="78"/>
      <c r="B415" s="34"/>
      <c r="C415" s="35"/>
      <c r="D415" s="35"/>
      <c r="E415" s="35"/>
      <c r="F415" s="83"/>
      <c r="G415" s="96">
        <f t="shared" si="22"/>
        <v>0</v>
      </c>
      <c r="H415" s="74" t="e">
        <f t="shared" si="24"/>
        <v>#DIV/0!</v>
      </c>
      <c r="I415" s="74" t="e">
        <f t="shared" si="23"/>
        <v>#DIV/0!</v>
      </c>
      <c r="J415" s="62"/>
    </row>
    <row r="416" spans="1:10" ht="14.25" customHeight="1" x14ac:dyDescent="0.3">
      <c r="A416" s="78"/>
      <c r="B416" s="34"/>
      <c r="C416" s="35"/>
      <c r="D416" s="35"/>
      <c r="E416" s="35"/>
      <c r="F416" s="83"/>
      <c r="G416" s="96">
        <f t="shared" si="22"/>
        <v>0</v>
      </c>
      <c r="H416" s="74" t="e">
        <f t="shared" si="24"/>
        <v>#DIV/0!</v>
      </c>
      <c r="I416" s="74" t="e">
        <f t="shared" si="23"/>
        <v>#DIV/0!</v>
      </c>
      <c r="J416" s="62"/>
    </row>
    <row r="417" spans="1:10" ht="14.25" customHeight="1" x14ac:dyDescent="0.3">
      <c r="A417" s="78"/>
      <c r="B417" s="34"/>
      <c r="C417" s="35"/>
      <c r="D417" s="35"/>
      <c r="E417" s="35"/>
      <c r="F417" s="83"/>
      <c r="G417" s="96">
        <f t="shared" si="22"/>
        <v>0</v>
      </c>
      <c r="H417" s="74" t="e">
        <f t="shared" si="24"/>
        <v>#DIV/0!</v>
      </c>
      <c r="I417" s="74" t="e">
        <f t="shared" si="23"/>
        <v>#DIV/0!</v>
      </c>
      <c r="J417" s="62"/>
    </row>
    <row r="418" spans="1:10" ht="14.25" customHeight="1" x14ac:dyDescent="0.3">
      <c r="A418" s="78"/>
      <c r="B418" s="34"/>
      <c r="C418" s="35"/>
      <c r="D418" s="35"/>
      <c r="E418" s="35"/>
      <c r="F418" s="83"/>
      <c r="G418" s="96">
        <f t="shared" si="22"/>
        <v>0</v>
      </c>
      <c r="H418" s="74" t="e">
        <f t="shared" si="24"/>
        <v>#DIV/0!</v>
      </c>
      <c r="I418" s="74" t="e">
        <f t="shared" si="23"/>
        <v>#DIV/0!</v>
      </c>
      <c r="J418" s="62"/>
    </row>
    <row r="419" spans="1:10" ht="14.25" customHeight="1" x14ac:dyDescent="0.3">
      <c r="A419" s="78"/>
      <c r="B419" s="34"/>
      <c r="C419" s="35"/>
      <c r="D419" s="35"/>
      <c r="E419" s="35"/>
      <c r="F419" s="83"/>
      <c r="G419" s="96">
        <f t="shared" si="22"/>
        <v>0</v>
      </c>
      <c r="H419" s="74" t="e">
        <f t="shared" si="24"/>
        <v>#DIV/0!</v>
      </c>
      <c r="I419" s="74" t="e">
        <f t="shared" si="23"/>
        <v>#DIV/0!</v>
      </c>
      <c r="J419" s="62"/>
    </row>
    <row r="420" spans="1:10" ht="14.25" customHeight="1" x14ac:dyDescent="0.3">
      <c r="A420" s="78"/>
      <c r="B420" s="34"/>
      <c r="C420" s="35"/>
      <c r="D420" s="35"/>
      <c r="E420" s="35"/>
      <c r="F420" s="83"/>
      <c r="G420" s="96">
        <f t="shared" si="22"/>
        <v>0</v>
      </c>
      <c r="H420" s="74" t="e">
        <f t="shared" si="24"/>
        <v>#DIV/0!</v>
      </c>
      <c r="I420" s="74" t="e">
        <f t="shared" si="23"/>
        <v>#DIV/0!</v>
      </c>
      <c r="J420" s="62"/>
    </row>
    <row r="421" spans="1:10" ht="14.25" customHeight="1" x14ac:dyDescent="0.3">
      <c r="A421" s="78"/>
      <c r="B421" s="34"/>
      <c r="C421" s="35"/>
      <c r="D421" s="35"/>
      <c r="E421" s="35"/>
      <c r="F421" s="83"/>
      <c r="G421" s="96">
        <f t="shared" si="22"/>
        <v>0</v>
      </c>
      <c r="H421" s="74" t="e">
        <f t="shared" si="24"/>
        <v>#DIV/0!</v>
      </c>
      <c r="I421" s="74" t="e">
        <f t="shared" si="23"/>
        <v>#DIV/0!</v>
      </c>
      <c r="J421" s="62"/>
    </row>
    <row r="422" spans="1:10" ht="14.25" customHeight="1" x14ac:dyDescent="0.3">
      <c r="A422" s="78"/>
      <c r="B422" s="34"/>
      <c r="C422" s="35"/>
      <c r="D422" s="35"/>
      <c r="E422" s="35"/>
      <c r="F422" s="83"/>
      <c r="G422" s="96">
        <f t="shared" si="22"/>
        <v>0</v>
      </c>
      <c r="H422" s="74" t="e">
        <f t="shared" si="24"/>
        <v>#DIV/0!</v>
      </c>
      <c r="I422" s="74" t="e">
        <f t="shared" si="23"/>
        <v>#DIV/0!</v>
      </c>
      <c r="J422" s="62"/>
    </row>
    <row r="423" spans="1:10" ht="14.25" customHeight="1" x14ac:dyDescent="0.3">
      <c r="A423" s="78"/>
      <c r="B423" s="34"/>
      <c r="C423" s="35"/>
      <c r="D423" s="35"/>
      <c r="E423" s="35"/>
      <c r="F423" s="83"/>
      <c r="G423" s="96">
        <f t="shared" si="22"/>
        <v>0</v>
      </c>
      <c r="H423" s="74" t="e">
        <f t="shared" si="24"/>
        <v>#DIV/0!</v>
      </c>
      <c r="I423" s="74" t="e">
        <f t="shared" si="23"/>
        <v>#DIV/0!</v>
      </c>
      <c r="J423" s="62"/>
    </row>
    <row r="424" spans="1:10" ht="14.25" customHeight="1" x14ac:dyDescent="0.3">
      <c r="A424" s="78"/>
      <c r="B424" s="34"/>
      <c r="C424" s="35"/>
      <c r="D424" s="35"/>
      <c r="E424" s="35"/>
      <c r="F424" s="83"/>
      <c r="G424" s="96">
        <f t="shared" si="22"/>
        <v>0</v>
      </c>
      <c r="H424" s="74" t="e">
        <f t="shared" si="24"/>
        <v>#DIV/0!</v>
      </c>
      <c r="I424" s="74" t="e">
        <f t="shared" si="23"/>
        <v>#DIV/0!</v>
      </c>
      <c r="J424" s="62"/>
    </row>
    <row r="425" spans="1:10" ht="14.25" customHeight="1" x14ac:dyDescent="0.3">
      <c r="A425" s="78"/>
      <c r="B425" s="34"/>
      <c r="C425" s="35"/>
      <c r="D425" s="35"/>
      <c r="E425" s="35"/>
      <c r="F425" s="83"/>
      <c r="G425" s="96">
        <f t="shared" si="22"/>
        <v>0</v>
      </c>
      <c r="H425" s="74" t="e">
        <f t="shared" si="24"/>
        <v>#DIV/0!</v>
      </c>
      <c r="I425" s="74" t="e">
        <f t="shared" si="23"/>
        <v>#DIV/0!</v>
      </c>
      <c r="J425" s="62"/>
    </row>
    <row r="426" spans="1:10" ht="14.25" customHeight="1" x14ac:dyDescent="0.3">
      <c r="A426" s="78"/>
      <c r="B426" s="34"/>
      <c r="C426" s="35"/>
      <c r="D426" s="35"/>
      <c r="E426" s="35"/>
      <c r="F426" s="83"/>
      <c r="G426" s="96">
        <f t="shared" si="22"/>
        <v>0</v>
      </c>
      <c r="H426" s="74" t="e">
        <f t="shared" si="24"/>
        <v>#DIV/0!</v>
      </c>
      <c r="I426" s="74" t="e">
        <f t="shared" si="23"/>
        <v>#DIV/0!</v>
      </c>
      <c r="J426" s="62"/>
    </row>
    <row r="427" spans="1:10" ht="14.25" customHeight="1" x14ac:dyDescent="0.3">
      <c r="A427" s="78"/>
      <c r="B427" s="34"/>
      <c r="C427" s="35"/>
      <c r="D427" s="35"/>
      <c r="E427" s="35"/>
      <c r="F427" s="83"/>
      <c r="G427" s="96">
        <f t="shared" si="22"/>
        <v>0</v>
      </c>
      <c r="H427" s="74" t="e">
        <f t="shared" si="24"/>
        <v>#DIV/0!</v>
      </c>
      <c r="I427" s="74" t="e">
        <f t="shared" si="23"/>
        <v>#DIV/0!</v>
      </c>
      <c r="J427" s="62"/>
    </row>
    <row r="428" spans="1:10" ht="14.25" customHeight="1" x14ac:dyDescent="0.3">
      <c r="A428" s="78"/>
      <c r="B428" s="34"/>
      <c r="C428" s="35"/>
      <c r="D428" s="35"/>
      <c r="E428" s="35"/>
      <c r="F428" s="83"/>
      <c r="G428" s="96">
        <f t="shared" si="22"/>
        <v>0</v>
      </c>
      <c r="H428" s="74" t="e">
        <f t="shared" si="24"/>
        <v>#DIV/0!</v>
      </c>
      <c r="I428" s="74" t="e">
        <f t="shared" si="23"/>
        <v>#DIV/0!</v>
      </c>
      <c r="J428" s="62"/>
    </row>
    <row r="429" spans="1:10" ht="14.25" customHeight="1" x14ac:dyDescent="0.3">
      <c r="A429" s="78"/>
      <c r="B429" s="34"/>
      <c r="C429" s="35"/>
      <c r="D429" s="35"/>
      <c r="E429" s="35"/>
      <c r="F429" s="83"/>
      <c r="G429" s="96">
        <f t="shared" si="22"/>
        <v>0</v>
      </c>
      <c r="H429" s="74" t="e">
        <f t="shared" si="24"/>
        <v>#DIV/0!</v>
      </c>
      <c r="I429" s="74" t="e">
        <f t="shared" si="23"/>
        <v>#DIV/0!</v>
      </c>
      <c r="J429" s="62"/>
    </row>
    <row r="430" spans="1:10" ht="14.25" customHeight="1" x14ac:dyDescent="0.3">
      <c r="A430" s="78"/>
      <c r="B430" s="34"/>
      <c r="C430" s="35"/>
      <c r="D430" s="35"/>
      <c r="E430" s="35"/>
      <c r="F430" s="83"/>
      <c r="G430" s="96">
        <f t="shared" si="22"/>
        <v>0</v>
      </c>
      <c r="H430" s="74" t="e">
        <f t="shared" si="24"/>
        <v>#DIV/0!</v>
      </c>
      <c r="I430" s="74" t="e">
        <f t="shared" si="23"/>
        <v>#DIV/0!</v>
      </c>
      <c r="J430" s="62"/>
    </row>
    <row r="431" spans="1:10" ht="14.25" customHeight="1" x14ac:dyDescent="0.3">
      <c r="A431" s="78"/>
      <c r="B431" s="34"/>
      <c r="C431" s="35"/>
      <c r="D431" s="35"/>
      <c r="E431" s="35"/>
      <c r="F431" s="83"/>
      <c r="G431" s="96">
        <f t="shared" si="22"/>
        <v>0</v>
      </c>
      <c r="H431" s="74" t="e">
        <f t="shared" si="24"/>
        <v>#DIV/0!</v>
      </c>
      <c r="I431" s="74" t="e">
        <f t="shared" si="23"/>
        <v>#DIV/0!</v>
      </c>
      <c r="J431" s="62"/>
    </row>
    <row r="432" spans="1:10" ht="14.25" customHeight="1" x14ac:dyDescent="0.3">
      <c r="A432" s="78"/>
      <c r="B432" s="34"/>
      <c r="C432" s="35"/>
      <c r="D432" s="35"/>
      <c r="E432" s="35"/>
      <c r="F432" s="83"/>
      <c r="G432" s="96">
        <f t="shared" si="22"/>
        <v>0</v>
      </c>
      <c r="H432" s="74" t="e">
        <f t="shared" si="24"/>
        <v>#DIV/0!</v>
      </c>
      <c r="I432" s="74" t="e">
        <f t="shared" si="23"/>
        <v>#DIV/0!</v>
      </c>
      <c r="J432" s="62"/>
    </row>
    <row r="433" spans="1:10" ht="14.25" customHeight="1" x14ac:dyDescent="0.3">
      <c r="A433" s="78"/>
      <c r="B433" s="34"/>
      <c r="C433" s="35"/>
      <c r="D433" s="35"/>
      <c r="E433" s="35"/>
      <c r="F433" s="83"/>
      <c r="G433" s="96">
        <f t="shared" si="22"/>
        <v>0</v>
      </c>
      <c r="H433" s="74" t="e">
        <f t="shared" si="24"/>
        <v>#DIV/0!</v>
      </c>
      <c r="I433" s="74" t="e">
        <f t="shared" si="23"/>
        <v>#DIV/0!</v>
      </c>
      <c r="J433" s="62"/>
    </row>
    <row r="434" spans="1:10" ht="14.25" customHeight="1" x14ac:dyDescent="0.3">
      <c r="A434" s="78"/>
      <c r="B434" s="34"/>
      <c r="C434" s="35"/>
      <c r="D434" s="35"/>
      <c r="E434" s="35"/>
      <c r="F434" s="83"/>
      <c r="G434" s="96">
        <f t="shared" si="22"/>
        <v>0</v>
      </c>
      <c r="H434" s="74" t="e">
        <f t="shared" si="24"/>
        <v>#DIV/0!</v>
      </c>
      <c r="I434" s="74" t="e">
        <f t="shared" si="23"/>
        <v>#DIV/0!</v>
      </c>
      <c r="J434" s="62"/>
    </row>
    <row r="435" spans="1:10" ht="14.25" customHeight="1" x14ac:dyDescent="0.3">
      <c r="A435" s="78"/>
      <c r="B435" s="34"/>
      <c r="C435" s="35"/>
      <c r="D435" s="35"/>
      <c r="E435" s="35"/>
      <c r="F435" s="83"/>
      <c r="G435" s="96">
        <f t="shared" si="22"/>
        <v>0</v>
      </c>
      <c r="H435" s="74" t="e">
        <f t="shared" si="24"/>
        <v>#DIV/0!</v>
      </c>
      <c r="I435" s="74" t="e">
        <f t="shared" si="23"/>
        <v>#DIV/0!</v>
      </c>
      <c r="J435" s="62"/>
    </row>
    <row r="436" spans="1:10" ht="14.25" customHeight="1" x14ac:dyDescent="0.3">
      <c r="A436" s="78"/>
      <c r="B436" s="34"/>
      <c r="C436" s="35"/>
      <c r="D436" s="35"/>
      <c r="E436" s="35"/>
      <c r="F436" s="83"/>
      <c r="G436" s="96">
        <f t="shared" si="22"/>
        <v>0</v>
      </c>
      <c r="H436" s="74" t="e">
        <f t="shared" si="24"/>
        <v>#DIV/0!</v>
      </c>
      <c r="I436" s="74" t="e">
        <f t="shared" si="23"/>
        <v>#DIV/0!</v>
      </c>
      <c r="J436" s="62"/>
    </row>
    <row r="437" spans="1:10" ht="14.25" customHeight="1" x14ac:dyDescent="0.3">
      <c r="A437" s="78"/>
      <c r="B437" s="34"/>
      <c r="C437" s="35"/>
      <c r="D437" s="35"/>
      <c r="E437" s="35"/>
      <c r="F437" s="83"/>
      <c r="G437" s="96">
        <f t="shared" si="22"/>
        <v>0</v>
      </c>
      <c r="H437" s="74" t="e">
        <f t="shared" si="24"/>
        <v>#DIV/0!</v>
      </c>
      <c r="I437" s="74" t="e">
        <f t="shared" si="23"/>
        <v>#DIV/0!</v>
      </c>
      <c r="J437" s="62"/>
    </row>
    <row r="438" spans="1:10" ht="14.25" customHeight="1" x14ac:dyDescent="0.3">
      <c r="A438" s="78"/>
      <c r="B438" s="34"/>
      <c r="C438" s="35"/>
      <c r="D438" s="35"/>
      <c r="E438" s="35"/>
      <c r="F438" s="83"/>
      <c r="G438" s="96">
        <f t="shared" si="22"/>
        <v>0</v>
      </c>
      <c r="H438" s="74" t="e">
        <f t="shared" si="24"/>
        <v>#DIV/0!</v>
      </c>
      <c r="I438" s="74" t="e">
        <f t="shared" si="23"/>
        <v>#DIV/0!</v>
      </c>
      <c r="J438" s="62"/>
    </row>
    <row r="439" spans="1:10" ht="14.25" customHeight="1" x14ac:dyDescent="0.3">
      <c r="A439" s="78"/>
      <c r="B439" s="34"/>
      <c r="C439" s="35"/>
      <c r="D439" s="35"/>
      <c r="E439" s="35"/>
      <c r="F439" s="83"/>
      <c r="G439" s="96">
        <f t="shared" si="22"/>
        <v>0</v>
      </c>
      <c r="H439" s="74" t="e">
        <f t="shared" si="24"/>
        <v>#DIV/0!</v>
      </c>
      <c r="I439" s="74" t="e">
        <f t="shared" si="23"/>
        <v>#DIV/0!</v>
      </c>
      <c r="J439" s="62"/>
    </row>
    <row r="440" spans="1:10" ht="14.25" customHeight="1" x14ac:dyDescent="0.3">
      <c r="A440" s="78"/>
      <c r="B440" s="34"/>
      <c r="C440" s="35"/>
      <c r="D440" s="35"/>
      <c r="E440" s="35"/>
      <c r="F440" s="83"/>
      <c r="G440" s="96">
        <f t="shared" si="22"/>
        <v>0</v>
      </c>
      <c r="H440" s="74" t="e">
        <f t="shared" si="24"/>
        <v>#DIV/0!</v>
      </c>
      <c r="I440" s="74" t="e">
        <f t="shared" si="23"/>
        <v>#DIV/0!</v>
      </c>
      <c r="J440" s="62"/>
    </row>
    <row r="441" spans="1:10" ht="14.25" customHeight="1" x14ac:dyDescent="0.3">
      <c r="A441" s="78"/>
      <c r="B441" s="34"/>
      <c r="C441" s="35"/>
      <c r="D441" s="35"/>
      <c r="E441" s="35"/>
      <c r="F441" s="83"/>
      <c r="G441" s="96">
        <f t="shared" si="22"/>
        <v>0</v>
      </c>
      <c r="H441" s="74" t="e">
        <f t="shared" si="24"/>
        <v>#DIV/0!</v>
      </c>
      <c r="I441" s="74" t="e">
        <f t="shared" si="23"/>
        <v>#DIV/0!</v>
      </c>
      <c r="J441" s="62"/>
    </row>
    <row r="442" spans="1:10" ht="14.25" customHeight="1" x14ac:dyDescent="0.3">
      <c r="A442" s="78"/>
      <c r="B442" s="34"/>
      <c r="C442" s="35"/>
      <c r="D442" s="35"/>
      <c r="E442" s="35"/>
      <c r="F442" s="83"/>
      <c r="G442" s="96">
        <f t="shared" si="22"/>
        <v>0</v>
      </c>
      <c r="H442" s="74" t="e">
        <f t="shared" si="24"/>
        <v>#DIV/0!</v>
      </c>
      <c r="I442" s="74" t="e">
        <f t="shared" si="23"/>
        <v>#DIV/0!</v>
      </c>
      <c r="J442" s="62"/>
    </row>
    <row r="443" spans="1:10" ht="14.25" customHeight="1" x14ac:dyDescent="0.3">
      <c r="A443" s="78"/>
      <c r="B443" s="34"/>
      <c r="C443" s="35"/>
      <c r="D443" s="35"/>
      <c r="E443" s="35"/>
      <c r="F443" s="83"/>
      <c r="G443" s="96">
        <f t="shared" si="22"/>
        <v>0</v>
      </c>
      <c r="H443" s="74" t="e">
        <f t="shared" si="24"/>
        <v>#DIV/0!</v>
      </c>
      <c r="I443" s="74" t="e">
        <f t="shared" si="23"/>
        <v>#DIV/0!</v>
      </c>
      <c r="J443" s="62"/>
    </row>
    <row r="444" spans="1:10" ht="14.25" customHeight="1" x14ac:dyDescent="0.3">
      <c r="A444" s="78"/>
      <c r="B444" s="34"/>
      <c r="C444" s="35"/>
      <c r="D444" s="35"/>
      <c r="E444" s="35"/>
      <c r="F444" s="83"/>
      <c r="G444" s="96">
        <f t="shared" si="22"/>
        <v>0</v>
      </c>
      <c r="H444" s="74" t="e">
        <f t="shared" si="24"/>
        <v>#DIV/0!</v>
      </c>
      <c r="I444" s="74" t="e">
        <f t="shared" si="23"/>
        <v>#DIV/0!</v>
      </c>
      <c r="J444" s="62"/>
    </row>
    <row r="445" spans="1:10" ht="14.25" customHeight="1" x14ac:dyDescent="0.3">
      <c r="A445" s="78"/>
      <c r="B445" s="34"/>
      <c r="C445" s="35"/>
      <c r="D445" s="35"/>
      <c r="E445" s="35"/>
      <c r="F445" s="83"/>
      <c r="G445" s="96">
        <f t="shared" si="22"/>
        <v>0</v>
      </c>
      <c r="H445" s="74" t="e">
        <f t="shared" si="24"/>
        <v>#DIV/0!</v>
      </c>
      <c r="I445" s="74" t="e">
        <f t="shared" si="23"/>
        <v>#DIV/0!</v>
      </c>
      <c r="J445" s="62"/>
    </row>
    <row r="446" spans="1:10" ht="14.25" customHeight="1" x14ac:dyDescent="0.3">
      <c r="A446" s="78"/>
      <c r="B446" s="34"/>
      <c r="C446" s="35"/>
      <c r="D446" s="35"/>
      <c r="E446" s="35"/>
      <c r="F446" s="83"/>
      <c r="G446" s="96">
        <f t="shared" si="22"/>
        <v>0</v>
      </c>
      <c r="H446" s="74" t="e">
        <f t="shared" si="24"/>
        <v>#DIV/0!</v>
      </c>
      <c r="I446" s="74" t="e">
        <f t="shared" si="23"/>
        <v>#DIV/0!</v>
      </c>
      <c r="J446" s="62"/>
    </row>
    <row r="447" spans="1:10" ht="14.25" customHeight="1" x14ac:dyDescent="0.3">
      <c r="A447" s="78"/>
      <c r="B447" s="34"/>
      <c r="C447" s="35"/>
      <c r="D447" s="35"/>
      <c r="E447" s="35"/>
      <c r="F447" s="83"/>
      <c r="G447" s="96">
        <f t="shared" si="22"/>
        <v>0</v>
      </c>
      <c r="H447" s="74" t="e">
        <f t="shared" si="24"/>
        <v>#DIV/0!</v>
      </c>
      <c r="I447" s="74" t="e">
        <f t="shared" si="23"/>
        <v>#DIV/0!</v>
      </c>
      <c r="J447" s="62"/>
    </row>
    <row r="448" spans="1:10" ht="14.25" customHeight="1" x14ac:dyDescent="0.3">
      <c r="A448" s="78"/>
      <c r="B448" s="34"/>
      <c r="C448" s="35"/>
      <c r="D448" s="35"/>
      <c r="E448" s="35"/>
      <c r="F448" s="83"/>
      <c r="G448" s="96">
        <f t="shared" si="22"/>
        <v>0</v>
      </c>
      <c r="H448" s="74" t="e">
        <f t="shared" si="24"/>
        <v>#DIV/0!</v>
      </c>
      <c r="I448" s="74" t="e">
        <f t="shared" si="23"/>
        <v>#DIV/0!</v>
      </c>
      <c r="J448" s="62"/>
    </row>
    <row r="449" spans="1:10" ht="14.25" customHeight="1" x14ac:dyDescent="0.3">
      <c r="A449" s="78"/>
      <c r="B449" s="34"/>
      <c r="C449" s="35"/>
      <c r="D449" s="35"/>
      <c r="E449" s="35"/>
      <c r="F449" s="83"/>
      <c r="G449" s="96">
        <f t="shared" si="22"/>
        <v>0</v>
      </c>
      <c r="H449" s="74" t="e">
        <f t="shared" si="24"/>
        <v>#DIV/0!</v>
      </c>
      <c r="I449" s="74" t="e">
        <f t="shared" si="23"/>
        <v>#DIV/0!</v>
      </c>
      <c r="J449" s="62"/>
    </row>
    <row r="450" spans="1:10" ht="14.25" customHeight="1" x14ac:dyDescent="0.3">
      <c r="A450" s="78"/>
      <c r="B450" s="34"/>
      <c r="C450" s="35"/>
      <c r="D450" s="35"/>
      <c r="E450" s="35"/>
      <c r="F450" s="83"/>
      <c r="G450" s="96">
        <f t="shared" ref="G450:G513" si="25">C450-D450</f>
        <v>0</v>
      </c>
      <c r="H450" s="74" t="e">
        <f t="shared" si="24"/>
        <v>#DIV/0!</v>
      </c>
      <c r="I450" s="74" t="e">
        <f t="shared" ref="I450:I513" si="26">(C450 - D450) / (E450 - C450)</f>
        <v>#DIV/0!</v>
      </c>
      <c r="J450" s="62"/>
    </row>
    <row r="451" spans="1:10" ht="14.25" customHeight="1" x14ac:dyDescent="0.3">
      <c r="A451" s="78"/>
      <c r="B451" s="34"/>
      <c r="C451" s="35"/>
      <c r="D451" s="35"/>
      <c r="E451" s="35"/>
      <c r="F451" s="83"/>
      <c r="G451" s="96">
        <f t="shared" si="25"/>
        <v>0</v>
      </c>
      <c r="H451" s="74" t="e">
        <f t="shared" si="24"/>
        <v>#DIV/0!</v>
      </c>
      <c r="I451" s="74" t="e">
        <f t="shared" si="26"/>
        <v>#DIV/0!</v>
      </c>
      <c r="J451" s="62"/>
    </row>
    <row r="452" spans="1:10" ht="14.25" customHeight="1" x14ac:dyDescent="0.3">
      <c r="A452" s="78"/>
      <c r="B452" s="34"/>
      <c r="C452" s="35"/>
      <c r="D452" s="35"/>
      <c r="E452" s="35"/>
      <c r="F452" s="83"/>
      <c r="G452" s="96">
        <f t="shared" si="25"/>
        <v>0</v>
      </c>
      <c r="H452" s="74" t="e">
        <f t="shared" si="24"/>
        <v>#DIV/0!</v>
      </c>
      <c r="I452" s="74" t="e">
        <f t="shared" si="26"/>
        <v>#DIV/0!</v>
      </c>
      <c r="J452" s="62"/>
    </row>
    <row r="453" spans="1:10" ht="14.25" customHeight="1" x14ac:dyDescent="0.3">
      <c r="A453" s="78"/>
      <c r="B453" s="34"/>
      <c r="C453" s="35"/>
      <c r="D453" s="35"/>
      <c r="E453" s="35"/>
      <c r="F453" s="83"/>
      <c r="G453" s="96">
        <f t="shared" si="25"/>
        <v>0</v>
      </c>
      <c r="H453" s="74" t="e">
        <f t="shared" si="24"/>
        <v>#DIV/0!</v>
      </c>
      <c r="I453" s="74" t="e">
        <f t="shared" si="26"/>
        <v>#DIV/0!</v>
      </c>
      <c r="J453" s="62"/>
    </row>
    <row r="454" spans="1:10" ht="14.25" customHeight="1" x14ac:dyDescent="0.3">
      <c r="A454" s="78"/>
      <c r="B454" s="34"/>
      <c r="C454" s="35"/>
      <c r="D454" s="35"/>
      <c r="E454" s="35"/>
      <c r="F454" s="83"/>
      <c r="G454" s="96">
        <f t="shared" si="25"/>
        <v>0</v>
      </c>
      <c r="H454" s="74" t="e">
        <f t="shared" si="24"/>
        <v>#DIV/0!</v>
      </c>
      <c r="I454" s="74" t="e">
        <f t="shared" si="26"/>
        <v>#DIV/0!</v>
      </c>
      <c r="J454" s="62"/>
    </row>
    <row r="455" spans="1:10" ht="14.25" customHeight="1" x14ac:dyDescent="0.3">
      <c r="A455" s="78"/>
      <c r="B455" s="34"/>
      <c r="C455" s="35"/>
      <c r="D455" s="35"/>
      <c r="E455" s="35"/>
      <c r="F455" s="83"/>
      <c r="G455" s="96">
        <f t="shared" si="25"/>
        <v>0</v>
      </c>
      <c r="H455" s="74" t="e">
        <f t="shared" si="24"/>
        <v>#DIV/0!</v>
      </c>
      <c r="I455" s="74" t="e">
        <f t="shared" si="26"/>
        <v>#DIV/0!</v>
      </c>
      <c r="J455" s="62"/>
    </row>
    <row r="456" spans="1:10" ht="14.25" customHeight="1" x14ac:dyDescent="0.3">
      <c r="A456" s="78"/>
      <c r="B456" s="34"/>
      <c r="C456" s="35"/>
      <c r="D456" s="35"/>
      <c r="E456" s="35"/>
      <c r="F456" s="83"/>
      <c r="G456" s="96">
        <f t="shared" si="25"/>
        <v>0</v>
      </c>
      <c r="H456" s="74" t="e">
        <f t="shared" si="24"/>
        <v>#DIV/0!</v>
      </c>
      <c r="I456" s="74" t="e">
        <f t="shared" si="26"/>
        <v>#DIV/0!</v>
      </c>
      <c r="J456" s="62"/>
    </row>
    <row r="457" spans="1:10" ht="14.25" customHeight="1" x14ac:dyDescent="0.3">
      <c r="A457" s="78"/>
      <c r="B457" s="34"/>
      <c r="C457" s="35"/>
      <c r="D457" s="35"/>
      <c r="E457" s="35"/>
      <c r="F457" s="83"/>
      <c r="G457" s="96">
        <f t="shared" si="25"/>
        <v>0</v>
      </c>
      <c r="H457" s="74" t="e">
        <f t="shared" si="24"/>
        <v>#DIV/0!</v>
      </c>
      <c r="I457" s="74" t="e">
        <f t="shared" si="26"/>
        <v>#DIV/0!</v>
      </c>
      <c r="J457" s="62"/>
    </row>
    <row r="458" spans="1:10" ht="14.25" customHeight="1" x14ac:dyDescent="0.3">
      <c r="A458" s="78"/>
      <c r="B458" s="34"/>
      <c r="C458" s="35"/>
      <c r="D458" s="35"/>
      <c r="E458" s="35"/>
      <c r="F458" s="83"/>
      <c r="G458" s="96">
        <f t="shared" si="25"/>
        <v>0</v>
      </c>
      <c r="H458" s="74" t="e">
        <f t="shared" ref="H458:H521" si="27">(C458-D458)/E458</f>
        <v>#DIV/0!</v>
      </c>
      <c r="I458" s="74" t="e">
        <f t="shared" si="26"/>
        <v>#DIV/0!</v>
      </c>
      <c r="J458" s="62"/>
    </row>
    <row r="459" spans="1:10" ht="14.25" customHeight="1" x14ac:dyDescent="0.3">
      <c r="A459" s="78"/>
      <c r="B459" s="34"/>
      <c r="C459" s="35"/>
      <c r="D459" s="35"/>
      <c r="E459" s="35"/>
      <c r="F459" s="83"/>
      <c r="G459" s="96">
        <f t="shared" si="25"/>
        <v>0</v>
      </c>
      <c r="H459" s="74" t="e">
        <f t="shared" si="27"/>
        <v>#DIV/0!</v>
      </c>
      <c r="I459" s="74" t="e">
        <f t="shared" si="26"/>
        <v>#DIV/0!</v>
      </c>
      <c r="J459" s="62"/>
    </row>
    <row r="460" spans="1:10" ht="14.25" customHeight="1" x14ac:dyDescent="0.3">
      <c r="A460" s="78"/>
      <c r="B460" s="34"/>
      <c r="C460" s="35"/>
      <c r="D460" s="35"/>
      <c r="E460" s="35"/>
      <c r="F460" s="83"/>
      <c r="G460" s="96">
        <f t="shared" si="25"/>
        <v>0</v>
      </c>
      <c r="H460" s="74" t="e">
        <f t="shared" si="27"/>
        <v>#DIV/0!</v>
      </c>
      <c r="I460" s="74" t="e">
        <f t="shared" si="26"/>
        <v>#DIV/0!</v>
      </c>
      <c r="J460" s="62"/>
    </row>
    <row r="461" spans="1:10" ht="14.25" customHeight="1" x14ac:dyDescent="0.3">
      <c r="A461" s="78"/>
      <c r="B461" s="34"/>
      <c r="C461" s="35"/>
      <c r="D461" s="35"/>
      <c r="E461" s="35"/>
      <c r="F461" s="83"/>
      <c r="G461" s="96">
        <f t="shared" si="25"/>
        <v>0</v>
      </c>
      <c r="H461" s="74" t="e">
        <f t="shared" si="27"/>
        <v>#DIV/0!</v>
      </c>
      <c r="I461" s="74" t="e">
        <f t="shared" si="26"/>
        <v>#DIV/0!</v>
      </c>
      <c r="J461" s="62"/>
    </row>
    <row r="462" spans="1:10" ht="14.25" customHeight="1" x14ac:dyDescent="0.3">
      <c r="A462" s="78"/>
      <c r="B462" s="34"/>
      <c r="C462" s="35"/>
      <c r="D462" s="35"/>
      <c r="E462" s="35"/>
      <c r="F462" s="83"/>
      <c r="G462" s="96">
        <f t="shared" si="25"/>
        <v>0</v>
      </c>
      <c r="H462" s="74" t="e">
        <f t="shared" si="27"/>
        <v>#DIV/0!</v>
      </c>
      <c r="I462" s="74" t="e">
        <f t="shared" si="26"/>
        <v>#DIV/0!</v>
      </c>
      <c r="J462" s="62"/>
    </row>
    <row r="463" spans="1:10" ht="14.25" customHeight="1" x14ac:dyDescent="0.3">
      <c r="A463" s="78"/>
      <c r="B463" s="34"/>
      <c r="C463" s="35"/>
      <c r="D463" s="35"/>
      <c r="E463" s="35"/>
      <c r="F463" s="83"/>
      <c r="G463" s="96">
        <f t="shared" si="25"/>
        <v>0</v>
      </c>
      <c r="H463" s="74" t="e">
        <f t="shared" si="27"/>
        <v>#DIV/0!</v>
      </c>
      <c r="I463" s="74" t="e">
        <f t="shared" si="26"/>
        <v>#DIV/0!</v>
      </c>
      <c r="J463" s="62"/>
    </row>
    <row r="464" spans="1:10" ht="14.25" customHeight="1" x14ac:dyDescent="0.3">
      <c r="A464" s="78"/>
      <c r="B464" s="34"/>
      <c r="C464" s="35"/>
      <c r="D464" s="35"/>
      <c r="E464" s="35"/>
      <c r="F464" s="83"/>
      <c r="G464" s="96">
        <f t="shared" si="25"/>
        <v>0</v>
      </c>
      <c r="H464" s="74" t="e">
        <f t="shared" si="27"/>
        <v>#DIV/0!</v>
      </c>
      <c r="I464" s="74" t="e">
        <f t="shared" si="26"/>
        <v>#DIV/0!</v>
      </c>
      <c r="J464" s="62"/>
    </row>
    <row r="465" spans="1:10" ht="14.25" customHeight="1" x14ac:dyDescent="0.3">
      <c r="A465" s="78"/>
      <c r="B465" s="34"/>
      <c r="C465" s="35"/>
      <c r="D465" s="35"/>
      <c r="E465" s="35"/>
      <c r="F465" s="83"/>
      <c r="G465" s="96">
        <f t="shared" si="25"/>
        <v>0</v>
      </c>
      <c r="H465" s="74" t="e">
        <f t="shared" si="27"/>
        <v>#DIV/0!</v>
      </c>
      <c r="I465" s="74" t="e">
        <f t="shared" si="26"/>
        <v>#DIV/0!</v>
      </c>
      <c r="J465" s="62"/>
    </row>
    <row r="466" spans="1:10" ht="14.25" customHeight="1" x14ac:dyDescent="0.3">
      <c r="A466" s="78"/>
      <c r="B466" s="34"/>
      <c r="C466" s="35"/>
      <c r="D466" s="35"/>
      <c r="E466" s="35"/>
      <c r="F466" s="83"/>
      <c r="G466" s="96">
        <f t="shared" si="25"/>
        <v>0</v>
      </c>
      <c r="H466" s="74" t="e">
        <f t="shared" si="27"/>
        <v>#DIV/0!</v>
      </c>
      <c r="I466" s="74" t="e">
        <f t="shared" si="26"/>
        <v>#DIV/0!</v>
      </c>
      <c r="J466" s="62"/>
    </row>
    <row r="467" spans="1:10" ht="14.25" customHeight="1" x14ac:dyDescent="0.3">
      <c r="A467" s="78"/>
      <c r="B467" s="34"/>
      <c r="C467" s="35"/>
      <c r="D467" s="35"/>
      <c r="E467" s="35"/>
      <c r="F467" s="83"/>
      <c r="G467" s="96">
        <f t="shared" si="25"/>
        <v>0</v>
      </c>
      <c r="H467" s="74" t="e">
        <f t="shared" si="27"/>
        <v>#DIV/0!</v>
      </c>
      <c r="I467" s="74" t="e">
        <f t="shared" si="26"/>
        <v>#DIV/0!</v>
      </c>
      <c r="J467" s="62"/>
    </row>
    <row r="468" spans="1:10" ht="14.25" customHeight="1" x14ac:dyDescent="0.3">
      <c r="A468" s="78"/>
      <c r="B468" s="34"/>
      <c r="C468" s="35"/>
      <c r="D468" s="35"/>
      <c r="E468" s="35"/>
      <c r="F468" s="83"/>
      <c r="G468" s="96">
        <f t="shared" si="25"/>
        <v>0</v>
      </c>
      <c r="H468" s="74" t="e">
        <f t="shared" si="27"/>
        <v>#DIV/0!</v>
      </c>
      <c r="I468" s="74" t="e">
        <f t="shared" si="26"/>
        <v>#DIV/0!</v>
      </c>
      <c r="J468" s="62"/>
    </row>
    <row r="469" spans="1:10" ht="14.25" customHeight="1" x14ac:dyDescent="0.3">
      <c r="A469" s="78"/>
      <c r="B469" s="34"/>
      <c r="C469" s="35"/>
      <c r="D469" s="35"/>
      <c r="E469" s="35"/>
      <c r="F469" s="83"/>
      <c r="G469" s="96">
        <f t="shared" si="25"/>
        <v>0</v>
      </c>
      <c r="H469" s="74" t="e">
        <f t="shared" si="27"/>
        <v>#DIV/0!</v>
      </c>
      <c r="I469" s="74" t="e">
        <f t="shared" si="26"/>
        <v>#DIV/0!</v>
      </c>
      <c r="J469" s="62"/>
    </row>
    <row r="470" spans="1:10" ht="14.25" customHeight="1" x14ac:dyDescent="0.3">
      <c r="A470" s="78"/>
      <c r="B470" s="34"/>
      <c r="C470" s="35"/>
      <c r="D470" s="35"/>
      <c r="E470" s="35"/>
      <c r="F470" s="83"/>
      <c r="G470" s="96">
        <f t="shared" si="25"/>
        <v>0</v>
      </c>
      <c r="H470" s="74" t="e">
        <f t="shared" si="27"/>
        <v>#DIV/0!</v>
      </c>
      <c r="I470" s="74" t="e">
        <f t="shared" si="26"/>
        <v>#DIV/0!</v>
      </c>
      <c r="J470" s="62"/>
    </row>
    <row r="471" spans="1:10" ht="14.25" customHeight="1" x14ac:dyDescent="0.3">
      <c r="A471" s="78"/>
      <c r="B471" s="34"/>
      <c r="C471" s="35"/>
      <c r="D471" s="35"/>
      <c r="E471" s="35"/>
      <c r="F471" s="83"/>
      <c r="G471" s="96">
        <f t="shared" si="25"/>
        <v>0</v>
      </c>
      <c r="H471" s="74" t="e">
        <f t="shared" si="27"/>
        <v>#DIV/0!</v>
      </c>
      <c r="I471" s="74" t="e">
        <f t="shared" si="26"/>
        <v>#DIV/0!</v>
      </c>
      <c r="J471" s="62"/>
    </row>
    <row r="472" spans="1:10" ht="14.25" customHeight="1" x14ac:dyDescent="0.3">
      <c r="A472" s="78"/>
      <c r="B472" s="34"/>
      <c r="C472" s="35"/>
      <c r="D472" s="35"/>
      <c r="E472" s="35"/>
      <c r="F472" s="83"/>
      <c r="G472" s="96">
        <f t="shared" si="25"/>
        <v>0</v>
      </c>
      <c r="H472" s="74" t="e">
        <f t="shared" si="27"/>
        <v>#DIV/0!</v>
      </c>
      <c r="I472" s="74" t="e">
        <f t="shared" si="26"/>
        <v>#DIV/0!</v>
      </c>
      <c r="J472" s="62"/>
    </row>
    <row r="473" spans="1:10" ht="14.25" customHeight="1" x14ac:dyDescent="0.3">
      <c r="A473" s="78"/>
      <c r="B473" s="34"/>
      <c r="C473" s="35"/>
      <c r="D473" s="35"/>
      <c r="E473" s="35"/>
      <c r="F473" s="83"/>
      <c r="G473" s="96">
        <f t="shared" si="25"/>
        <v>0</v>
      </c>
      <c r="H473" s="74" t="e">
        <f t="shared" si="27"/>
        <v>#DIV/0!</v>
      </c>
      <c r="I473" s="74" t="e">
        <f t="shared" si="26"/>
        <v>#DIV/0!</v>
      </c>
      <c r="J473" s="62"/>
    </row>
    <row r="474" spans="1:10" ht="14.25" customHeight="1" x14ac:dyDescent="0.3">
      <c r="A474" s="78"/>
      <c r="B474" s="34"/>
      <c r="C474" s="35"/>
      <c r="D474" s="35"/>
      <c r="E474" s="35"/>
      <c r="F474" s="83"/>
      <c r="G474" s="96">
        <f t="shared" si="25"/>
        <v>0</v>
      </c>
      <c r="H474" s="74" t="e">
        <f t="shared" si="27"/>
        <v>#DIV/0!</v>
      </c>
      <c r="I474" s="74" t="e">
        <f t="shared" si="26"/>
        <v>#DIV/0!</v>
      </c>
      <c r="J474" s="62"/>
    </row>
    <row r="475" spans="1:10" ht="14.25" customHeight="1" x14ac:dyDescent="0.3">
      <c r="A475" s="78"/>
      <c r="B475" s="34"/>
      <c r="C475" s="35"/>
      <c r="D475" s="35"/>
      <c r="E475" s="35"/>
      <c r="F475" s="83"/>
      <c r="G475" s="96">
        <f t="shared" si="25"/>
        <v>0</v>
      </c>
      <c r="H475" s="74" t="e">
        <f t="shared" si="27"/>
        <v>#DIV/0!</v>
      </c>
      <c r="I475" s="74" t="e">
        <f t="shared" si="26"/>
        <v>#DIV/0!</v>
      </c>
      <c r="J475" s="62"/>
    </row>
    <row r="476" spans="1:10" ht="14.25" customHeight="1" x14ac:dyDescent="0.3">
      <c r="A476" s="78"/>
      <c r="B476" s="34"/>
      <c r="C476" s="35"/>
      <c r="D476" s="35"/>
      <c r="E476" s="35"/>
      <c r="F476" s="83"/>
      <c r="G476" s="96">
        <f t="shared" si="25"/>
        <v>0</v>
      </c>
      <c r="H476" s="74" t="e">
        <f t="shared" si="27"/>
        <v>#DIV/0!</v>
      </c>
      <c r="I476" s="74" t="e">
        <f t="shared" si="26"/>
        <v>#DIV/0!</v>
      </c>
      <c r="J476" s="62"/>
    </row>
    <row r="477" spans="1:10" ht="14.25" customHeight="1" x14ac:dyDescent="0.3">
      <c r="A477" s="78"/>
      <c r="B477" s="34"/>
      <c r="C477" s="35"/>
      <c r="D477" s="35"/>
      <c r="E477" s="35"/>
      <c r="F477" s="83"/>
      <c r="G477" s="96">
        <f t="shared" si="25"/>
        <v>0</v>
      </c>
      <c r="H477" s="74" t="e">
        <f t="shared" si="27"/>
        <v>#DIV/0!</v>
      </c>
      <c r="I477" s="74" t="e">
        <f t="shared" si="26"/>
        <v>#DIV/0!</v>
      </c>
      <c r="J477" s="62"/>
    </row>
    <row r="478" spans="1:10" ht="14.25" customHeight="1" x14ac:dyDescent="0.3">
      <c r="A478" s="78"/>
      <c r="B478" s="34"/>
      <c r="C478" s="35"/>
      <c r="D478" s="35"/>
      <c r="E478" s="35"/>
      <c r="F478" s="83"/>
      <c r="G478" s="96">
        <f t="shared" si="25"/>
        <v>0</v>
      </c>
      <c r="H478" s="74" t="e">
        <f t="shared" si="27"/>
        <v>#DIV/0!</v>
      </c>
      <c r="I478" s="74" t="e">
        <f t="shared" si="26"/>
        <v>#DIV/0!</v>
      </c>
      <c r="J478" s="62"/>
    </row>
    <row r="479" spans="1:10" ht="14.25" customHeight="1" x14ac:dyDescent="0.3">
      <c r="A479" s="78"/>
      <c r="B479" s="34"/>
      <c r="C479" s="35"/>
      <c r="D479" s="35"/>
      <c r="E479" s="35"/>
      <c r="F479" s="83"/>
      <c r="G479" s="96">
        <f t="shared" si="25"/>
        <v>0</v>
      </c>
      <c r="H479" s="74" t="e">
        <f t="shared" si="27"/>
        <v>#DIV/0!</v>
      </c>
      <c r="I479" s="74" t="e">
        <f t="shared" si="26"/>
        <v>#DIV/0!</v>
      </c>
      <c r="J479" s="62"/>
    </row>
    <row r="480" spans="1:10" ht="14.25" customHeight="1" x14ac:dyDescent="0.3">
      <c r="A480" s="78"/>
      <c r="B480" s="34"/>
      <c r="C480" s="35"/>
      <c r="D480" s="35"/>
      <c r="E480" s="35"/>
      <c r="F480" s="83"/>
      <c r="G480" s="96">
        <f t="shared" si="25"/>
        <v>0</v>
      </c>
      <c r="H480" s="74" t="e">
        <f t="shared" si="27"/>
        <v>#DIV/0!</v>
      </c>
      <c r="I480" s="74" t="e">
        <f t="shared" si="26"/>
        <v>#DIV/0!</v>
      </c>
      <c r="J480" s="62"/>
    </row>
    <row r="481" spans="1:10" ht="14.25" customHeight="1" x14ac:dyDescent="0.3">
      <c r="A481" s="78"/>
      <c r="B481" s="34"/>
      <c r="C481" s="35"/>
      <c r="D481" s="35"/>
      <c r="E481" s="35"/>
      <c r="F481" s="83"/>
      <c r="G481" s="96">
        <f t="shared" si="25"/>
        <v>0</v>
      </c>
      <c r="H481" s="74" t="e">
        <f t="shared" si="27"/>
        <v>#DIV/0!</v>
      </c>
      <c r="I481" s="74" t="e">
        <f t="shared" si="26"/>
        <v>#DIV/0!</v>
      </c>
      <c r="J481" s="62"/>
    </row>
    <row r="482" spans="1:10" ht="14.25" customHeight="1" x14ac:dyDescent="0.3">
      <c r="A482" s="78"/>
      <c r="B482" s="34"/>
      <c r="C482" s="35"/>
      <c r="D482" s="35"/>
      <c r="E482" s="35"/>
      <c r="F482" s="83"/>
      <c r="G482" s="96">
        <f t="shared" si="25"/>
        <v>0</v>
      </c>
      <c r="H482" s="74" t="e">
        <f t="shared" si="27"/>
        <v>#DIV/0!</v>
      </c>
      <c r="I482" s="74" t="e">
        <f t="shared" si="26"/>
        <v>#DIV/0!</v>
      </c>
      <c r="J482" s="62"/>
    </row>
    <row r="483" spans="1:10" ht="14.25" customHeight="1" x14ac:dyDescent="0.3">
      <c r="A483" s="78"/>
      <c r="B483" s="34"/>
      <c r="C483" s="35"/>
      <c r="D483" s="35"/>
      <c r="E483" s="35"/>
      <c r="F483" s="83"/>
      <c r="G483" s="96">
        <f t="shared" si="25"/>
        <v>0</v>
      </c>
      <c r="H483" s="74" t="e">
        <f t="shared" si="27"/>
        <v>#DIV/0!</v>
      </c>
      <c r="I483" s="74" t="e">
        <f t="shared" si="26"/>
        <v>#DIV/0!</v>
      </c>
      <c r="J483" s="62"/>
    </row>
    <row r="484" spans="1:10" ht="14.25" customHeight="1" x14ac:dyDescent="0.3">
      <c r="A484" s="78"/>
      <c r="B484" s="34"/>
      <c r="C484" s="35"/>
      <c r="D484" s="35"/>
      <c r="E484" s="35"/>
      <c r="F484" s="83"/>
      <c r="G484" s="96">
        <f t="shared" si="25"/>
        <v>0</v>
      </c>
      <c r="H484" s="74" t="e">
        <f t="shared" si="27"/>
        <v>#DIV/0!</v>
      </c>
      <c r="I484" s="74" t="e">
        <f t="shared" si="26"/>
        <v>#DIV/0!</v>
      </c>
      <c r="J484" s="62"/>
    </row>
    <row r="485" spans="1:10" ht="14.25" customHeight="1" x14ac:dyDescent="0.3">
      <c r="A485" s="78"/>
      <c r="B485" s="34"/>
      <c r="C485" s="35"/>
      <c r="D485" s="35"/>
      <c r="E485" s="35"/>
      <c r="F485" s="83"/>
      <c r="G485" s="96">
        <f t="shared" si="25"/>
        <v>0</v>
      </c>
      <c r="H485" s="74" t="e">
        <f t="shared" si="27"/>
        <v>#DIV/0!</v>
      </c>
      <c r="I485" s="74" t="e">
        <f t="shared" si="26"/>
        <v>#DIV/0!</v>
      </c>
      <c r="J485" s="62"/>
    </row>
    <row r="486" spans="1:10" ht="14.25" customHeight="1" x14ac:dyDescent="0.3">
      <c r="A486" s="78"/>
      <c r="B486" s="34"/>
      <c r="C486" s="35"/>
      <c r="D486" s="35"/>
      <c r="E486" s="35"/>
      <c r="F486" s="83"/>
      <c r="G486" s="96">
        <f t="shared" si="25"/>
        <v>0</v>
      </c>
      <c r="H486" s="74" t="e">
        <f t="shared" si="27"/>
        <v>#DIV/0!</v>
      </c>
      <c r="I486" s="74" t="e">
        <f t="shared" si="26"/>
        <v>#DIV/0!</v>
      </c>
      <c r="J486" s="62"/>
    </row>
    <row r="487" spans="1:10" ht="14.25" customHeight="1" x14ac:dyDescent="0.3">
      <c r="A487" s="78"/>
      <c r="B487" s="34"/>
      <c r="C487" s="35"/>
      <c r="D487" s="35"/>
      <c r="E487" s="35"/>
      <c r="F487" s="83"/>
      <c r="G487" s="96">
        <f t="shared" si="25"/>
        <v>0</v>
      </c>
      <c r="H487" s="74" t="e">
        <f t="shared" si="27"/>
        <v>#DIV/0!</v>
      </c>
      <c r="I487" s="74" t="e">
        <f t="shared" si="26"/>
        <v>#DIV/0!</v>
      </c>
      <c r="J487" s="62"/>
    </row>
    <row r="488" spans="1:10" ht="14.25" customHeight="1" x14ac:dyDescent="0.3">
      <c r="A488" s="78"/>
      <c r="B488" s="34"/>
      <c r="C488" s="35"/>
      <c r="D488" s="35"/>
      <c r="E488" s="35"/>
      <c r="F488" s="83"/>
      <c r="G488" s="96">
        <f t="shared" si="25"/>
        <v>0</v>
      </c>
      <c r="H488" s="74" t="e">
        <f t="shared" si="27"/>
        <v>#DIV/0!</v>
      </c>
      <c r="I488" s="74" t="e">
        <f t="shared" si="26"/>
        <v>#DIV/0!</v>
      </c>
      <c r="J488" s="62"/>
    </row>
    <row r="489" spans="1:10" ht="14.25" customHeight="1" x14ac:dyDescent="0.3">
      <c r="A489" s="78"/>
      <c r="B489" s="34"/>
      <c r="C489" s="35"/>
      <c r="D489" s="35"/>
      <c r="E489" s="35"/>
      <c r="F489" s="83"/>
      <c r="G489" s="96">
        <f t="shared" si="25"/>
        <v>0</v>
      </c>
      <c r="H489" s="74" t="e">
        <f t="shared" si="27"/>
        <v>#DIV/0!</v>
      </c>
      <c r="I489" s="74" t="e">
        <f t="shared" si="26"/>
        <v>#DIV/0!</v>
      </c>
      <c r="J489" s="62"/>
    </row>
    <row r="490" spans="1:10" ht="14.25" customHeight="1" x14ac:dyDescent="0.3">
      <c r="A490" s="78"/>
      <c r="B490" s="34"/>
      <c r="C490" s="35"/>
      <c r="D490" s="35"/>
      <c r="E490" s="35"/>
      <c r="F490" s="83"/>
      <c r="G490" s="96">
        <f t="shared" si="25"/>
        <v>0</v>
      </c>
      <c r="H490" s="74" t="e">
        <f t="shared" si="27"/>
        <v>#DIV/0!</v>
      </c>
      <c r="I490" s="74" t="e">
        <f t="shared" si="26"/>
        <v>#DIV/0!</v>
      </c>
      <c r="J490" s="62"/>
    </row>
    <row r="491" spans="1:10" ht="14.25" customHeight="1" x14ac:dyDescent="0.3">
      <c r="A491" s="78"/>
      <c r="B491" s="34"/>
      <c r="C491" s="35"/>
      <c r="D491" s="35"/>
      <c r="E491" s="35"/>
      <c r="F491" s="83"/>
      <c r="G491" s="96">
        <f t="shared" si="25"/>
        <v>0</v>
      </c>
      <c r="H491" s="74" t="e">
        <f t="shared" si="27"/>
        <v>#DIV/0!</v>
      </c>
      <c r="I491" s="74" t="e">
        <f t="shared" si="26"/>
        <v>#DIV/0!</v>
      </c>
      <c r="J491" s="62"/>
    </row>
    <row r="492" spans="1:10" ht="14.25" customHeight="1" x14ac:dyDescent="0.3">
      <c r="A492" s="78"/>
      <c r="B492" s="34"/>
      <c r="C492" s="35"/>
      <c r="D492" s="35"/>
      <c r="E492" s="35"/>
      <c r="F492" s="83"/>
      <c r="G492" s="96">
        <f t="shared" si="25"/>
        <v>0</v>
      </c>
      <c r="H492" s="74" t="e">
        <f t="shared" si="27"/>
        <v>#DIV/0!</v>
      </c>
      <c r="I492" s="74" t="e">
        <f t="shared" si="26"/>
        <v>#DIV/0!</v>
      </c>
      <c r="J492" s="62"/>
    </row>
    <row r="493" spans="1:10" ht="14.25" customHeight="1" x14ac:dyDescent="0.3">
      <c r="A493" s="78"/>
      <c r="B493" s="34"/>
      <c r="C493" s="35"/>
      <c r="D493" s="35"/>
      <c r="E493" s="35"/>
      <c r="F493" s="83"/>
      <c r="G493" s="96">
        <f t="shared" si="25"/>
        <v>0</v>
      </c>
      <c r="H493" s="74" t="e">
        <f t="shared" si="27"/>
        <v>#DIV/0!</v>
      </c>
      <c r="I493" s="74" t="e">
        <f t="shared" si="26"/>
        <v>#DIV/0!</v>
      </c>
      <c r="J493" s="62"/>
    </row>
    <row r="494" spans="1:10" ht="14.25" customHeight="1" x14ac:dyDescent="0.3">
      <c r="A494" s="78"/>
      <c r="B494" s="34"/>
      <c r="C494" s="35"/>
      <c r="D494" s="35"/>
      <c r="E494" s="35"/>
      <c r="F494" s="83"/>
      <c r="G494" s="96">
        <f t="shared" si="25"/>
        <v>0</v>
      </c>
      <c r="H494" s="74" t="e">
        <f t="shared" si="27"/>
        <v>#DIV/0!</v>
      </c>
      <c r="I494" s="74" t="e">
        <f t="shared" si="26"/>
        <v>#DIV/0!</v>
      </c>
      <c r="J494" s="62"/>
    </row>
    <row r="495" spans="1:10" ht="14.25" customHeight="1" x14ac:dyDescent="0.3">
      <c r="A495" s="78"/>
      <c r="B495" s="34"/>
      <c r="C495" s="35"/>
      <c r="D495" s="35"/>
      <c r="E495" s="35"/>
      <c r="F495" s="83"/>
      <c r="G495" s="96">
        <f t="shared" si="25"/>
        <v>0</v>
      </c>
      <c r="H495" s="74" t="e">
        <f t="shared" si="27"/>
        <v>#DIV/0!</v>
      </c>
      <c r="I495" s="74" t="e">
        <f t="shared" si="26"/>
        <v>#DIV/0!</v>
      </c>
      <c r="J495" s="62"/>
    </row>
    <row r="496" spans="1:10" ht="14.25" customHeight="1" x14ac:dyDescent="0.3">
      <c r="A496" s="78"/>
      <c r="B496" s="34"/>
      <c r="C496" s="35"/>
      <c r="D496" s="35"/>
      <c r="E496" s="35"/>
      <c r="F496" s="83"/>
      <c r="G496" s="96">
        <f t="shared" si="25"/>
        <v>0</v>
      </c>
      <c r="H496" s="74" t="e">
        <f t="shared" si="27"/>
        <v>#DIV/0!</v>
      </c>
      <c r="I496" s="74" t="e">
        <f t="shared" si="26"/>
        <v>#DIV/0!</v>
      </c>
      <c r="J496" s="62"/>
    </row>
    <row r="497" spans="1:10" ht="14.25" customHeight="1" x14ac:dyDescent="0.3">
      <c r="A497" s="78"/>
      <c r="B497" s="34"/>
      <c r="C497" s="35"/>
      <c r="D497" s="35"/>
      <c r="E497" s="35"/>
      <c r="F497" s="83"/>
      <c r="G497" s="96">
        <f t="shared" si="25"/>
        <v>0</v>
      </c>
      <c r="H497" s="74" t="e">
        <f t="shared" si="27"/>
        <v>#DIV/0!</v>
      </c>
      <c r="I497" s="74" t="e">
        <f t="shared" si="26"/>
        <v>#DIV/0!</v>
      </c>
      <c r="J497" s="62"/>
    </row>
    <row r="498" spans="1:10" ht="14.25" customHeight="1" x14ac:dyDescent="0.3">
      <c r="A498" s="78"/>
      <c r="B498" s="34"/>
      <c r="C498" s="35"/>
      <c r="D498" s="35"/>
      <c r="E498" s="35"/>
      <c r="F498" s="83"/>
      <c r="G498" s="96">
        <f t="shared" si="25"/>
        <v>0</v>
      </c>
      <c r="H498" s="74" t="e">
        <f t="shared" si="27"/>
        <v>#DIV/0!</v>
      </c>
      <c r="I498" s="74" t="e">
        <f t="shared" si="26"/>
        <v>#DIV/0!</v>
      </c>
      <c r="J498" s="62"/>
    </row>
    <row r="499" spans="1:10" ht="14.25" customHeight="1" x14ac:dyDescent="0.3">
      <c r="A499" s="78"/>
      <c r="B499" s="34"/>
      <c r="C499" s="35"/>
      <c r="D499" s="35"/>
      <c r="E499" s="35"/>
      <c r="F499" s="83"/>
      <c r="G499" s="96">
        <f t="shared" si="25"/>
        <v>0</v>
      </c>
      <c r="H499" s="74" t="e">
        <f t="shared" si="27"/>
        <v>#DIV/0!</v>
      </c>
      <c r="I499" s="74" t="e">
        <f t="shared" si="26"/>
        <v>#DIV/0!</v>
      </c>
      <c r="J499" s="62"/>
    </row>
    <row r="500" spans="1:10" ht="14.25" customHeight="1" x14ac:dyDescent="0.3">
      <c r="A500" s="78"/>
      <c r="B500" s="34"/>
      <c r="C500" s="35"/>
      <c r="D500" s="35"/>
      <c r="E500" s="35"/>
      <c r="F500" s="83"/>
      <c r="G500" s="96">
        <f t="shared" si="25"/>
        <v>0</v>
      </c>
      <c r="H500" s="74" t="e">
        <f t="shared" si="27"/>
        <v>#DIV/0!</v>
      </c>
      <c r="I500" s="74" t="e">
        <f t="shared" si="26"/>
        <v>#DIV/0!</v>
      </c>
      <c r="J500" s="62"/>
    </row>
    <row r="501" spans="1:10" ht="14.25" customHeight="1" x14ac:dyDescent="0.3">
      <c r="A501" s="78"/>
      <c r="B501" s="34"/>
      <c r="C501" s="35"/>
      <c r="D501" s="35"/>
      <c r="E501" s="35"/>
      <c r="F501" s="83"/>
      <c r="G501" s="96">
        <f t="shared" si="25"/>
        <v>0</v>
      </c>
      <c r="H501" s="74" t="e">
        <f t="shared" si="27"/>
        <v>#DIV/0!</v>
      </c>
      <c r="I501" s="74" t="e">
        <f t="shared" si="26"/>
        <v>#DIV/0!</v>
      </c>
      <c r="J501" s="62"/>
    </row>
    <row r="502" spans="1:10" ht="14.25" customHeight="1" x14ac:dyDescent="0.3">
      <c r="A502" s="78"/>
      <c r="B502" s="34"/>
      <c r="C502" s="35"/>
      <c r="D502" s="35"/>
      <c r="E502" s="35"/>
      <c r="F502" s="83"/>
      <c r="G502" s="96">
        <f t="shared" si="25"/>
        <v>0</v>
      </c>
      <c r="H502" s="74" t="e">
        <f t="shared" si="27"/>
        <v>#DIV/0!</v>
      </c>
      <c r="I502" s="74" t="e">
        <f t="shared" si="26"/>
        <v>#DIV/0!</v>
      </c>
      <c r="J502" s="62"/>
    </row>
    <row r="503" spans="1:10" ht="14.25" customHeight="1" x14ac:dyDescent="0.3">
      <c r="A503" s="78"/>
      <c r="B503" s="34"/>
      <c r="C503" s="35"/>
      <c r="D503" s="35"/>
      <c r="E503" s="35"/>
      <c r="F503" s="83"/>
      <c r="G503" s="96">
        <f t="shared" si="25"/>
        <v>0</v>
      </c>
      <c r="H503" s="74" t="e">
        <f t="shared" si="27"/>
        <v>#DIV/0!</v>
      </c>
      <c r="I503" s="74" t="e">
        <f t="shared" si="26"/>
        <v>#DIV/0!</v>
      </c>
      <c r="J503" s="62"/>
    </row>
    <row r="504" spans="1:10" ht="14.25" customHeight="1" x14ac:dyDescent="0.3">
      <c r="A504" s="78"/>
      <c r="B504" s="34"/>
      <c r="C504" s="35"/>
      <c r="D504" s="35"/>
      <c r="E504" s="35"/>
      <c r="F504" s="83"/>
      <c r="G504" s="96">
        <f t="shared" si="25"/>
        <v>0</v>
      </c>
      <c r="H504" s="74" t="e">
        <f t="shared" si="27"/>
        <v>#DIV/0!</v>
      </c>
      <c r="I504" s="74" t="e">
        <f t="shared" si="26"/>
        <v>#DIV/0!</v>
      </c>
      <c r="J504" s="62"/>
    </row>
    <row r="505" spans="1:10" ht="14.25" customHeight="1" x14ac:dyDescent="0.3">
      <c r="A505" s="78"/>
      <c r="B505" s="34"/>
      <c r="C505" s="35"/>
      <c r="D505" s="35"/>
      <c r="E505" s="35"/>
      <c r="F505" s="83"/>
      <c r="G505" s="96">
        <f t="shared" si="25"/>
        <v>0</v>
      </c>
      <c r="H505" s="74" t="e">
        <f t="shared" si="27"/>
        <v>#DIV/0!</v>
      </c>
      <c r="I505" s="74" t="e">
        <f t="shared" si="26"/>
        <v>#DIV/0!</v>
      </c>
      <c r="J505" s="62"/>
    </row>
    <row r="506" spans="1:10" ht="14.25" customHeight="1" x14ac:dyDescent="0.3">
      <c r="A506" s="78"/>
      <c r="B506" s="34"/>
      <c r="C506" s="35"/>
      <c r="D506" s="35"/>
      <c r="E506" s="35"/>
      <c r="F506" s="83"/>
      <c r="G506" s="96">
        <f t="shared" si="25"/>
        <v>0</v>
      </c>
      <c r="H506" s="74" t="e">
        <f t="shared" si="27"/>
        <v>#DIV/0!</v>
      </c>
      <c r="I506" s="74" t="e">
        <f t="shared" si="26"/>
        <v>#DIV/0!</v>
      </c>
      <c r="J506" s="62"/>
    </row>
    <row r="507" spans="1:10" ht="14.25" customHeight="1" x14ac:dyDescent="0.3">
      <c r="A507" s="78"/>
      <c r="B507" s="34"/>
      <c r="C507" s="35"/>
      <c r="D507" s="35"/>
      <c r="E507" s="35"/>
      <c r="F507" s="83"/>
      <c r="G507" s="96">
        <f t="shared" si="25"/>
        <v>0</v>
      </c>
      <c r="H507" s="74" t="e">
        <f t="shared" si="27"/>
        <v>#DIV/0!</v>
      </c>
      <c r="I507" s="74" t="e">
        <f t="shared" si="26"/>
        <v>#DIV/0!</v>
      </c>
      <c r="J507" s="62"/>
    </row>
    <row r="508" spans="1:10" ht="14.25" customHeight="1" x14ac:dyDescent="0.3">
      <c r="A508" s="78"/>
      <c r="B508" s="34"/>
      <c r="C508" s="35"/>
      <c r="D508" s="35"/>
      <c r="E508" s="35"/>
      <c r="F508" s="83"/>
      <c r="G508" s="96">
        <f t="shared" si="25"/>
        <v>0</v>
      </c>
      <c r="H508" s="74" t="e">
        <f t="shared" si="27"/>
        <v>#DIV/0!</v>
      </c>
      <c r="I508" s="74" t="e">
        <f t="shared" si="26"/>
        <v>#DIV/0!</v>
      </c>
      <c r="J508" s="62"/>
    </row>
    <row r="509" spans="1:10" ht="14.25" customHeight="1" x14ac:dyDescent="0.3">
      <c r="A509" s="78"/>
      <c r="B509" s="34"/>
      <c r="C509" s="35"/>
      <c r="D509" s="35"/>
      <c r="E509" s="35"/>
      <c r="F509" s="83"/>
      <c r="G509" s="96">
        <f t="shared" si="25"/>
        <v>0</v>
      </c>
      <c r="H509" s="74" t="e">
        <f t="shared" si="27"/>
        <v>#DIV/0!</v>
      </c>
      <c r="I509" s="74" t="e">
        <f t="shared" si="26"/>
        <v>#DIV/0!</v>
      </c>
      <c r="J509" s="62"/>
    </row>
    <row r="510" spans="1:10" ht="14.25" customHeight="1" x14ac:dyDescent="0.3">
      <c r="A510" s="78"/>
      <c r="B510" s="34"/>
      <c r="C510" s="35"/>
      <c r="D510" s="35"/>
      <c r="E510" s="35"/>
      <c r="F510" s="83"/>
      <c r="G510" s="96">
        <f t="shared" si="25"/>
        <v>0</v>
      </c>
      <c r="H510" s="74" t="e">
        <f t="shared" si="27"/>
        <v>#DIV/0!</v>
      </c>
      <c r="I510" s="74" t="e">
        <f t="shared" si="26"/>
        <v>#DIV/0!</v>
      </c>
      <c r="J510" s="62"/>
    </row>
    <row r="511" spans="1:10" ht="14.25" customHeight="1" x14ac:dyDescent="0.3">
      <c r="A511" s="78"/>
      <c r="B511" s="34"/>
      <c r="C511" s="35"/>
      <c r="D511" s="35"/>
      <c r="E511" s="35"/>
      <c r="F511" s="83"/>
      <c r="G511" s="96">
        <f t="shared" si="25"/>
        <v>0</v>
      </c>
      <c r="H511" s="74" t="e">
        <f t="shared" si="27"/>
        <v>#DIV/0!</v>
      </c>
      <c r="I511" s="74" t="e">
        <f t="shared" si="26"/>
        <v>#DIV/0!</v>
      </c>
      <c r="J511" s="62"/>
    </row>
    <row r="512" spans="1:10" ht="14.25" customHeight="1" x14ac:dyDescent="0.3">
      <c r="A512" s="78"/>
      <c r="B512" s="34"/>
      <c r="C512" s="35"/>
      <c r="D512" s="35"/>
      <c r="E512" s="35"/>
      <c r="F512" s="83"/>
      <c r="G512" s="96">
        <f t="shared" si="25"/>
        <v>0</v>
      </c>
      <c r="H512" s="74" t="e">
        <f t="shared" si="27"/>
        <v>#DIV/0!</v>
      </c>
      <c r="I512" s="74" t="e">
        <f t="shared" si="26"/>
        <v>#DIV/0!</v>
      </c>
      <c r="J512" s="62"/>
    </row>
    <row r="513" spans="1:10" ht="14.25" customHeight="1" x14ac:dyDescent="0.3">
      <c r="A513" s="78"/>
      <c r="B513" s="34"/>
      <c r="C513" s="35"/>
      <c r="D513" s="35"/>
      <c r="E513" s="35"/>
      <c r="F513" s="83"/>
      <c r="G513" s="96">
        <f t="shared" si="25"/>
        <v>0</v>
      </c>
      <c r="H513" s="74" t="e">
        <f t="shared" si="27"/>
        <v>#DIV/0!</v>
      </c>
      <c r="I513" s="74" t="e">
        <f t="shared" si="26"/>
        <v>#DIV/0!</v>
      </c>
      <c r="J513" s="62"/>
    </row>
    <row r="514" spans="1:10" ht="14.25" customHeight="1" x14ac:dyDescent="0.3">
      <c r="A514" s="78"/>
      <c r="B514" s="34"/>
      <c r="C514" s="35"/>
      <c r="D514" s="35"/>
      <c r="E514" s="35"/>
      <c r="F514" s="83"/>
      <c r="G514" s="96">
        <f t="shared" ref="G514:G577" si="28">C514-D514</f>
        <v>0</v>
      </c>
      <c r="H514" s="74" t="e">
        <f t="shared" si="27"/>
        <v>#DIV/0!</v>
      </c>
      <c r="I514" s="74" t="e">
        <f t="shared" ref="I514:I577" si="29">(C514 - D514) / (E514 - C514)</f>
        <v>#DIV/0!</v>
      </c>
      <c r="J514" s="62"/>
    </row>
    <row r="515" spans="1:10" ht="14.25" customHeight="1" x14ac:dyDescent="0.3">
      <c r="A515" s="78"/>
      <c r="B515" s="34"/>
      <c r="C515" s="35"/>
      <c r="D515" s="35"/>
      <c r="E515" s="35"/>
      <c r="F515" s="83"/>
      <c r="G515" s="96">
        <f t="shared" si="28"/>
        <v>0</v>
      </c>
      <c r="H515" s="74" t="e">
        <f t="shared" si="27"/>
        <v>#DIV/0!</v>
      </c>
      <c r="I515" s="74" t="e">
        <f t="shared" si="29"/>
        <v>#DIV/0!</v>
      </c>
      <c r="J515" s="62"/>
    </row>
    <row r="516" spans="1:10" ht="14.25" customHeight="1" x14ac:dyDescent="0.3">
      <c r="A516" s="78"/>
      <c r="B516" s="34"/>
      <c r="C516" s="35"/>
      <c r="D516" s="35"/>
      <c r="E516" s="35"/>
      <c r="F516" s="83"/>
      <c r="G516" s="96">
        <f t="shared" si="28"/>
        <v>0</v>
      </c>
      <c r="H516" s="74" t="e">
        <f t="shared" si="27"/>
        <v>#DIV/0!</v>
      </c>
      <c r="I516" s="74" t="e">
        <f t="shared" si="29"/>
        <v>#DIV/0!</v>
      </c>
      <c r="J516" s="62"/>
    </row>
    <row r="517" spans="1:10" ht="14.25" customHeight="1" x14ac:dyDescent="0.3">
      <c r="A517" s="78"/>
      <c r="B517" s="34"/>
      <c r="C517" s="35"/>
      <c r="D517" s="35"/>
      <c r="E517" s="35"/>
      <c r="F517" s="83"/>
      <c r="G517" s="96">
        <f t="shared" si="28"/>
        <v>0</v>
      </c>
      <c r="H517" s="74" t="e">
        <f t="shared" si="27"/>
        <v>#DIV/0!</v>
      </c>
      <c r="I517" s="74" t="e">
        <f t="shared" si="29"/>
        <v>#DIV/0!</v>
      </c>
      <c r="J517" s="62"/>
    </row>
    <row r="518" spans="1:10" ht="14.25" customHeight="1" x14ac:dyDescent="0.3">
      <c r="A518" s="78"/>
      <c r="B518" s="34"/>
      <c r="C518" s="35"/>
      <c r="D518" s="35"/>
      <c r="E518" s="35"/>
      <c r="F518" s="83"/>
      <c r="G518" s="96">
        <f t="shared" si="28"/>
        <v>0</v>
      </c>
      <c r="H518" s="74" t="e">
        <f t="shared" si="27"/>
        <v>#DIV/0!</v>
      </c>
      <c r="I518" s="74" t="e">
        <f t="shared" si="29"/>
        <v>#DIV/0!</v>
      </c>
      <c r="J518" s="62"/>
    </row>
    <row r="519" spans="1:10" ht="14.25" customHeight="1" x14ac:dyDescent="0.3">
      <c r="A519" s="78"/>
      <c r="B519" s="34"/>
      <c r="C519" s="35"/>
      <c r="D519" s="35"/>
      <c r="E519" s="35"/>
      <c r="F519" s="83"/>
      <c r="G519" s="96">
        <f t="shared" si="28"/>
        <v>0</v>
      </c>
      <c r="H519" s="74" t="e">
        <f t="shared" si="27"/>
        <v>#DIV/0!</v>
      </c>
      <c r="I519" s="74" t="e">
        <f t="shared" si="29"/>
        <v>#DIV/0!</v>
      </c>
      <c r="J519" s="62"/>
    </row>
    <row r="520" spans="1:10" ht="14.25" customHeight="1" x14ac:dyDescent="0.3">
      <c r="A520" s="78"/>
      <c r="B520" s="34"/>
      <c r="C520" s="35"/>
      <c r="D520" s="35"/>
      <c r="E520" s="35"/>
      <c r="F520" s="83"/>
      <c r="G520" s="96">
        <f t="shared" si="28"/>
        <v>0</v>
      </c>
      <c r="H520" s="74" t="e">
        <f t="shared" si="27"/>
        <v>#DIV/0!</v>
      </c>
      <c r="I520" s="74" t="e">
        <f t="shared" si="29"/>
        <v>#DIV/0!</v>
      </c>
      <c r="J520" s="62"/>
    </row>
    <row r="521" spans="1:10" ht="14.25" customHeight="1" x14ac:dyDescent="0.3">
      <c r="A521" s="78"/>
      <c r="B521" s="34"/>
      <c r="C521" s="35"/>
      <c r="D521" s="35"/>
      <c r="E521" s="35"/>
      <c r="F521" s="83"/>
      <c r="G521" s="96">
        <f t="shared" si="28"/>
        <v>0</v>
      </c>
      <c r="H521" s="74" t="e">
        <f t="shared" si="27"/>
        <v>#DIV/0!</v>
      </c>
      <c r="I521" s="74" t="e">
        <f t="shared" si="29"/>
        <v>#DIV/0!</v>
      </c>
      <c r="J521" s="62"/>
    </row>
    <row r="522" spans="1:10" ht="14.25" customHeight="1" x14ac:dyDescent="0.3">
      <c r="A522" s="78"/>
      <c r="B522" s="34"/>
      <c r="C522" s="35"/>
      <c r="D522" s="35"/>
      <c r="E522" s="35"/>
      <c r="F522" s="83"/>
      <c r="G522" s="96">
        <f t="shared" si="28"/>
        <v>0</v>
      </c>
      <c r="H522" s="74" t="e">
        <f t="shared" ref="H522:H585" si="30">(C522-D522)/E522</f>
        <v>#DIV/0!</v>
      </c>
      <c r="I522" s="74" t="e">
        <f t="shared" si="29"/>
        <v>#DIV/0!</v>
      </c>
      <c r="J522" s="62"/>
    </row>
    <row r="523" spans="1:10" ht="14.25" customHeight="1" x14ac:dyDescent="0.3">
      <c r="A523" s="78"/>
      <c r="B523" s="34"/>
      <c r="C523" s="35"/>
      <c r="D523" s="35"/>
      <c r="E523" s="35"/>
      <c r="F523" s="83"/>
      <c r="G523" s="96">
        <f t="shared" si="28"/>
        <v>0</v>
      </c>
      <c r="H523" s="74" t="e">
        <f t="shared" si="30"/>
        <v>#DIV/0!</v>
      </c>
      <c r="I523" s="74" t="e">
        <f t="shared" si="29"/>
        <v>#DIV/0!</v>
      </c>
      <c r="J523" s="62"/>
    </row>
    <row r="524" spans="1:10" ht="14.25" customHeight="1" x14ac:dyDescent="0.3">
      <c r="A524" s="78"/>
      <c r="B524" s="34"/>
      <c r="C524" s="35"/>
      <c r="D524" s="35"/>
      <c r="E524" s="35"/>
      <c r="F524" s="83"/>
      <c r="G524" s="96">
        <f t="shared" si="28"/>
        <v>0</v>
      </c>
      <c r="H524" s="74" t="e">
        <f t="shared" si="30"/>
        <v>#DIV/0!</v>
      </c>
      <c r="I524" s="74" t="e">
        <f t="shared" si="29"/>
        <v>#DIV/0!</v>
      </c>
      <c r="J524" s="62"/>
    </row>
    <row r="525" spans="1:10" ht="14.25" customHeight="1" x14ac:dyDescent="0.3">
      <c r="A525" s="78"/>
      <c r="B525" s="34"/>
      <c r="C525" s="35"/>
      <c r="D525" s="35"/>
      <c r="E525" s="35"/>
      <c r="F525" s="83"/>
      <c r="G525" s="96">
        <f t="shared" si="28"/>
        <v>0</v>
      </c>
      <c r="H525" s="74" t="e">
        <f t="shared" si="30"/>
        <v>#DIV/0!</v>
      </c>
      <c r="I525" s="74" t="e">
        <f t="shared" si="29"/>
        <v>#DIV/0!</v>
      </c>
      <c r="J525" s="62"/>
    </row>
    <row r="526" spans="1:10" ht="14.25" customHeight="1" x14ac:dyDescent="0.3">
      <c r="A526" s="78"/>
      <c r="B526" s="34"/>
      <c r="C526" s="35"/>
      <c r="D526" s="35"/>
      <c r="E526" s="35"/>
      <c r="F526" s="83"/>
      <c r="G526" s="96">
        <f t="shared" si="28"/>
        <v>0</v>
      </c>
      <c r="H526" s="74" t="e">
        <f t="shared" si="30"/>
        <v>#DIV/0!</v>
      </c>
      <c r="I526" s="74" t="e">
        <f t="shared" si="29"/>
        <v>#DIV/0!</v>
      </c>
      <c r="J526" s="62"/>
    </row>
    <row r="527" spans="1:10" ht="14.25" customHeight="1" x14ac:dyDescent="0.3">
      <c r="A527" s="78"/>
      <c r="B527" s="34"/>
      <c r="C527" s="35"/>
      <c r="D527" s="35"/>
      <c r="E527" s="35"/>
      <c r="F527" s="83"/>
      <c r="G527" s="96">
        <f t="shared" si="28"/>
        <v>0</v>
      </c>
      <c r="H527" s="74" t="e">
        <f t="shared" si="30"/>
        <v>#DIV/0!</v>
      </c>
      <c r="I527" s="74" t="e">
        <f t="shared" si="29"/>
        <v>#DIV/0!</v>
      </c>
      <c r="J527" s="62"/>
    </row>
    <row r="528" spans="1:10" ht="14.25" customHeight="1" x14ac:dyDescent="0.3">
      <c r="A528" s="78"/>
      <c r="B528" s="34"/>
      <c r="C528" s="35"/>
      <c r="D528" s="35"/>
      <c r="E528" s="35"/>
      <c r="F528" s="83"/>
      <c r="G528" s="96">
        <f t="shared" si="28"/>
        <v>0</v>
      </c>
      <c r="H528" s="74" t="e">
        <f t="shared" si="30"/>
        <v>#DIV/0!</v>
      </c>
      <c r="I528" s="74" t="e">
        <f t="shared" si="29"/>
        <v>#DIV/0!</v>
      </c>
      <c r="J528" s="62"/>
    </row>
    <row r="529" spans="1:10" ht="14.25" customHeight="1" x14ac:dyDescent="0.3">
      <c r="A529" s="78"/>
      <c r="B529" s="34"/>
      <c r="C529" s="35"/>
      <c r="D529" s="35"/>
      <c r="E529" s="35"/>
      <c r="F529" s="83"/>
      <c r="G529" s="96">
        <f t="shared" si="28"/>
        <v>0</v>
      </c>
      <c r="H529" s="74" t="e">
        <f t="shared" si="30"/>
        <v>#DIV/0!</v>
      </c>
      <c r="I529" s="74" t="e">
        <f t="shared" si="29"/>
        <v>#DIV/0!</v>
      </c>
      <c r="J529" s="62"/>
    </row>
    <row r="530" spans="1:10" ht="14.25" customHeight="1" x14ac:dyDescent="0.3">
      <c r="A530" s="78"/>
      <c r="B530" s="34"/>
      <c r="C530" s="35"/>
      <c r="D530" s="35"/>
      <c r="E530" s="35"/>
      <c r="F530" s="83"/>
      <c r="G530" s="96">
        <f t="shared" si="28"/>
        <v>0</v>
      </c>
      <c r="H530" s="74" t="e">
        <f t="shared" si="30"/>
        <v>#DIV/0!</v>
      </c>
      <c r="I530" s="74" t="e">
        <f t="shared" si="29"/>
        <v>#DIV/0!</v>
      </c>
      <c r="J530" s="62"/>
    </row>
    <row r="531" spans="1:10" ht="14.25" customHeight="1" x14ac:dyDescent="0.3">
      <c r="A531" s="78"/>
      <c r="B531" s="34"/>
      <c r="C531" s="35"/>
      <c r="D531" s="35"/>
      <c r="E531" s="35"/>
      <c r="F531" s="83"/>
      <c r="G531" s="96">
        <f t="shared" si="28"/>
        <v>0</v>
      </c>
      <c r="H531" s="74" t="e">
        <f t="shared" si="30"/>
        <v>#DIV/0!</v>
      </c>
      <c r="I531" s="74" t="e">
        <f t="shared" si="29"/>
        <v>#DIV/0!</v>
      </c>
      <c r="J531" s="62"/>
    </row>
    <row r="532" spans="1:10" ht="14.25" customHeight="1" x14ac:dyDescent="0.3">
      <c r="A532" s="78"/>
      <c r="B532" s="34"/>
      <c r="C532" s="35"/>
      <c r="D532" s="35"/>
      <c r="E532" s="35"/>
      <c r="F532" s="83"/>
      <c r="G532" s="96">
        <f t="shared" si="28"/>
        <v>0</v>
      </c>
      <c r="H532" s="74" t="e">
        <f t="shared" si="30"/>
        <v>#DIV/0!</v>
      </c>
      <c r="I532" s="74" t="e">
        <f t="shared" si="29"/>
        <v>#DIV/0!</v>
      </c>
      <c r="J532" s="62"/>
    </row>
    <row r="533" spans="1:10" ht="14.25" customHeight="1" x14ac:dyDescent="0.3">
      <c r="A533" s="78"/>
      <c r="B533" s="34"/>
      <c r="C533" s="35"/>
      <c r="D533" s="35"/>
      <c r="E533" s="35"/>
      <c r="F533" s="83"/>
      <c r="G533" s="96">
        <f t="shared" si="28"/>
        <v>0</v>
      </c>
      <c r="H533" s="74" t="e">
        <f t="shared" si="30"/>
        <v>#DIV/0!</v>
      </c>
      <c r="I533" s="74" t="e">
        <f t="shared" si="29"/>
        <v>#DIV/0!</v>
      </c>
      <c r="J533" s="62"/>
    </row>
    <row r="534" spans="1:10" ht="14.25" customHeight="1" x14ac:dyDescent="0.3">
      <c r="A534" s="78"/>
      <c r="B534" s="34"/>
      <c r="C534" s="35"/>
      <c r="D534" s="35"/>
      <c r="E534" s="35"/>
      <c r="F534" s="83"/>
      <c r="G534" s="96">
        <f t="shared" si="28"/>
        <v>0</v>
      </c>
      <c r="H534" s="74" t="e">
        <f t="shared" si="30"/>
        <v>#DIV/0!</v>
      </c>
      <c r="I534" s="74" t="e">
        <f t="shared" si="29"/>
        <v>#DIV/0!</v>
      </c>
      <c r="J534" s="62"/>
    </row>
    <row r="535" spans="1:10" ht="14.25" customHeight="1" x14ac:dyDescent="0.3">
      <c r="A535" s="78"/>
      <c r="B535" s="34"/>
      <c r="C535" s="35"/>
      <c r="D535" s="35"/>
      <c r="E535" s="35"/>
      <c r="F535" s="83"/>
      <c r="G535" s="96">
        <f t="shared" si="28"/>
        <v>0</v>
      </c>
      <c r="H535" s="74" t="e">
        <f t="shared" si="30"/>
        <v>#DIV/0!</v>
      </c>
      <c r="I535" s="74" t="e">
        <f t="shared" si="29"/>
        <v>#DIV/0!</v>
      </c>
      <c r="J535" s="62"/>
    </row>
    <row r="536" spans="1:10" ht="14.25" customHeight="1" x14ac:dyDescent="0.3">
      <c r="A536" s="78"/>
      <c r="B536" s="34"/>
      <c r="C536" s="35"/>
      <c r="D536" s="35"/>
      <c r="E536" s="35"/>
      <c r="F536" s="83"/>
      <c r="G536" s="96">
        <f t="shared" si="28"/>
        <v>0</v>
      </c>
      <c r="H536" s="74" t="e">
        <f t="shared" si="30"/>
        <v>#DIV/0!</v>
      </c>
      <c r="I536" s="74" t="e">
        <f t="shared" si="29"/>
        <v>#DIV/0!</v>
      </c>
      <c r="J536" s="62"/>
    </row>
    <row r="537" spans="1:10" ht="14.25" customHeight="1" x14ac:dyDescent="0.3">
      <c r="A537" s="78"/>
      <c r="B537" s="34"/>
      <c r="C537" s="35"/>
      <c r="D537" s="35"/>
      <c r="E537" s="35"/>
      <c r="F537" s="83"/>
      <c r="G537" s="96">
        <f t="shared" si="28"/>
        <v>0</v>
      </c>
      <c r="H537" s="74" t="e">
        <f t="shared" si="30"/>
        <v>#DIV/0!</v>
      </c>
      <c r="I537" s="74" t="e">
        <f t="shared" si="29"/>
        <v>#DIV/0!</v>
      </c>
      <c r="J537" s="62"/>
    </row>
    <row r="538" spans="1:10" ht="14.25" customHeight="1" x14ac:dyDescent="0.3">
      <c r="A538" s="78"/>
      <c r="B538" s="34"/>
      <c r="C538" s="35"/>
      <c r="D538" s="35"/>
      <c r="E538" s="35"/>
      <c r="F538" s="83"/>
      <c r="G538" s="96">
        <f t="shared" si="28"/>
        <v>0</v>
      </c>
      <c r="H538" s="74" t="e">
        <f t="shared" si="30"/>
        <v>#DIV/0!</v>
      </c>
      <c r="I538" s="74" t="e">
        <f t="shared" si="29"/>
        <v>#DIV/0!</v>
      </c>
      <c r="J538" s="62"/>
    </row>
    <row r="539" spans="1:10" ht="14.25" customHeight="1" x14ac:dyDescent="0.3">
      <c r="A539" s="78"/>
      <c r="B539" s="34"/>
      <c r="C539" s="35"/>
      <c r="D539" s="35"/>
      <c r="E539" s="35"/>
      <c r="F539" s="83"/>
      <c r="G539" s="96">
        <f t="shared" si="28"/>
        <v>0</v>
      </c>
      <c r="H539" s="74" t="e">
        <f t="shared" si="30"/>
        <v>#DIV/0!</v>
      </c>
      <c r="I539" s="74" t="e">
        <f t="shared" si="29"/>
        <v>#DIV/0!</v>
      </c>
      <c r="J539" s="62"/>
    </row>
    <row r="540" spans="1:10" ht="14.25" customHeight="1" x14ac:dyDescent="0.3">
      <c r="A540" s="78"/>
      <c r="B540" s="34"/>
      <c r="C540" s="35"/>
      <c r="D540" s="35"/>
      <c r="E540" s="35"/>
      <c r="F540" s="83"/>
      <c r="G540" s="96">
        <f t="shared" si="28"/>
        <v>0</v>
      </c>
      <c r="H540" s="74" t="e">
        <f t="shared" si="30"/>
        <v>#DIV/0!</v>
      </c>
      <c r="I540" s="74" t="e">
        <f t="shared" si="29"/>
        <v>#DIV/0!</v>
      </c>
      <c r="J540" s="62"/>
    </row>
    <row r="541" spans="1:10" ht="14.25" customHeight="1" x14ac:dyDescent="0.3">
      <c r="A541" s="78"/>
      <c r="B541" s="34"/>
      <c r="C541" s="35"/>
      <c r="D541" s="35"/>
      <c r="E541" s="35"/>
      <c r="F541" s="83"/>
      <c r="G541" s="96">
        <f t="shared" si="28"/>
        <v>0</v>
      </c>
      <c r="H541" s="74" t="e">
        <f t="shared" si="30"/>
        <v>#DIV/0!</v>
      </c>
      <c r="I541" s="74" t="e">
        <f t="shared" si="29"/>
        <v>#DIV/0!</v>
      </c>
      <c r="J541" s="62"/>
    </row>
    <row r="542" spans="1:10" ht="14.25" customHeight="1" x14ac:dyDescent="0.3">
      <c r="A542" s="78"/>
      <c r="B542" s="34"/>
      <c r="C542" s="35"/>
      <c r="D542" s="35"/>
      <c r="E542" s="35"/>
      <c r="F542" s="83"/>
      <c r="G542" s="96">
        <f t="shared" si="28"/>
        <v>0</v>
      </c>
      <c r="H542" s="74" t="e">
        <f t="shared" si="30"/>
        <v>#DIV/0!</v>
      </c>
      <c r="I542" s="74" t="e">
        <f t="shared" si="29"/>
        <v>#DIV/0!</v>
      </c>
      <c r="J542" s="62"/>
    </row>
    <row r="543" spans="1:10" ht="14.25" customHeight="1" x14ac:dyDescent="0.3">
      <c r="A543" s="78"/>
      <c r="B543" s="34"/>
      <c r="C543" s="35"/>
      <c r="D543" s="35"/>
      <c r="E543" s="35"/>
      <c r="F543" s="83"/>
      <c r="G543" s="96">
        <f t="shared" si="28"/>
        <v>0</v>
      </c>
      <c r="H543" s="74" t="e">
        <f t="shared" si="30"/>
        <v>#DIV/0!</v>
      </c>
      <c r="I543" s="74" t="e">
        <f t="shared" si="29"/>
        <v>#DIV/0!</v>
      </c>
      <c r="J543" s="62"/>
    </row>
    <row r="544" spans="1:10" ht="14.25" customHeight="1" x14ac:dyDescent="0.3">
      <c r="A544" s="78"/>
      <c r="B544" s="34"/>
      <c r="C544" s="35"/>
      <c r="D544" s="35"/>
      <c r="E544" s="35"/>
      <c r="F544" s="83"/>
      <c r="G544" s="96">
        <f t="shared" si="28"/>
        <v>0</v>
      </c>
      <c r="H544" s="74" t="e">
        <f t="shared" si="30"/>
        <v>#DIV/0!</v>
      </c>
      <c r="I544" s="74" t="e">
        <f t="shared" si="29"/>
        <v>#DIV/0!</v>
      </c>
      <c r="J544" s="62"/>
    </row>
    <row r="545" spans="1:10" ht="14.25" customHeight="1" x14ac:dyDescent="0.3">
      <c r="A545" s="78"/>
      <c r="B545" s="34"/>
      <c r="C545" s="35"/>
      <c r="D545" s="35"/>
      <c r="E545" s="35"/>
      <c r="F545" s="83"/>
      <c r="G545" s="96">
        <f t="shared" si="28"/>
        <v>0</v>
      </c>
      <c r="H545" s="74" t="e">
        <f t="shared" si="30"/>
        <v>#DIV/0!</v>
      </c>
      <c r="I545" s="74" t="e">
        <f t="shared" si="29"/>
        <v>#DIV/0!</v>
      </c>
      <c r="J545" s="62"/>
    </row>
    <row r="546" spans="1:10" ht="14.25" customHeight="1" x14ac:dyDescent="0.3">
      <c r="A546" s="78"/>
      <c r="B546" s="34"/>
      <c r="C546" s="35"/>
      <c r="D546" s="35"/>
      <c r="E546" s="35"/>
      <c r="F546" s="83"/>
      <c r="G546" s="96">
        <f t="shared" si="28"/>
        <v>0</v>
      </c>
      <c r="H546" s="74" t="e">
        <f t="shared" si="30"/>
        <v>#DIV/0!</v>
      </c>
      <c r="I546" s="74" t="e">
        <f t="shared" si="29"/>
        <v>#DIV/0!</v>
      </c>
      <c r="J546" s="62"/>
    </row>
    <row r="547" spans="1:10" ht="14.25" customHeight="1" x14ac:dyDescent="0.3">
      <c r="A547" s="78"/>
      <c r="B547" s="34"/>
      <c r="C547" s="35"/>
      <c r="D547" s="35"/>
      <c r="E547" s="35"/>
      <c r="F547" s="83"/>
      <c r="G547" s="96">
        <f t="shared" si="28"/>
        <v>0</v>
      </c>
      <c r="H547" s="74" t="e">
        <f t="shared" si="30"/>
        <v>#DIV/0!</v>
      </c>
      <c r="I547" s="74" t="e">
        <f t="shared" si="29"/>
        <v>#DIV/0!</v>
      </c>
      <c r="J547" s="62"/>
    </row>
    <row r="548" spans="1:10" ht="14.25" customHeight="1" x14ac:dyDescent="0.3">
      <c r="A548" s="78"/>
      <c r="B548" s="34"/>
      <c r="C548" s="35"/>
      <c r="D548" s="35"/>
      <c r="E548" s="35"/>
      <c r="F548" s="83"/>
      <c r="G548" s="96">
        <f t="shared" si="28"/>
        <v>0</v>
      </c>
      <c r="H548" s="74" t="e">
        <f t="shared" si="30"/>
        <v>#DIV/0!</v>
      </c>
      <c r="I548" s="74" t="e">
        <f t="shared" si="29"/>
        <v>#DIV/0!</v>
      </c>
      <c r="J548" s="62"/>
    </row>
    <row r="549" spans="1:10" ht="14.25" customHeight="1" x14ac:dyDescent="0.3">
      <c r="A549" s="78"/>
      <c r="B549" s="34"/>
      <c r="C549" s="35"/>
      <c r="D549" s="35"/>
      <c r="E549" s="35"/>
      <c r="F549" s="83"/>
      <c r="G549" s="96">
        <f t="shared" si="28"/>
        <v>0</v>
      </c>
      <c r="H549" s="74" t="e">
        <f t="shared" si="30"/>
        <v>#DIV/0!</v>
      </c>
      <c r="I549" s="74" t="e">
        <f t="shared" si="29"/>
        <v>#DIV/0!</v>
      </c>
      <c r="J549" s="62"/>
    </row>
    <row r="550" spans="1:10" ht="14.25" customHeight="1" x14ac:dyDescent="0.3">
      <c r="A550" s="78"/>
      <c r="B550" s="34"/>
      <c r="C550" s="35"/>
      <c r="D550" s="35"/>
      <c r="E550" s="35"/>
      <c r="F550" s="83"/>
      <c r="G550" s="96">
        <f t="shared" si="28"/>
        <v>0</v>
      </c>
      <c r="H550" s="74" t="e">
        <f t="shared" si="30"/>
        <v>#DIV/0!</v>
      </c>
      <c r="I550" s="74" t="e">
        <f t="shared" si="29"/>
        <v>#DIV/0!</v>
      </c>
      <c r="J550" s="62"/>
    </row>
    <row r="551" spans="1:10" ht="14.25" customHeight="1" x14ac:dyDescent="0.3">
      <c r="A551" s="78"/>
      <c r="B551" s="34"/>
      <c r="C551" s="35"/>
      <c r="D551" s="35"/>
      <c r="E551" s="35"/>
      <c r="F551" s="83"/>
      <c r="G551" s="96">
        <f t="shared" si="28"/>
        <v>0</v>
      </c>
      <c r="H551" s="74" t="e">
        <f t="shared" si="30"/>
        <v>#DIV/0!</v>
      </c>
      <c r="I551" s="74" t="e">
        <f t="shared" si="29"/>
        <v>#DIV/0!</v>
      </c>
      <c r="J551" s="62"/>
    </row>
    <row r="552" spans="1:10" ht="14.25" customHeight="1" x14ac:dyDescent="0.3">
      <c r="A552" s="78"/>
      <c r="B552" s="34"/>
      <c r="C552" s="35"/>
      <c r="D552" s="35"/>
      <c r="E552" s="35"/>
      <c r="F552" s="83"/>
      <c r="G552" s="96">
        <f t="shared" si="28"/>
        <v>0</v>
      </c>
      <c r="H552" s="74" t="e">
        <f t="shared" si="30"/>
        <v>#DIV/0!</v>
      </c>
      <c r="I552" s="74" t="e">
        <f t="shared" si="29"/>
        <v>#DIV/0!</v>
      </c>
      <c r="J552" s="62"/>
    </row>
    <row r="553" spans="1:10" ht="14.25" customHeight="1" x14ac:dyDescent="0.3">
      <c r="A553" s="78"/>
      <c r="B553" s="34"/>
      <c r="C553" s="35"/>
      <c r="D553" s="35"/>
      <c r="E553" s="35"/>
      <c r="F553" s="83"/>
      <c r="G553" s="96">
        <f t="shared" si="28"/>
        <v>0</v>
      </c>
      <c r="H553" s="74" t="e">
        <f t="shared" si="30"/>
        <v>#DIV/0!</v>
      </c>
      <c r="I553" s="74" t="e">
        <f t="shared" si="29"/>
        <v>#DIV/0!</v>
      </c>
      <c r="J553" s="62"/>
    </row>
    <row r="554" spans="1:10" ht="14.25" customHeight="1" x14ac:dyDescent="0.3">
      <c r="A554" s="78"/>
      <c r="B554" s="34"/>
      <c r="C554" s="35"/>
      <c r="D554" s="35"/>
      <c r="E554" s="35"/>
      <c r="F554" s="83"/>
      <c r="G554" s="96">
        <f t="shared" si="28"/>
        <v>0</v>
      </c>
      <c r="H554" s="74" t="e">
        <f t="shared" si="30"/>
        <v>#DIV/0!</v>
      </c>
      <c r="I554" s="74" t="e">
        <f t="shared" si="29"/>
        <v>#DIV/0!</v>
      </c>
      <c r="J554" s="62"/>
    </row>
    <row r="555" spans="1:10" ht="14.25" customHeight="1" x14ac:dyDescent="0.3">
      <c r="A555" s="78"/>
      <c r="B555" s="34"/>
      <c r="C555" s="35"/>
      <c r="D555" s="35"/>
      <c r="E555" s="35"/>
      <c r="F555" s="83"/>
      <c r="G555" s="96">
        <f t="shared" si="28"/>
        <v>0</v>
      </c>
      <c r="H555" s="74" t="e">
        <f t="shared" si="30"/>
        <v>#DIV/0!</v>
      </c>
      <c r="I555" s="74" t="e">
        <f t="shared" si="29"/>
        <v>#DIV/0!</v>
      </c>
      <c r="J555" s="62"/>
    </row>
    <row r="556" spans="1:10" ht="14.25" customHeight="1" x14ac:dyDescent="0.3">
      <c r="A556" s="78"/>
      <c r="B556" s="34"/>
      <c r="C556" s="35"/>
      <c r="D556" s="35"/>
      <c r="E556" s="35"/>
      <c r="F556" s="83"/>
      <c r="G556" s="96">
        <f t="shared" si="28"/>
        <v>0</v>
      </c>
      <c r="H556" s="74" t="e">
        <f t="shared" si="30"/>
        <v>#DIV/0!</v>
      </c>
      <c r="I556" s="74" t="e">
        <f t="shared" si="29"/>
        <v>#DIV/0!</v>
      </c>
      <c r="J556" s="62"/>
    </row>
    <row r="557" spans="1:10" ht="14.25" customHeight="1" x14ac:dyDescent="0.3">
      <c r="A557" s="78"/>
      <c r="B557" s="34"/>
      <c r="C557" s="35"/>
      <c r="D557" s="35"/>
      <c r="E557" s="35"/>
      <c r="F557" s="83"/>
      <c r="G557" s="96">
        <f t="shared" si="28"/>
        <v>0</v>
      </c>
      <c r="H557" s="74" t="e">
        <f t="shared" si="30"/>
        <v>#DIV/0!</v>
      </c>
      <c r="I557" s="74" t="e">
        <f t="shared" si="29"/>
        <v>#DIV/0!</v>
      </c>
      <c r="J557" s="62"/>
    </row>
    <row r="558" spans="1:10" ht="14.25" customHeight="1" x14ac:dyDescent="0.3">
      <c r="A558" s="78"/>
      <c r="B558" s="34"/>
      <c r="C558" s="35"/>
      <c r="D558" s="35"/>
      <c r="E558" s="35"/>
      <c r="F558" s="83"/>
      <c r="G558" s="96">
        <f t="shared" si="28"/>
        <v>0</v>
      </c>
      <c r="H558" s="74" t="e">
        <f t="shared" si="30"/>
        <v>#DIV/0!</v>
      </c>
      <c r="I558" s="74" t="e">
        <f t="shared" si="29"/>
        <v>#DIV/0!</v>
      </c>
      <c r="J558" s="62"/>
    </row>
    <row r="559" spans="1:10" ht="14.25" customHeight="1" x14ac:dyDescent="0.3">
      <c r="A559" s="78"/>
      <c r="B559" s="34"/>
      <c r="C559" s="35"/>
      <c r="D559" s="35"/>
      <c r="E559" s="35"/>
      <c r="F559" s="83"/>
      <c r="G559" s="96">
        <f t="shared" si="28"/>
        <v>0</v>
      </c>
      <c r="H559" s="74" t="e">
        <f t="shared" si="30"/>
        <v>#DIV/0!</v>
      </c>
      <c r="I559" s="74" t="e">
        <f t="shared" si="29"/>
        <v>#DIV/0!</v>
      </c>
      <c r="J559" s="62"/>
    </row>
    <row r="560" spans="1:10" ht="14.25" customHeight="1" x14ac:dyDescent="0.3">
      <c r="A560" s="78"/>
      <c r="B560" s="34"/>
      <c r="C560" s="35"/>
      <c r="D560" s="35"/>
      <c r="E560" s="35"/>
      <c r="F560" s="83"/>
      <c r="G560" s="96">
        <f t="shared" si="28"/>
        <v>0</v>
      </c>
      <c r="H560" s="74" t="e">
        <f t="shared" si="30"/>
        <v>#DIV/0!</v>
      </c>
      <c r="I560" s="74" t="e">
        <f t="shared" si="29"/>
        <v>#DIV/0!</v>
      </c>
      <c r="J560" s="62"/>
    </row>
    <row r="561" spans="1:10" ht="14.25" customHeight="1" x14ac:dyDescent="0.3">
      <c r="A561" s="78"/>
      <c r="B561" s="34"/>
      <c r="C561" s="35"/>
      <c r="D561" s="35"/>
      <c r="E561" s="35"/>
      <c r="F561" s="83"/>
      <c r="G561" s="96">
        <f t="shared" si="28"/>
        <v>0</v>
      </c>
      <c r="H561" s="74" t="e">
        <f t="shared" si="30"/>
        <v>#DIV/0!</v>
      </c>
      <c r="I561" s="74" t="e">
        <f t="shared" si="29"/>
        <v>#DIV/0!</v>
      </c>
      <c r="J561" s="62"/>
    </row>
    <row r="562" spans="1:10" ht="14.25" customHeight="1" x14ac:dyDescent="0.3">
      <c r="A562" s="78"/>
      <c r="B562" s="34"/>
      <c r="C562" s="35"/>
      <c r="D562" s="35"/>
      <c r="E562" s="35"/>
      <c r="F562" s="83"/>
      <c r="G562" s="96">
        <f t="shared" si="28"/>
        <v>0</v>
      </c>
      <c r="H562" s="74" t="e">
        <f t="shared" si="30"/>
        <v>#DIV/0!</v>
      </c>
      <c r="I562" s="74" t="e">
        <f t="shared" si="29"/>
        <v>#DIV/0!</v>
      </c>
      <c r="J562" s="62"/>
    </row>
    <row r="563" spans="1:10" ht="14.25" customHeight="1" x14ac:dyDescent="0.3">
      <c r="A563" s="78"/>
      <c r="B563" s="34"/>
      <c r="C563" s="35"/>
      <c r="D563" s="35"/>
      <c r="E563" s="35"/>
      <c r="F563" s="83"/>
      <c r="G563" s="96">
        <f t="shared" si="28"/>
        <v>0</v>
      </c>
      <c r="H563" s="74" t="e">
        <f t="shared" si="30"/>
        <v>#DIV/0!</v>
      </c>
      <c r="I563" s="74" t="e">
        <f t="shared" si="29"/>
        <v>#DIV/0!</v>
      </c>
      <c r="J563" s="62"/>
    </row>
    <row r="564" spans="1:10" ht="14.25" customHeight="1" x14ac:dyDescent="0.3">
      <c r="A564" s="78"/>
      <c r="B564" s="34"/>
      <c r="C564" s="35"/>
      <c r="D564" s="35"/>
      <c r="E564" s="35"/>
      <c r="F564" s="83"/>
      <c r="G564" s="96">
        <f t="shared" si="28"/>
        <v>0</v>
      </c>
      <c r="H564" s="74" t="e">
        <f t="shared" si="30"/>
        <v>#DIV/0!</v>
      </c>
      <c r="I564" s="74" t="e">
        <f t="shared" si="29"/>
        <v>#DIV/0!</v>
      </c>
      <c r="J564" s="62"/>
    </row>
    <row r="565" spans="1:10" ht="14.25" customHeight="1" x14ac:dyDescent="0.3">
      <c r="A565" s="78"/>
      <c r="B565" s="34"/>
      <c r="C565" s="35"/>
      <c r="D565" s="35"/>
      <c r="E565" s="35"/>
      <c r="F565" s="83"/>
      <c r="G565" s="96">
        <f t="shared" si="28"/>
        <v>0</v>
      </c>
      <c r="H565" s="74" t="e">
        <f t="shared" si="30"/>
        <v>#DIV/0!</v>
      </c>
      <c r="I565" s="74" t="e">
        <f t="shared" si="29"/>
        <v>#DIV/0!</v>
      </c>
      <c r="J565" s="62"/>
    </row>
    <row r="566" spans="1:10" ht="14.25" customHeight="1" x14ac:dyDescent="0.3">
      <c r="A566" s="78"/>
      <c r="B566" s="34"/>
      <c r="C566" s="35"/>
      <c r="D566" s="35"/>
      <c r="E566" s="35"/>
      <c r="F566" s="83"/>
      <c r="G566" s="96">
        <f t="shared" si="28"/>
        <v>0</v>
      </c>
      <c r="H566" s="74" t="e">
        <f t="shared" si="30"/>
        <v>#DIV/0!</v>
      </c>
      <c r="I566" s="74" t="e">
        <f t="shared" si="29"/>
        <v>#DIV/0!</v>
      </c>
      <c r="J566" s="62"/>
    </row>
    <row r="567" spans="1:10" ht="14.25" customHeight="1" x14ac:dyDescent="0.3">
      <c r="A567" s="78"/>
      <c r="B567" s="34"/>
      <c r="C567" s="35"/>
      <c r="D567" s="35"/>
      <c r="E567" s="35"/>
      <c r="F567" s="83"/>
      <c r="G567" s="96">
        <f t="shared" si="28"/>
        <v>0</v>
      </c>
      <c r="H567" s="74" t="e">
        <f t="shared" si="30"/>
        <v>#DIV/0!</v>
      </c>
      <c r="I567" s="74" t="e">
        <f t="shared" si="29"/>
        <v>#DIV/0!</v>
      </c>
      <c r="J567" s="62"/>
    </row>
    <row r="568" spans="1:10" ht="14.25" customHeight="1" x14ac:dyDescent="0.3">
      <c r="A568" s="78"/>
      <c r="B568" s="34"/>
      <c r="C568" s="35"/>
      <c r="D568" s="35"/>
      <c r="E568" s="35"/>
      <c r="F568" s="83"/>
      <c r="G568" s="96">
        <f t="shared" si="28"/>
        <v>0</v>
      </c>
      <c r="H568" s="74" t="e">
        <f t="shared" si="30"/>
        <v>#DIV/0!</v>
      </c>
      <c r="I568" s="74" t="e">
        <f t="shared" si="29"/>
        <v>#DIV/0!</v>
      </c>
      <c r="J568" s="62"/>
    </row>
    <row r="569" spans="1:10" ht="14.25" customHeight="1" x14ac:dyDescent="0.3">
      <c r="A569" s="78"/>
      <c r="B569" s="34"/>
      <c r="C569" s="35"/>
      <c r="D569" s="35"/>
      <c r="E569" s="35"/>
      <c r="F569" s="83"/>
      <c r="G569" s="96">
        <f t="shared" si="28"/>
        <v>0</v>
      </c>
      <c r="H569" s="74" t="e">
        <f t="shared" si="30"/>
        <v>#DIV/0!</v>
      </c>
      <c r="I569" s="74" t="e">
        <f t="shared" si="29"/>
        <v>#DIV/0!</v>
      </c>
      <c r="J569" s="62"/>
    </row>
    <row r="570" spans="1:10" ht="14.25" customHeight="1" x14ac:dyDescent="0.3">
      <c r="A570" s="78"/>
      <c r="B570" s="34"/>
      <c r="C570" s="35"/>
      <c r="D570" s="35"/>
      <c r="E570" s="35"/>
      <c r="F570" s="83"/>
      <c r="G570" s="96">
        <f t="shared" si="28"/>
        <v>0</v>
      </c>
      <c r="H570" s="74" t="e">
        <f t="shared" si="30"/>
        <v>#DIV/0!</v>
      </c>
      <c r="I570" s="74" t="e">
        <f t="shared" si="29"/>
        <v>#DIV/0!</v>
      </c>
      <c r="J570" s="62"/>
    </row>
    <row r="571" spans="1:10" ht="14.25" customHeight="1" x14ac:dyDescent="0.3">
      <c r="A571" s="78"/>
      <c r="B571" s="34"/>
      <c r="C571" s="35"/>
      <c r="D571" s="35"/>
      <c r="E571" s="35"/>
      <c r="F571" s="83"/>
      <c r="G571" s="96">
        <f t="shared" si="28"/>
        <v>0</v>
      </c>
      <c r="H571" s="74" t="e">
        <f t="shared" si="30"/>
        <v>#DIV/0!</v>
      </c>
      <c r="I571" s="74" t="e">
        <f t="shared" si="29"/>
        <v>#DIV/0!</v>
      </c>
      <c r="J571" s="62"/>
    </row>
    <row r="572" spans="1:10" ht="14.25" customHeight="1" x14ac:dyDescent="0.3">
      <c r="A572" s="78"/>
      <c r="B572" s="34"/>
      <c r="C572" s="35"/>
      <c r="D572" s="35"/>
      <c r="E572" s="35"/>
      <c r="F572" s="83"/>
      <c r="G572" s="96">
        <f t="shared" si="28"/>
        <v>0</v>
      </c>
      <c r="H572" s="74" t="e">
        <f t="shared" si="30"/>
        <v>#DIV/0!</v>
      </c>
      <c r="I572" s="74" t="e">
        <f t="shared" si="29"/>
        <v>#DIV/0!</v>
      </c>
      <c r="J572" s="62"/>
    </row>
    <row r="573" spans="1:10" ht="14.25" customHeight="1" x14ac:dyDescent="0.3">
      <c r="A573" s="78"/>
      <c r="B573" s="34"/>
      <c r="C573" s="35"/>
      <c r="D573" s="35"/>
      <c r="E573" s="35"/>
      <c r="F573" s="83"/>
      <c r="G573" s="96">
        <f t="shared" si="28"/>
        <v>0</v>
      </c>
      <c r="H573" s="74" t="e">
        <f t="shared" si="30"/>
        <v>#DIV/0!</v>
      </c>
      <c r="I573" s="74" t="e">
        <f t="shared" si="29"/>
        <v>#DIV/0!</v>
      </c>
      <c r="J573" s="62"/>
    </row>
    <row r="574" spans="1:10" ht="14.25" customHeight="1" x14ac:dyDescent="0.3">
      <c r="A574" s="78"/>
      <c r="B574" s="34"/>
      <c r="C574" s="35"/>
      <c r="D574" s="35"/>
      <c r="E574" s="35"/>
      <c r="F574" s="83"/>
      <c r="G574" s="96">
        <f t="shared" si="28"/>
        <v>0</v>
      </c>
      <c r="H574" s="74" t="e">
        <f t="shared" si="30"/>
        <v>#DIV/0!</v>
      </c>
      <c r="I574" s="74" t="e">
        <f t="shared" si="29"/>
        <v>#DIV/0!</v>
      </c>
      <c r="J574" s="62"/>
    </row>
    <row r="575" spans="1:10" ht="14.25" customHeight="1" x14ac:dyDescent="0.3">
      <c r="A575" s="78"/>
      <c r="B575" s="34"/>
      <c r="C575" s="35"/>
      <c r="D575" s="35"/>
      <c r="E575" s="35"/>
      <c r="F575" s="83"/>
      <c r="G575" s="96">
        <f t="shared" si="28"/>
        <v>0</v>
      </c>
      <c r="H575" s="74" t="e">
        <f t="shared" si="30"/>
        <v>#DIV/0!</v>
      </c>
      <c r="I575" s="74" t="e">
        <f t="shared" si="29"/>
        <v>#DIV/0!</v>
      </c>
      <c r="J575" s="62"/>
    </row>
    <row r="576" spans="1:10" ht="14.25" customHeight="1" x14ac:dyDescent="0.3">
      <c r="A576" s="78"/>
      <c r="B576" s="34"/>
      <c r="C576" s="35"/>
      <c r="D576" s="35"/>
      <c r="E576" s="35"/>
      <c r="F576" s="83"/>
      <c r="G576" s="96">
        <f t="shared" si="28"/>
        <v>0</v>
      </c>
      <c r="H576" s="74" t="e">
        <f t="shared" si="30"/>
        <v>#DIV/0!</v>
      </c>
      <c r="I576" s="74" t="e">
        <f t="shared" si="29"/>
        <v>#DIV/0!</v>
      </c>
      <c r="J576" s="62"/>
    </row>
    <row r="577" spans="1:10" ht="14.25" customHeight="1" x14ac:dyDescent="0.3">
      <c r="A577" s="78"/>
      <c r="B577" s="34"/>
      <c r="C577" s="35"/>
      <c r="D577" s="35"/>
      <c r="E577" s="35"/>
      <c r="F577" s="83"/>
      <c r="G577" s="96">
        <f t="shared" si="28"/>
        <v>0</v>
      </c>
      <c r="H577" s="74" t="e">
        <f t="shared" si="30"/>
        <v>#DIV/0!</v>
      </c>
      <c r="I577" s="74" t="e">
        <f t="shared" si="29"/>
        <v>#DIV/0!</v>
      </c>
      <c r="J577" s="62"/>
    </row>
    <row r="578" spans="1:10" ht="14.25" customHeight="1" x14ac:dyDescent="0.3">
      <c r="A578" s="78"/>
      <c r="B578" s="34"/>
      <c r="C578" s="35"/>
      <c r="D578" s="35"/>
      <c r="E578" s="35"/>
      <c r="F578" s="83"/>
      <c r="G578" s="96">
        <f t="shared" ref="G578:G641" si="31">C578-D578</f>
        <v>0</v>
      </c>
      <c r="H578" s="74" t="e">
        <f t="shared" si="30"/>
        <v>#DIV/0!</v>
      </c>
      <c r="I578" s="74" t="e">
        <f t="shared" ref="I578:I641" si="32">(C578 - D578) / (E578 - C578)</f>
        <v>#DIV/0!</v>
      </c>
      <c r="J578" s="62"/>
    </row>
    <row r="579" spans="1:10" ht="14.25" customHeight="1" x14ac:dyDescent="0.3">
      <c r="A579" s="78"/>
      <c r="B579" s="34"/>
      <c r="C579" s="35"/>
      <c r="D579" s="35"/>
      <c r="E579" s="35"/>
      <c r="F579" s="83"/>
      <c r="G579" s="96">
        <f t="shared" si="31"/>
        <v>0</v>
      </c>
      <c r="H579" s="74" t="e">
        <f t="shared" si="30"/>
        <v>#DIV/0!</v>
      </c>
      <c r="I579" s="74" t="e">
        <f t="shared" si="32"/>
        <v>#DIV/0!</v>
      </c>
      <c r="J579" s="62"/>
    </row>
    <row r="580" spans="1:10" ht="14.25" customHeight="1" x14ac:dyDescent="0.3">
      <c r="A580" s="78"/>
      <c r="B580" s="34"/>
      <c r="C580" s="35"/>
      <c r="D580" s="35"/>
      <c r="E580" s="35"/>
      <c r="F580" s="83"/>
      <c r="G580" s="96">
        <f t="shared" si="31"/>
        <v>0</v>
      </c>
      <c r="H580" s="74" t="e">
        <f t="shared" si="30"/>
        <v>#DIV/0!</v>
      </c>
      <c r="I580" s="74" t="e">
        <f t="shared" si="32"/>
        <v>#DIV/0!</v>
      </c>
      <c r="J580" s="62"/>
    </row>
    <row r="581" spans="1:10" ht="14.25" customHeight="1" x14ac:dyDescent="0.3">
      <c r="A581" s="78"/>
      <c r="B581" s="34"/>
      <c r="C581" s="35"/>
      <c r="D581" s="35"/>
      <c r="E581" s="35"/>
      <c r="F581" s="83"/>
      <c r="G581" s="96">
        <f t="shared" si="31"/>
        <v>0</v>
      </c>
      <c r="H581" s="74" t="e">
        <f t="shared" si="30"/>
        <v>#DIV/0!</v>
      </c>
      <c r="I581" s="74" t="e">
        <f t="shared" si="32"/>
        <v>#DIV/0!</v>
      </c>
      <c r="J581" s="62"/>
    </row>
    <row r="582" spans="1:10" ht="14.25" customHeight="1" x14ac:dyDescent="0.3">
      <c r="A582" s="78"/>
      <c r="B582" s="34"/>
      <c r="C582" s="35"/>
      <c r="D582" s="35"/>
      <c r="E582" s="35"/>
      <c r="F582" s="83"/>
      <c r="G582" s="96">
        <f t="shared" si="31"/>
        <v>0</v>
      </c>
      <c r="H582" s="74" t="e">
        <f t="shared" si="30"/>
        <v>#DIV/0!</v>
      </c>
      <c r="I582" s="74" t="e">
        <f t="shared" si="32"/>
        <v>#DIV/0!</v>
      </c>
      <c r="J582" s="62"/>
    </row>
    <row r="583" spans="1:10" ht="14.25" customHeight="1" x14ac:dyDescent="0.3">
      <c r="A583" s="78"/>
      <c r="B583" s="34"/>
      <c r="C583" s="35"/>
      <c r="D583" s="35"/>
      <c r="E583" s="35"/>
      <c r="F583" s="83"/>
      <c r="G583" s="96">
        <f t="shared" si="31"/>
        <v>0</v>
      </c>
      <c r="H583" s="74" t="e">
        <f t="shared" si="30"/>
        <v>#DIV/0!</v>
      </c>
      <c r="I583" s="74" t="e">
        <f t="shared" si="32"/>
        <v>#DIV/0!</v>
      </c>
      <c r="J583" s="62"/>
    </row>
    <row r="584" spans="1:10" ht="14.25" customHeight="1" x14ac:dyDescent="0.3">
      <c r="A584" s="78"/>
      <c r="B584" s="34"/>
      <c r="C584" s="35"/>
      <c r="D584" s="35"/>
      <c r="E584" s="35"/>
      <c r="F584" s="83"/>
      <c r="G584" s="96">
        <f t="shared" si="31"/>
        <v>0</v>
      </c>
      <c r="H584" s="74" t="e">
        <f t="shared" si="30"/>
        <v>#DIV/0!</v>
      </c>
      <c r="I584" s="74" t="e">
        <f t="shared" si="32"/>
        <v>#DIV/0!</v>
      </c>
      <c r="J584" s="62"/>
    </row>
    <row r="585" spans="1:10" ht="14.25" customHeight="1" x14ac:dyDescent="0.3">
      <c r="A585" s="78"/>
      <c r="B585" s="34"/>
      <c r="C585" s="35"/>
      <c r="D585" s="35"/>
      <c r="E585" s="35"/>
      <c r="F585" s="83"/>
      <c r="G585" s="96">
        <f t="shared" si="31"/>
        <v>0</v>
      </c>
      <c r="H585" s="74" t="e">
        <f t="shared" si="30"/>
        <v>#DIV/0!</v>
      </c>
      <c r="I585" s="74" t="e">
        <f t="shared" si="32"/>
        <v>#DIV/0!</v>
      </c>
      <c r="J585" s="62"/>
    </row>
    <row r="586" spans="1:10" ht="14.25" customHeight="1" x14ac:dyDescent="0.3">
      <c r="A586" s="78"/>
      <c r="B586" s="34"/>
      <c r="C586" s="35"/>
      <c r="D586" s="35"/>
      <c r="E586" s="35"/>
      <c r="F586" s="83"/>
      <c r="G586" s="96">
        <f t="shared" si="31"/>
        <v>0</v>
      </c>
      <c r="H586" s="74" t="e">
        <f t="shared" ref="H586:H649" si="33">(C586-D586)/E586</f>
        <v>#DIV/0!</v>
      </c>
      <c r="I586" s="74" t="e">
        <f t="shared" si="32"/>
        <v>#DIV/0!</v>
      </c>
      <c r="J586" s="62"/>
    </row>
    <row r="587" spans="1:10" ht="14.25" customHeight="1" x14ac:dyDescent="0.3">
      <c r="A587" s="78"/>
      <c r="B587" s="34"/>
      <c r="C587" s="35"/>
      <c r="D587" s="35"/>
      <c r="E587" s="35"/>
      <c r="F587" s="83"/>
      <c r="G587" s="96">
        <f t="shared" si="31"/>
        <v>0</v>
      </c>
      <c r="H587" s="74" t="e">
        <f t="shared" si="33"/>
        <v>#DIV/0!</v>
      </c>
      <c r="I587" s="74" t="e">
        <f t="shared" si="32"/>
        <v>#DIV/0!</v>
      </c>
      <c r="J587" s="62"/>
    </row>
    <row r="588" spans="1:10" ht="14.25" customHeight="1" x14ac:dyDescent="0.3">
      <c r="A588" s="78"/>
      <c r="B588" s="34"/>
      <c r="C588" s="35"/>
      <c r="D588" s="35"/>
      <c r="E588" s="35"/>
      <c r="F588" s="83"/>
      <c r="G588" s="96">
        <f t="shared" si="31"/>
        <v>0</v>
      </c>
      <c r="H588" s="74" t="e">
        <f t="shared" si="33"/>
        <v>#DIV/0!</v>
      </c>
      <c r="I588" s="74" t="e">
        <f t="shared" si="32"/>
        <v>#DIV/0!</v>
      </c>
      <c r="J588" s="62"/>
    </row>
    <row r="589" spans="1:10" ht="14.25" customHeight="1" x14ac:dyDescent="0.3">
      <c r="A589" s="78"/>
      <c r="B589" s="34"/>
      <c r="C589" s="35"/>
      <c r="D589" s="35"/>
      <c r="E589" s="35"/>
      <c r="F589" s="83"/>
      <c r="G589" s="96">
        <f t="shared" si="31"/>
        <v>0</v>
      </c>
      <c r="H589" s="74" t="e">
        <f t="shared" si="33"/>
        <v>#DIV/0!</v>
      </c>
      <c r="I589" s="74" t="e">
        <f t="shared" si="32"/>
        <v>#DIV/0!</v>
      </c>
      <c r="J589" s="62"/>
    </row>
    <row r="590" spans="1:10" ht="14.25" customHeight="1" x14ac:dyDescent="0.3">
      <c r="A590" s="78"/>
      <c r="B590" s="34"/>
      <c r="C590" s="35"/>
      <c r="D590" s="35"/>
      <c r="E590" s="35"/>
      <c r="F590" s="83"/>
      <c r="G590" s="96">
        <f t="shared" si="31"/>
        <v>0</v>
      </c>
      <c r="H590" s="74" t="e">
        <f t="shared" si="33"/>
        <v>#DIV/0!</v>
      </c>
      <c r="I590" s="74" t="e">
        <f t="shared" si="32"/>
        <v>#DIV/0!</v>
      </c>
      <c r="J590" s="62"/>
    </row>
    <row r="591" spans="1:10" ht="14.25" customHeight="1" x14ac:dyDescent="0.3">
      <c r="A591" s="78"/>
      <c r="B591" s="34"/>
      <c r="C591" s="35"/>
      <c r="D591" s="35"/>
      <c r="E591" s="35"/>
      <c r="F591" s="83"/>
      <c r="G591" s="96">
        <f t="shared" si="31"/>
        <v>0</v>
      </c>
      <c r="H591" s="74" t="e">
        <f t="shared" si="33"/>
        <v>#DIV/0!</v>
      </c>
      <c r="I591" s="74" t="e">
        <f t="shared" si="32"/>
        <v>#DIV/0!</v>
      </c>
      <c r="J591" s="62"/>
    </row>
    <row r="592" spans="1:10" ht="14.25" customHeight="1" x14ac:dyDescent="0.3">
      <c r="A592" s="78"/>
      <c r="B592" s="34"/>
      <c r="C592" s="35"/>
      <c r="D592" s="35"/>
      <c r="E592" s="35"/>
      <c r="F592" s="83"/>
      <c r="G592" s="96">
        <f t="shared" si="31"/>
        <v>0</v>
      </c>
      <c r="H592" s="74" t="e">
        <f t="shared" si="33"/>
        <v>#DIV/0!</v>
      </c>
      <c r="I592" s="74" t="e">
        <f t="shared" si="32"/>
        <v>#DIV/0!</v>
      </c>
      <c r="J592" s="62"/>
    </row>
    <row r="593" spans="1:10" ht="14.25" customHeight="1" x14ac:dyDescent="0.3">
      <c r="A593" s="78"/>
      <c r="B593" s="34"/>
      <c r="C593" s="35"/>
      <c r="D593" s="35"/>
      <c r="E593" s="35"/>
      <c r="F593" s="83"/>
      <c r="G593" s="96">
        <f t="shared" si="31"/>
        <v>0</v>
      </c>
      <c r="H593" s="74" t="e">
        <f t="shared" si="33"/>
        <v>#DIV/0!</v>
      </c>
      <c r="I593" s="74" t="e">
        <f t="shared" si="32"/>
        <v>#DIV/0!</v>
      </c>
      <c r="J593" s="62"/>
    </row>
    <row r="594" spans="1:10" ht="14.25" customHeight="1" x14ac:dyDescent="0.3">
      <c r="A594" s="78"/>
      <c r="B594" s="34"/>
      <c r="C594" s="35"/>
      <c r="D594" s="35"/>
      <c r="E594" s="35"/>
      <c r="F594" s="83"/>
      <c r="G594" s="96">
        <f t="shared" si="31"/>
        <v>0</v>
      </c>
      <c r="H594" s="74" t="e">
        <f t="shared" si="33"/>
        <v>#DIV/0!</v>
      </c>
      <c r="I594" s="74" t="e">
        <f t="shared" si="32"/>
        <v>#DIV/0!</v>
      </c>
      <c r="J594" s="62"/>
    </row>
    <row r="595" spans="1:10" ht="14.25" customHeight="1" x14ac:dyDescent="0.3">
      <c r="A595" s="78"/>
      <c r="B595" s="34"/>
      <c r="C595" s="35"/>
      <c r="D595" s="35"/>
      <c r="E595" s="35"/>
      <c r="F595" s="83"/>
      <c r="G595" s="96">
        <f t="shared" si="31"/>
        <v>0</v>
      </c>
      <c r="H595" s="74" t="e">
        <f t="shared" si="33"/>
        <v>#DIV/0!</v>
      </c>
      <c r="I595" s="74" t="e">
        <f t="shared" si="32"/>
        <v>#DIV/0!</v>
      </c>
      <c r="J595" s="62"/>
    </row>
    <row r="596" spans="1:10" ht="14.25" customHeight="1" x14ac:dyDescent="0.3">
      <c r="A596" s="78"/>
      <c r="B596" s="34"/>
      <c r="C596" s="35"/>
      <c r="D596" s="35"/>
      <c r="E596" s="35"/>
      <c r="F596" s="83"/>
      <c r="G596" s="96">
        <f t="shared" si="31"/>
        <v>0</v>
      </c>
      <c r="H596" s="74" t="e">
        <f t="shared" si="33"/>
        <v>#DIV/0!</v>
      </c>
      <c r="I596" s="74" t="e">
        <f t="shared" si="32"/>
        <v>#DIV/0!</v>
      </c>
      <c r="J596" s="62"/>
    </row>
    <row r="597" spans="1:10" ht="14.25" customHeight="1" x14ac:dyDescent="0.3">
      <c r="A597" s="78"/>
      <c r="B597" s="34"/>
      <c r="C597" s="35"/>
      <c r="D597" s="35"/>
      <c r="E597" s="35"/>
      <c r="F597" s="83"/>
      <c r="G597" s="96">
        <f t="shared" si="31"/>
        <v>0</v>
      </c>
      <c r="H597" s="74" t="e">
        <f t="shared" si="33"/>
        <v>#DIV/0!</v>
      </c>
      <c r="I597" s="74" t="e">
        <f t="shared" si="32"/>
        <v>#DIV/0!</v>
      </c>
      <c r="J597" s="62"/>
    </row>
    <row r="598" spans="1:10" ht="14.25" customHeight="1" x14ac:dyDescent="0.3">
      <c r="A598" s="78"/>
      <c r="B598" s="34"/>
      <c r="C598" s="35"/>
      <c r="D598" s="35"/>
      <c r="E598" s="35"/>
      <c r="F598" s="83"/>
      <c r="G598" s="96">
        <f t="shared" si="31"/>
        <v>0</v>
      </c>
      <c r="H598" s="74" t="e">
        <f t="shared" si="33"/>
        <v>#DIV/0!</v>
      </c>
      <c r="I598" s="74" t="e">
        <f t="shared" si="32"/>
        <v>#DIV/0!</v>
      </c>
      <c r="J598" s="62"/>
    </row>
    <row r="599" spans="1:10" ht="14.25" customHeight="1" x14ac:dyDescent="0.3">
      <c r="A599" s="78"/>
      <c r="B599" s="34"/>
      <c r="C599" s="35"/>
      <c r="D599" s="35"/>
      <c r="E599" s="35"/>
      <c r="F599" s="83"/>
      <c r="G599" s="96">
        <f t="shared" si="31"/>
        <v>0</v>
      </c>
      <c r="H599" s="74" t="e">
        <f t="shared" si="33"/>
        <v>#DIV/0!</v>
      </c>
      <c r="I599" s="74" t="e">
        <f t="shared" si="32"/>
        <v>#DIV/0!</v>
      </c>
      <c r="J599" s="62"/>
    </row>
    <row r="600" spans="1:10" ht="14.25" customHeight="1" x14ac:dyDescent="0.3">
      <c r="A600" s="78"/>
      <c r="B600" s="34"/>
      <c r="C600" s="35"/>
      <c r="D600" s="35"/>
      <c r="E600" s="35"/>
      <c r="F600" s="83"/>
      <c r="G600" s="96">
        <f t="shared" si="31"/>
        <v>0</v>
      </c>
      <c r="H600" s="74" t="e">
        <f t="shared" si="33"/>
        <v>#DIV/0!</v>
      </c>
      <c r="I600" s="74" t="e">
        <f t="shared" si="32"/>
        <v>#DIV/0!</v>
      </c>
      <c r="J600" s="62"/>
    </row>
    <row r="601" spans="1:10" ht="14.25" customHeight="1" x14ac:dyDescent="0.3">
      <c r="A601" s="78"/>
      <c r="B601" s="34"/>
      <c r="C601" s="35"/>
      <c r="D601" s="35"/>
      <c r="E601" s="35"/>
      <c r="F601" s="83"/>
      <c r="G601" s="96">
        <f t="shared" si="31"/>
        <v>0</v>
      </c>
      <c r="H601" s="74" t="e">
        <f t="shared" si="33"/>
        <v>#DIV/0!</v>
      </c>
      <c r="I601" s="74" t="e">
        <f t="shared" si="32"/>
        <v>#DIV/0!</v>
      </c>
      <c r="J601" s="62"/>
    </row>
    <row r="602" spans="1:10" ht="14.25" customHeight="1" x14ac:dyDescent="0.3">
      <c r="A602" s="78"/>
      <c r="B602" s="34"/>
      <c r="C602" s="35"/>
      <c r="D602" s="35"/>
      <c r="E602" s="35"/>
      <c r="F602" s="83"/>
      <c r="G602" s="96">
        <f t="shared" si="31"/>
        <v>0</v>
      </c>
      <c r="H602" s="74" t="e">
        <f t="shared" si="33"/>
        <v>#DIV/0!</v>
      </c>
      <c r="I602" s="74" t="e">
        <f t="shared" si="32"/>
        <v>#DIV/0!</v>
      </c>
      <c r="J602" s="62"/>
    </row>
    <row r="603" spans="1:10" ht="14.25" customHeight="1" x14ac:dyDescent="0.3">
      <c r="A603" s="78"/>
      <c r="B603" s="34"/>
      <c r="C603" s="35"/>
      <c r="D603" s="35"/>
      <c r="E603" s="35"/>
      <c r="F603" s="83"/>
      <c r="G603" s="96">
        <f t="shared" si="31"/>
        <v>0</v>
      </c>
      <c r="H603" s="74" t="e">
        <f t="shared" si="33"/>
        <v>#DIV/0!</v>
      </c>
      <c r="I603" s="74" t="e">
        <f t="shared" si="32"/>
        <v>#DIV/0!</v>
      </c>
      <c r="J603" s="62"/>
    </row>
    <row r="604" spans="1:10" ht="14.25" customHeight="1" x14ac:dyDescent="0.3">
      <c r="A604" s="78"/>
      <c r="B604" s="34"/>
      <c r="C604" s="35"/>
      <c r="D604" s="35"/>
      <c r="E604" s="35"/>
      <c r="F604" s="83"/>
      <c r="G604" s="96">
        <f t="shared" si="31"/>
        <v>0</v>
      </c>
      <c r="H604" s="74" t="e">
        <f t="shared" si="33"/>
        <v>#DIV/0!</v>
      </c>
      <c r="I604" s="74" t="e">
        <f t="shared" si="32"/>
        <v>#DIV/0!</v>
      </c>
      <c r="J604" s="62"/>
    </row>
    <row r="605" spans="1:10" ht="14.25" customHeight="1" x14ac:dyDescent="0.3">
      <c r="A605" s="78"/>
      <c r="B605" s="34"/>
      <c r="C605" s="35"/>
      <c r="D605" s="35"/>
      <c r="E605" s="35"/>
      <c r="F605" s="83"/>
      <c r="G605" s="96">
        <f t="shared" si="31"/>
        <v>0</v>
      </c>
      <c r="H605" s="74" t="e">
        <f t="shared" si="33"/>
        <v>#DIV/0!</v>
      </c>
      <c r="I605" s="74" t="e">
        <f t="shared" si="32"/>
        <v>#DIV/0!</v>
      </c>
      <c r="J605" s="62"/>
    </row>
    <row r="606" spans="1:10" ht="14.25" customHeight="1" x14ac:dyDescent="0.3">
      <c r="A606" s="78"/>
      <c r="B606" s="34"/>
      <c r="C606" s="35"/>
      <c r="D606" s="35"/>
      <c r="E606" s="35"/>
      <c r="F606" s="83"/>
      <c r="G606" s="96">
        <f t="shared" si="31"/>
        <v>0</v>
      </c>
      <c r="H606" s="74" t="e">
        <f t="shared" si="33"/>
        <v>#DIV/0!</v>
      </c>
      <c r="I606" s="74" t="e">
        <f t="shared" si="32"/>
        <v>#DIV/0!</v>
      </c>
      <c r="J606" s="62"/>
    </row>
    <row r="607" spans="1:10" ht="14.25" customHeight="1" x14ac:dyDescent="0.3">
      <c r="A607" s="78"/>
      <c r="B607" s="34"/>
      <c r="C607" s="35"/>
      <c r="D607" s="35"/>
      <c r="E607" s="35"/>
      <c r="F607" s="83"/>
      <c r="G607" s="96">
        <f t="shared" si="31"/>
        <v>0</v>
      </c>
      <c r="H607" s="74" t="e">
        <f t="shared" si="33"/>
        <v>#DIV/0!</v>
      </c>
      <c r="I607" s="74" t="e">
        <f t="shared" si="32"/>
        <v>#DIV/0!</v>
      </c>
      <c r="J607" s="62"/>
    </row>
    <row r="608" spans="1:10" ht="14.25" customHeight="1" x14ac:dyDescent="0.3">
      <c r="A608" s="78"/>
      <c r="B608" s="34"/>
      <c r="C608" s="35"/>
      <c r="D608" s="35"/>
      <c r="E608" s="35"/>
      <c r="F608" s="83"/>
      <c r="G608" s="96">
        <f t="shared" si="31"/>
        <v>0</v>
      </c>
      <c r="H608" s="74" t="e">
        <f t="shared" si="33"/>
        <v>#DIV/0!</v>
      </c>
      <c r="I608" s="74" t="e">
        <f t="shared" si="32"/>
        <v>#DIV/0!</v>
      </c>
      <c r="J608" s="62"/>
    </row>
    <row r="609" spans="1:10" ht="14.25" customHeight="1" x14ac:dyDescent="0.3">
      <c r="A609" s="78"/>
      <c r="B609" s="34"/>
      <c r="C609" s="35"/>
      <c r="D609" s="35"/>
      <c r="E609" s="35"/>
      <c r="F609" s="83"/>
      <c r="G609" s="96">
        <f t="shared" si="31"/>
        <v>0</v>
      </c>
      <c r="H609" s="74" t="e">
        <f t="shared" si="33"/>
        <v>#DIV/0!</v>
      </c>
      <c r="I609" s="74" t="e">
        <f t="shared" si="32"/>
        <v>#DIV/0!</v>
      </c>
      <c r="J609" s="62"/>
    </row>
    <row r="610" spans="1:10" ht="14.25" customHeight="1" x14ac:dyDescent="0.3">
      <c r="A610" s="78"/>
      <c r="B610" s="34"/>
      <c r="C610" s="35"/>
      <c r="D610" s="35"/>
      <c r="E610" s="35"/>
      <c r="F610" s="83"/>
      <c r="G610" s="96">
        <f t="shared" si="31"/>
        <v>0</v>
      </c>
      <c r="H610" s="74" t="e">
        <f t="shared" si="33"/>
        <v>#DIV/0!</v>
      </c>
      <c r="I610" s="74" t="e">
        <f t="shared" si="32"/>
        <v>#DIV/0!</v>
      </c>
      <c r="J610" s="62"/>
    </row>
    <row r="611" spans="1:10" ht="14.25" customHeight="1" x14ac:dyDescent="0.3">
      <c r="A611" s="78"/>
      <c r="B611" s="34"/>
      <c r="C611" s="35"/>
      <c r="D611" s="35"/>
      <c r="E611" s="35"/>
      <c r="F611" s="83"/>
      <c r="G611" s="96">
        <f t="shared" si="31"/>
        <v>0</v>
      </c>
      <c r="H611" s="74" t="e">
        <f t="shared" si="33"/>
        <v>#DIV/0!</v>
      </c>
      <c r="I611" s="74" t="e">
        <f t="shared" si="32"/>
        <v>#DIV/0!</v>
      </c>
      <c r="J611" s="62"/>
    </row>
    <row r="612" spans="1:10" ht="14.25" customHeight="1" x14ac:dyDescent="0.3">
      <c r="A612" s="78"/>
      <c r="B612" s="34"/>
      <c r="C612" s="35"/>
      <c r="D612" s="35"/>
      <c r="E612" s="35"/>
      <c r="F612" s="83"/>
      <c r="G612" s="96">
        <f t="shared" si="31"/>
        <v>0</v>
      </c>
      <c r="H612" s="74" t="e">
        <f t="shared" si="33"/>
        <v>#DIV/0!</v>
      </c>
      <c r="I612" s="74" t="e">
        <f t="shared" si="32"/>
        <v>#DIV/0!</v>
      </c>
      <c r="J612" s="62"/>
    </row>
    <row r="613" spans="1:10" ht="14.25" customHeight="1" x14ac:dyDescent="0.3">
      <c r="A613" s="78"/>
      <c r="B613" s="34"/>
      <c r="C613" s="35"/>
      <c r="D613" s="35"/>
      <c r="E613" s="35"/>
      <c r="F613" s="83"/>
      <c r="G613" s="96">
        <f t="shared" si="31"/>
        <v>0</v>
      </c>
      <c r="H613" s="74" t="e">
        <f t="shared" si="33"/>
        <v>#DIV/0!</v>
      </c>
      <c r="I613" s="74" t="e">
        <f t="shared" si="32"/>
        <v>#DIV/0!</v>
      </c>
      <c r="J613" s="62"/>
    </row>
    <row r="614" spans="1:10" ht="14.25" customHeight="1" x14ac:dyDescent="0.3">
      <c r="A614" s="78"/>
      <c r="B614" s="34"/>
      <c r="C614" s="35"/>
      <c r="D614" s="35"/>
      <c r="E614" s="35"/>
      <c r="F614" s="83"/>
      <c r="G614" s="96">
        <f t="shared" si="31"/>
        <v>0</v>
      </c>
      <c r="H614" s="74" t="e">
        <f t="shared" si="33"/>
        <v>#DIV/0!</v>
      </c>
      <c r="I614" s="74" t="e">
        <f t="shared" si="32"/>
        <v>#DIV/0!</v>
      </c>
      <c r="J614" s="62"/>
    </row>
    <row r="615" spans="1:10" ht="14.25" customHeight="1" x14ac:dyDescent="0.3">
      <c r="A615" s="78"/>
      <c r="B615" s="34"/>
      <c r="C615" s="35"/>
      <c r="D615" s="35"/>
      <c r="E615" s="35"/>
      <c r="F615" s="83"/>
      <c r="G615" s="96">
        <f t="shared" si="31"/>
        <v>0</v>
      </c>
      <c r="H615" s="74" t="e">
        <f t="shared" si="33"/>
        <v>#DIV/0!</v>
      </c>
      <c r="I615" s="74" t="e">
        <f t="shared" si="32"/>
        <v>#DIV/0!</v>
      </c>
      <c r="J615" s="62"/>
    </row>
    <row r="616" spans="1:10" ht="14.25" customHeight="1" x14ac:dyDescent="0.3">
      <c r="A616" s="78"/>
      <c r="B616" s="34"/>
      <c r="C616" s="35"/>
      <c r="D616" s="35"/>
      <c r="E616" s="35"/>
      <c r="F616" s="83"/>
      <c r="G616" s="96">
        <f t="shared" si="31"/>
        <v>0</v>
      </c>
      <c r="H616" s="74" t="e">
        <f t="shared" si="33"/>
        <v>#DIV/0!</v>
      </c>
      <c r="I616" s="74" t="e">
        <f t="shared" si="32"/>
        <v>#DIV/0!</v>
      </c>
      <c r="J616" s="62"/>
    </row>
    <row r="617" spans="1:10" ht="14.25" customHeight="1" x14ac:dyDescent="0.3">
      <c r="A617" s="78"/>
      <c r="B617" s="34"/>
      <c r="C617" s="35"/>
      <c r="D617" s="35"/>
      <c r="E617" s="35"/>
      <c r="F617" s="83"/>
      <c r="G617" s="96">
        <f t="shared" si="31"/>
        <v>0</v>
      </c>
      <c r="H617" s="74" t="e">
        <f t="shared" si="33"/>
        <v>#DIV/0!</v>
      </c>
      <c r="I617" s="74" t="e">
        <f t="shared" si="32"/>
        <v>#DIV/0!</v>
      </c>
      <c r="J617" s="62"/>
    </row>
    <row r="618" spans="1:10" ht="14.25" customHeight="1" x14ac:dyDescent="0.3">
      <c r="A618" s="78"/>
      <c r="B618" s="34"/>
      <c r="C618" s="35"/>
      <c r="D618" s="35"/>
      <c r="E618" s="35"/>
      <c r="F618" s="83"/>
      <c r="G618" s="96">
        <f t="shared" si="31"/>
        <v>0</v>
      </c>
      <c r="H618" s="74" t="e">
        <f t="shared" si="33"/>
        <v>#DIV/0!</v>
      </c>
      <c r="I618" s="74" t="e">
        <f t="shared" si="32"/>
        <v>#DIV/0!</v>
      </c>
      <c r="J618" s="62"/>
    </row>
    <row r="619" spans="1:10" ht="14.25" customHeight="1" x14ac:dyDescent="0.3">
      <c r="A619" s="78"/>
      <c r="B619" s="34"/>
      <c r="C619" s="35"/>
      <c r="D619" s="35"/>
      <c r="E619" s="35"/>
      <c r="F619" s="83"/>
      <c r="G619" s="96">
        <f t="shared" si="31"/>
        <v>0</v>
      </c>
      <c r="H619" s="74" t="e">
        <f t="shared" si="33"/>
        <v>#DIV/0!</v>
      </c>
      <c r="I619" s="74" t="e">
        <f t="shared" si="32"/>
        <v>#DIV/0!</v>
      </c>
      <c r="J619" s="62"/>
    </row>
    <row r="620" spans="1:10" ht="14.25" customHeight="1" x14ac:dyDescent="0.3">
      <c r="A620" s="78"/>
      <c r="B620" s="34"/>
      <c r="C620" s="35"/>
      <c r="D620" s="35"/>
      <c r="E620" s="35"/>
      <c r="F620" s="83"/>
      <c r="G620" s="96">
        <f t="shared" si="31"/>
        <v>0</v>
      </c>
      <c r="H620" s="74" t="e">
        <f t="shared" si="33"/>
        <v>#DIV/0!</v>
      </c>
      <c r="I620" s="74" t="e">
        <f t="shared" si="32"/>
        <v>#DIV/0!</v>
      </c>
      <c r="J620" s="62"/>
    </row>
    <row r="621" spans="1:10" ht="14.25" customHeight="1" x14ac:dyDescent="0.3">
      <c r="A621" s="78"/>
      <c r="B621" s="34"/>
      <c r="C621" s="35"/>
      <c r="D621" s="35"/>
      <c r="E621" s="35"/>
      <c r="F621" s="83"/>
      <c r="G621" s="96">
        <f t="shared" si="31"/>
        <v>0</v>
      </c>
      <c r="H621" s="74" t="e">
        <f t="shared" si="33"/>
        <v>#DIV/0!</v>
      </c>
      <c r="I621" s="74" t="e">
        <f t="shared" si="32"/>
        <v>#DIV/0!</v>
      </c>
      <c r="J621" s="62"/>
    </row>
    <row r="622" spans="1:10" ht="14.25" customHeight="1" x14ac:dyDescent="0.3">
      <c r="A622" s="78"/>
      <c r="B622" s="34"/>
      <c r="C622" s="35"/>
      <c r="D622" s="35"/>
      <c r="E622" s="35"/>
      <c r="F622" s="83"/>
      <c r="G622" s="96">
        <f t="shared" si="31"/>
        <v>0</v>
      </c>
      <c r="H622" s="74" t="e">
        <f t="shared" si="33"/>
        <v>#DIV/0!</v>
      </c>
      <c r="I622" s="74" t="e">
        <f t="shared" si="32"/>
        <v>#DIV/0!</v>
      </c>
      <c r="J622" s="62"/>
    </row>
    <row r="623" spans="1:10" ht="14.25" customHeight="1" x14ac:dyDescent="0.3">
      <c r="A623" s="78"/>
      <c r="B623" s="34"/>
      <c r="C623" s="35"/>
      <c r="D623" s="35"/>
      <c r="E623" s="35"/>
      <c r="F623" s="83"/>
      <c r="G623" s="96">
        <f t="shared" si="31"/>
        <v>0</v>
      </c>
      <c r="H623" s="74" t="e">
        <f t="shared" si="33"/>
        <v>#DIV/0!</v>
      </c>
      <c r="I623" s="74" t="e">
        <f t="shared" si="32"/>
        <v>#DIV/0!</v>
      </c>
      <c r="J623" s="62"/>
    </row>
    <row r="624" spans="1:10" ht="14.25" customHeight="1" x14ac:dyDescent="0.3">
      <c r="A624" s="78"/>
      <c r="B624" s="34"/>
      <c r="C624" s="35"/>
      <c r="D624" s="35"/>
      <c r="E624" s="35"/>
      <c r="F624" s="83"/>
      <c r="G624" s="96">
        <f t="shared" si="31"/>
        <v>0</v>
      </c>
      <c r="H624" s="74" t="e">
        <f t="shared" si="33"/>
        <v>#DIV/0!</v>
      </c>
      <c r="I624" s="74" t="e">
        <f t="shared" si="32"/>
        <v>#DIV/0!</v>
      </c>
      <c r="J624" s="62"/>
    </row>
    <row r="625" spans="1:10" ht="14.25" customHeight="1" x14ac:dyDescent="0.3">
      <c r="A625" s="78"/>
      <c r="B625" s="34"/>
      <c r="C625" s="35"/>
      <c r="D625" s="35"/>
      <c r="E625" s="35"/>
      <c r="F625" s="83"/>
      <c r="G625" s="96">
        <f t="shared" si="31"/>
        <v>0</v>
      </c>
      <c r="H625" s="74" t="e">
        <f t="shared" si="33"/>
        <v>#DIV/0!</v>
      </c>
      <c r="I625" s="74" t="e">
        <f t="shared" si="32"/>
        <v>#DIV/0!</v>
      </c>
      <c r="J625" s="62"/>
    </row>
    <row r="626" spans="1:10" ht="14.25" customHeight="1" x14ac:dyDescent="0.3">
      <c r="A626" s="78"/>
      <c r="B626" s="34"/>
      <c r="C626" s="35"/>
      <c r="D626" s="35"/>
      <c r="E626" s="35"/>
      <c r="F626" s="83"/>
      <c r="G626" s="96">
        <f t="shared" si="31"/>
        <v>0</v>
      </c>
      <c r="H626" s="74" t="e">
        <f t="shared" si="33"/>
        <v>#DIV/0!</v>
      </c>
      <c r="I626" s="74" t="e">
        <f t="shared" si="32"/>
        <v>#DIV/0!</v>
      </c>
      <c r="J626" s="62"/>
    </row>
    <row r="627" spans="1:10" ht="14.25" customHeight="1" x14ac:dyDescent="0.3">
      <c r="A627" s="78"/>
      <c r="B627" s="34"/>
      <c r="C627" s="35"/>
      <c r="D627" s="35"/>
      <c r="E627" s="35"/>
      <c r="F627" s="83"/>
      <c r="G627" s="96">
        <f t="shared" si="31"/>
        <v>0</v>
      </c>
      <c r="H627" s="74" t="e">
        <f t="shared" si="33"/>
        <v>#DIV/0!</v>
      </c>
      <c r="I627" s="74" t="e">
        <f t="shared" si="32"/>
        <v>#DIV/0!</v>
      </c>
      <c r="J627" s="62"/>
    </row>
    <row r="628" spans="1:10" ht="14.25" customHeight="1" x14ac:dyDescent="0.3">
      <c r="A628" s="78"/>
      <c r="B628" s="34"/>
      <c r="C628" s="35"/>
      <c r="D628" s="35"/>
      <c r="E628" s="35"/>
      <c r="F628" s="83"/>
      <c r="G628" s="96">
        <f t="shared" si="31"/>
        <v>0</v>
      </c>
      <c r="H628" s="74" t="e">
        <f t="shared" si="33"/>
        <v>#DIV/0!</v>
      </c>
      <c r="I628" s="74" t="e">
        <f t="shared" si="32"/>
        <v>#DIV/0!</v>
      </c>
      <c r="J628" s="62"/>
    </row>
    <row r="629" spans="1:10" ht="14.25" customHeight="1" x14ac:dyDescent="0.3">
      <c r="A629" s="78"/>
      <c r="B629" s="34"/>
      <c r="C629" s="35"/>
      <c r="D629" s="35"/>
      <c r="E629" s="35"/>
      <c r="F629" s="83"/>
      <c r="G629" s="96">
        <f t="shared" si="31"/>
        <v>0</v>
      </c>
      <c r="H629" s="74" t="e">
        <f t="shared" si="33"/>
        <v>#DIV/0!</v>
      </c>
      <c r="I629" s="74" t="e">
        <f t="shared" si="32"/>
        <v>#DIV/0!</v>
      </c>
      <c r="J629" s="62"/>
    </row>
    <row r="630" spans="1:10" ht="14.25" customHeight="1" x14ac:dyDescent="0.3">
      <c r="A630" s="78"/>
      <c r="B630" s="34"/>
      <c r="C630" s="35"/>
      <c r="D630" s="35"/>
      <c r="E630" s="35"/>
      <c r="F630" s="83"/>
      <c r="G630" s="96">
        <f t="shared" si="31"/>
        <v>0</v>
      </c>
      <c r="H630" s="74" t="e">
        <f t="shared" si="33"/>
        <v>#DIV/0!</v>
      </c>
      <c r="I630" s="74" t="e">
        <f t="shared" si="32"/>
        <v>#DIV/0!</v>
      </c>
      <c r="J630" s="62"/>
    </row>
    <row r="631" spans="1:10" ht="14.25" customHeight="1" x14ac:dyDescent="0.3">
      <c r="A631" s="78"/>
      <c r="B631" s="34"/>
      <c r="C631" s="35"/>
      <c r="D631" s="35"/>
      <c r="E631" s="35"/>
      <c r="F631" s="83"/>
      <c r="G631" s="96">
        <f t="shared" si="31"/>
        <v>0</v>
      </c>
      <c r="H631" s="74" t="e">
        <f t="shared" si="33"/>
        <v>#DIV/0!</v>
      </c>
      <c r="I631" s="74" t="e">
        <f t="shared" si="32"/>
        <v>#DIV/0!</v>
      </c>
      <c r="J631" s="62"/>
    </row>
    <row r="632" spans="1:10" ht="14.25" customHeight="1" x14ac:dyDescent="0.3">
      <c r="A632" s="78"/>
      <c r="B632" s="34"/>
      <c r="C632" s="35"/>
      <c r="D632" s="35"/>
      <c r="E632" s="35"/>
      <c r="F632" s="83"/>
      <c r="G632" s="96">
        <f t="shared" si="31"/>
        <v>0</v>
      </c>
      <c r="H632" s="74" t="e">
        <f t="shared" si="33"/>
        <v>#DIV/0!</v>
      </c>
      <c r="I632" s="74" t="e">
        <f t="shared" si="32"/>
        <v>#DIV/0!</v>
      </c>
      <c r="J632" s="62"/>
    </row>
    <row r="633" spans="1:10" ht="14.25" customHeight="1" x14ac:dyDescent="0.3">
      <c r="A633" s="78"/>
      <c r="B633" s="34"/>
      <c r="C633" s="35"/>
      <c r="D633" s="35"/>
      <c r="E633" s="35"/>
      <c r="F633" s="83"/>
      <c r="G633" s="96">
        <f t="shared" si="31"/>
        <v>0</v>
      </c>
      <c r="H633" s="74" t="e">
        <f t="shared" si="33"/>
        <v>#DIV/0!</v>
      </c>
      <c r="I633" s="74" t="e">
        <f t="shared" si="32"/>
        <v>#DIV/0!</v>
      </c>
      <c r="J633" s="62"/>
    </row>
    <row r="634" spans="1:10" ht="14.25" customHeight="1" x14ac:dyDescent="0.3">
      <c r="A634" s="78"/>
      <c r="B634" s="34"/>
      <c r="C634" s="35"/>
      <c r="D634" s="35"/>
      <c r="E634" s="35"/>
      <c r="F634" s="83"/>
      <c r="G634" s="96">
        <f t="shared" si="31"/>
        <v>0</v>
      </c>
      <c r="H634" s="74" t="e">
        <f t="shared" si="33"/>
        <v>#DIV/0!</v>
      </c>
      <c r="I634" s="74" t="e">
        <f t="shared" si="32"/>
        <v>#DIV/0!</v>
      </c>
      <c r="J634" s="62"/>
    </row>
    <row r="635" spans="1:10" ht="14.25" customHeight="1" x14ac:dyDescent="0.3">
      <c r="A635" s="78"/>
      <c r="B635" s="34"/>
      <c r="C635" s="35"/>
      <c r="D635" s="35"/>
      <c r="E635" s="35"/>
      <c r="F635" s="83"/>
      <c r="G635" s="96">
        <f t="shared" si="31"/>
        <v>0</v>
      </c>
      <c r="H635" s="74" t="e">
        <f t="shared" si="33"/>
        <v>#DIV/0!</v>
      </c>
      <c r="I635" s="74" t="e">
        <f t="shared" si="32"/>
        <v>#DIV/0!</v>
      </c>
      <c r="J635" s="62"/>
    </row>
    <row r="636" spans="1:10" ht="14.25" customHeight="1" x14ac:dyDescent="0.3">
      <c r="A636" s="78"/>
      <c r="B636" s="34"/>
      <c r="C636" s="35"/>
      <c r="D636" s="35"/>
      <c r="E636" s="35"/>
      <c r="F636" s="83"/>
      <c r="G636" s="96">
        <f t="shared" si="31"/>
        <v>0</v>
      </c>
      <c r="H636" s="74" t="e">
        <f t="shared" si="33"/>
        <v>#DIV/0!</v>
      </c>
      <c r="I636" s="74" t="e">
        <f t="shared" si="32"/>
        <v>#DIV/0!</v>
      </c>
      <c r="J636" s="62"/>
    </row>
    <row r="637" spans="1:10" ht="14.25" customHeight="1" x14ac:dyDescent="0.3">
      <c r="A637" s="78"/>
      <c r="B637" s="34"/>
      <c r="C637" s="35"/>
      <c r="D637" s="35"/>
      <c r="E637" s="35"/>
      <c r="F637" s="83"/>
      <c r="G637" s="96">
        <f t="shared" si="31"/>
        <v>0</v>
      </c>
      <c r="H637" s="74" t="e">
        <f t="shared" si="33"/>
        <v>#DIV/0!</v>
      </c>
      <c r="I637" s="74" t="e">
        <f t="shared" si="32"/>
        <v>#DIV/0!</v>
      </c>
      <c r="J637" s="62"/>
    </row>
    <row r="638" spans="1:10" ht="14.25" customHeight="1" x14ac:dyDescent="0.3">
      <c r="A638" s="78"/>
      <c r="B638" s="34"/>
      <c r="C638" s="35"/>
      <c r="D638" s="35"/>
      <c r="E638" s="35"/>
      <c r="F638" s="83"/>
      <c r="G638" s="96">
        <f t="shared" si="31"/>
        <v>0</v>
      </c>
      <c r="H638" s="74" t="e">
        <f t="shared" si="33"/>
        <v>#DIV/0!</v>
      </c>
      <c r="I638" s="74" t="e">
        <f t="shared" si="32"/>
        <v>#DIV/0!</v>
      </c>
      <c r="J638" s="62"/>
    </row>
    <row r="639" spans="1:10" ht="14.25" customHeight="1" x14ac:dyDescent="0.3">
      <c r="A639" s="78"/>
      <c r="B639" s="34"/>
      <c r="C639" s="35"/>
      <c r="D639" s="35"/>
      <c r="E639" s="35"/>
      <c r="F639" s="83"/>
      <c r="G639" s="96">
        <f t="shared" si="31"/>
        <v>0</v>
      </c>
      <c r="H639" s="74" t="e">
        <f t="shared" si="33"/>
        <v>#DIV/0!</v>
      </c>
      <c r="I639" s="74" t="e">
        <f t="shared" si="32"/>
        <v>#DIV/0!</v>
      </c>
      <c r="J639" s="62"/>
    </row>
    <row r="640" spans="1:10" ht="14.25" customHeight="1" x14ac:dyDescent="0.3">
      <c r="A640" s="78"/>
      <c r="B640" s="34"/>
      <c r="C640" s="35"/>
      <c r="D640" s="35"/>
      <c r="E640" s="35"/>
      <c r="F640" s="83"/>
      <c r="G640" s="96">
        <f t="shared" si="31"/>
        <v>0</v>
      </c>
      <c r="H640" s="74" t="e">
        <f t="shared" si="33"/>
        <v>#DIV/0!</v>
      </c>
      <c r="I640" s="74" t="e">
        <f t="shared" si="32"/>
        <v>#DIV/0!</v>
      </c>
      <c r="J640" s="62"/>
    </row>
    <row r="641" spans="1:10" ht="14.25" customHeight="1" x14ac:dyDescent="0.3">
      <c r="A641" s="78"/>
      <c r="B641" s="34"/>
      <c r="C641" s="35"/>
      <c r="D641" s="35"/>
      <c r="E641" s="35"/>
      <c r="F641" s="83"/>
      <c r="G641" s="96">
        <f t="shared" si="31"/>
        <v>0</v>
      </c>
      <c r="H641" s="74" t="e">
        <f t="shared" si="33"/>
        <v>#DIV/0!</v>
      </c>
      <c r="I641" s="74" t="e">
        <f t="shared" si="32"/>
        <v>#DIV/0!</v>
      </c>
      <c r="J641" s="62"/>
    </row>
    <row r="642" spans="1:10" ht="14.25" customHeight="1" x14ac:dyDescent="0.3">
      <c r="A642" s="78"/>
      <c r="B642" s="34"/>
      <c r="C642" s="35"/>
      <c r="D642" s="35"/>
      <c r="E642" s="35"/>
      <c r="F642" s="83"/>
      <c r="G642" s="96">
        <f t="shared" ref="G642:G705" si="34">C642-D642</f>
        <v>0</v>
      </c>
      <c r="H642" s="74" t="e">
        <f t="shared" si="33"/>
        <v>#DIV/0!</v>
      </c>
      <c r="I642" s="74" t="e">
        <f t="shared" ref="I642:I705" si="35">(C642 - D642) / (E642 - C642)</f>
        <v>#DIV/0!</v>
      </c>
      <c r="J642" s="62"/>
    </row>
    <row r="643" spans="1:10" ht="14.25" customHeight="1" x14ac:dyDescent="0.3">
      <c r="A643" s="78"/>
      <c r="B643" s="34"/>
      <c r="C643" s="35"/>
      <c r="D643" s="35"/>
      <c r="E643" s="35"/>
      <c r="F643" s="83"/>
      <c r="G643" s="96">
        <f t="shared" si="34"/>
        <v>0</v>
      </c>
      <c r="H643" s="74" t="e">
        <f t="shared" si="33"/>
        <v>#DIV/0!</v>
      </c>
      <c r="I643" s="74" t="e">
        <f t="shared" si="35"/>
        <v>#DIV/0!</v>
      </c>
      <c r="J643" s="62"/>
    </row>
    <row r="644" spans="1:10" ht="14.25" customHeight="1" x14ac:dyDescent="0.3">
      <c r="A644" s="78"/>
      <c r="B644" s="34"/>
      <c r="C644" s="35"/>
      <c r="D644" s="35"/>
      <c r="E644" s="35"/>
      <c r="F644" s="83"/>
      <c r="G644" s="96">
        <f t="shared" si="34"/>
        <v>0</v>
      </c>
      <c r="H644" s="74" t="e">
        <f t="shared" si="33"/>
        <v>#DIV/0!</v>
      </c>
      <c r="I644" s="74" t="e">
        <f t="shared" si="35"/>
        <v>#DIV/0!</v>
      </c>
      <c r="J644" s="62"/>
    </row>
    <row r="645" spans="1:10" ht="14.25" customHeight="1" x14ac:dyDescent="0.3">
      <c r="A645" s="78"/>
      <c r="B645" s="34"/>
      <c r="C645" s="35"/>
      <c r="D645" s="35"/>
      <c r="E645" s="35"/>
      <c r="F645" s="83"/>
      <c r="G645" s="96">
        <f t="shared" si="34"/>
        <v>0</v>
      </c>
      <c r="H645" s="74" t="e">
        <f t="shared" si="33"/>
        <v>#DIV/0!</v>
      </c>
      <c r="I645" s="74" t="e">
        <f t="shared" si="35"/>
        <v>#DIV/0!</v>
      </c>
      <c r="J645" s="62"/>
    </row>
    <row r="646" spans="1:10" ht="14.25" customHeight="1" x14ac:dyDescent="0.3">
      <c r="A646" s="78"/>
      <c r="B646" s="34"/>
      <c r="C646" s="35"/>
      <c r="D646" s="35"/>
      <c r="E646" s="35"/>
      <c r="F646" s="83"/>
      <c r="G646" s="96">
        <f t="shared" si="34"/>
        <v>0</v>
      </c>
      <c r="H646" s="74" t="e">
        <f t="shared" si="33"/>
        <v>#DIV/0!</v>
      </c>
      <c r="I646" s="74" t="e">
        <f t="shared" si="35"/>
        <v>#DIV/0!</v>
      </c>
      <c r="J646" s="62"/>
    </row>
    <row r="647" spans="1:10" ht="14.25" customHeight="1" x14ac:dyDescent="0.3">
      <c r="A647" s="78"/>
      <c r="B647" s="34"/>
      <c r="C647" s="35"/>
      <c r="D647" s="35"/>
      <c r="E647" s="35"/>
      <c r="F647" s="83"/>
      <c r="G647" s="96">
        <f t="shared" si="34"/>
        <v>0</v>
      </c>
      <c r="H647" s="74" t="e">
        <f t="shared" si="33"/>
        <v>#DIV/0!</v>
      </c>
      <c r="I647" s="74" t="e">
        <f t="shared" si="35"/>
        <v>#DIV/0!</v>
      </c>
      <c r="J647" s="62"/>
    </row>
    <row r="648" spans="1:10" ht="14.25" customHeight="1" x14ac:dyDescent="0.3">
      <c r="A648" s="78"/>
      <c r="B648" s="34"/>
      <c r="C648" s="35"/>
      <c r="D648" s="35"/>
      <c r="E648" s="35"/>
      <c r="F648" s="83"/>
      <c r="G648" s="96">
        <f t="shared" si="34"/>
        <v>0</v>
      </c>
      <c r="H648" s="74" t="e">
        <f t="shared" si="33"/>
        <v>#DIV/0!</v>
      </c>
      <c r="I648" s="74" t="e">
        <f t="shared" si="35"/>
        <v>#DIV/0!</v>
      </c>
      <c r="J648" s="62"/>
    </row>
    <row r="649" spans="1:10" ht="14.25" customHeight="1" x14ac:dyDescent="0.3">
      <c r="A649" s="78"/>
      <c r="B649" s="34"/>
      <c r="C649" s="35"/>
      <c r="D649" s="35"/>
      <c r="E649" s="35"/>
      <c r="F649" s="83"/>
      <c r="G649" s="96">
        <f t="shared" si="34"/>
        <v>0</v>
      </c>
      <c r="H649" s="74" t="e">
        <f t="shared" si="33"/>
        <v>#DIV/0!</v>
      </c>
      <c r="I649" s="74" t="e">
        <f t="shared" si="35"/>
        <v>#DIV/0!</v>
      </c>
      <c r="J649" s="62"/>
    </row>
    <row r="650" spans="1:10" ht="14.25" customHeight="1" x14ac:dyDescent="0.3">
      <c r="A650" s="78"/>
      <c r="B650" s="34"/>
      <c r="C650" s="35"/>
      <c r="D650" s="35"/>
      <c r="E650" s="35"/>
      <c r="F650" s="83"/>
      <c r="G650" s="96">
        <f t="shared" si="34"/>
        <v>0</v>
      </c>
      <c r="H650" s="74" t="e">
        <f t="shared" ref="H650:H713" si="36">(C650-D650)/E650</f>
        <v>#DIV/0!</v>
      </c>
      <c r="I650" s="74" t="e">
        <f t="shared" si="35"/>
        <v>#DIV/0!</v>
      </c>
      <c r="J650" s="62"/>
    </row>
    <row r="651" spans="1:10" ht="14.25" customHeight="1" x14ac:dyDescent="0.3">
      <c r="A651" s="78"/>
      <c r="B651" s="34"/>
      <c r="C651" s="35"/>
      <c r="D651" s="35"/>
      <c r="E651" s="35"/>
      <c r="F651" s="83"/>
      <c r="G651" s="96">
        <f t="shared" si="34"/>
        <v>0</v>
      </c>
      <c r="H651" s="74" t="e">
        <f t="shared" si="36"/>
        <v>#DIV/0!</v>
      </c>
      <c r="I651" s="74" t="e">
        <f t="shared" si="35"/>
        <v>#DIV/0!</v>
      </c>
      <c r="J651" s="62"/>
    </row>
    <row r="652" spans="1:10" ht="14.25" customHeight="1" x14ac:dyDescent="0.3">
      <c r="A652" s="78"/>
      <c r="B652" s="34"/>
      <c r="C652" s="35"/>
      <c r="D652" s="35"/>
      <c r="E652" s="35"/>
      <c r="F652" s="83"/>
      <c r="G652" s="96">
        <f t="shared" si="34"/>
        <v>0</v>
      </c>
      <c r="H652" s="74" t="e">
        <f t="shared" si="36"/>
        <v>#DIV/0!</v>
      </c>
      <c r="I652" s="74" t="e">
        <f t="shared" si="35"/>
        <v>#DIV/0!</v>
      </c>
      <c r="J652" s="62"/>
    </row>
    <row r="653" spans="1:10" ht="14.25" customHeight="1" x14ac:dyDescent="0.3">
      <c r="A653" s="78"/>
      <c r="B653" s="34"/>
      <c r="C653" s="35"/>
      <c r="D653" s="35"/>
      <c r="E653" s="35"/>
      <c r="F653" s="83"/>
      <c r="G653" s="96">
        <f t="shared" si="34"/>
        <v>0</v>
      </c>
      <c r="H653" s="74" t="e">
        <f t="shared" si="36"/>
        <v>#DIV/0!</v>
      </c>
      <c r="I653" s="74" t="e">
        <f t="shared" si="35"/>
        <v>#DIV/0!</v>
      </c>
      <c r="J653" s="62"/>
    </row>
    <row r="654" spans="1:10" ht="14.25" customHeight="1" x14ac:dyDescent="0.3">
      <c r="A654" s="78"/>
      <c r="B654" s="34"/>
      <c r="C654" s="35"/>
      <c r="D654" s="35"/>
      <c r="E654" s="35"/>
      <c r="F654" s="83"/>
      <c r="G654" s="96">
        <f t="shared" si="34"/>
        <v>0</v>
      </c>
      <c r="H654" s="74" t="e">
        <f t="shared" si="36"/>
        <v>#DIV/0!</v>
      </c>
      <c r="I654" s="74" t="e">
        <f t="shared" si="35"/>
        <v>#DIV/0!</v>
      </c>
      <c r="J654" s="62"/>
    </row>
    <row r="655" spans="1:10" ht="14.25" customHeight="1" x14ac:dyDescent="0.3">
      <c r="A655" s="78"/>
      <c r="B655" s="34"/>
      <c r="C655" s="35"/>
      <c r="D655" s="35"/>
      <c r="E655" s="35"/>
      <c r="F655" s="83"/>
      <c r="G655" s="96">
        <f t="shared" si="34"/>
        <v>0</v>
      </c>
      <c r="H655" s="74" t="e">
        <f t="shared" si="36"/>
        <v>#DIV/0!</v>
      </c>
      <c r="I655" s="74" t="e">
        <f t="shared" si="35"/>
        <v>#DIV/0!</v>
      </c>
      <c r="J655" s="62"/>
    </row>
    <row r="656" spans="1:10" ht="14.25" customHeight="1" x14ac:dyDescent="0.3">
      <c r="A656" s="78"/>
      <c r="B656" s="34"/>
      <c r="C656" s="35"/>
      <c r="D656" s="35"/>
      <c r="E656" s="35"/>
      <c r="F656" s="83"/>
      <c r="G656" s="96">
        <f t="shared" si="34"/>
        <v>0</v>
      </c>
      <c r="H656" s="74" t="e">
        <f t="shared" si="36"/>
        <v>#DIV/0!</v>
      </c>
      <c r="I656" s="74" t="e">
        <f t="shared" si="35"/>
        <v>#DIV/0!</v>
      </c>
      <c r="J656" s="62"/>
    </row>
    <row r="657" spans="1:10" ht="14.25" customHeight="1" x14ac:dyDescent="0.3">
      <c r="A657" s="78"/>
      <c r="B657" s="34"/>
      <c r="C657" s="35"/>
      <c r="D657" s="35"/>
      <c r="E657" s="35"/>
      <c r="F657" s="83"/>
      <c r="G657" s="96">
        <f t="shared" si="34"/>
        <v>0</v>
      </c>
      <c r="H657" s="74" t="e">
        <f t="shared" si="36"/>
        <v>#DIV/0!</v>
      </c>
      <c r="I657" s="74" t="e">
        <f t="shared" si="35"/>
        <v>#DIV/0!</v>
      </c>
      <c r="J657" s="62"/>
    </row>
    <row r="658" spans="1:10" ht="14.25" customHeight="1" x14ac:dyDescent="0.3">
      <c r="A658" s="78"/>
      <c r="B658" s="34"/>
      <c r="C658" s="35"/>
      <c r="D658" s="35"/>
      <c r="E658" s="35"/>
      <c r="F658" s="83"/>
      <c r="G658" s="96">
        <f t="shared" si="34"/>
        <v>0</v>
      </c>
      <c r="H658" s="74" t="e">
        <f t="shared" si="36"/>
        <v>#DIV/0!</v>
      </c>
      <c r="I658" s="74" t="e">
        <f t="shared" si="35"/>
        <v>#DIV/0!</v>
      </c>
      <c r="J658" s="62"/>
    </row>
    <row r="659" spans="1:10" ht="14.25" customHeight="1" x14ac:dyDescent="0.3">
      <c r="A659" s="78"/>
      <c r="B659" s="34"/>
      <c r="C659" s="35"/>
      <c r="D659" s="35"/>
      <c r="E659" s="35"/>
      <c r="F659" s="83"/>
      <c r="G659" s="96">
        <f t="shared" si="34"/>
        <v>0</v>
      </c>
      <c r="H659" s="74" t="e">
        <f t="shared" si="36"/>
        <v>#DIV/0!</v>
      </c>
      <c r="I659" s="74" t="e">
        <f t="shared" si="35"/>
        <v>#DIV/0!</v>
      </c>
      <c r="J659" s="62"/>
    </row>
    <row r="660" spans="1:10" ht="14.25" customHeight="1" x14ac:dyDescent="0.3">
      <c r="A660" s="78"/>
      <c r="B660" s="34"/>
      <c r="C660" s="35"/>
      <c r="D660" s="35"/>
      <c r="E660" s="35"/>
      <c r="F660" s="83"/>
      <c r="G660" s="96">
        <f t="shared" si="34"/>
        <v>0</v>
      </c>
      <c r="H660" s="74" t="e">
        <f t="shared" si="36"/>
        <v>#DIV/0!</v>
      </c>
      <c r="I660" s="74" t="e">
        <f t="shared" si="35"/>
        <v>#DIV/0!</v>
      </c>
      <c r="J660" s="62"/>
    </row>
    <row r="661" spans="1:10" ht="14.25" customHeight="1" x14ac:dyDescent="0.3">
      <c r="A661" s="78"/>
      <c r="B661" s="34"/>
      <c r="C661" s="35"/>
      <c r="D661" s="35"/>
      <c r="E661" s="35"/>
      <c r="F661" s="83"/>
      <c r="G661" s="96">
        <f t="shared" si="34"/>
        <v>0</v>
      </c>
      <c r="H661" s="74" t="e">
        <f t="shared" si="36"/>
        <v>#DIV/0!</v>
      </c>
      <c r="I661" s="74" t="e">
        <f t="shared" si="35"/>
        <v>#DIV/0!</v>
      </c>
      <c r="J661" s="62"/>
    </row>
    <row r="662" spans="1:10" ht="14.25" customHeight="1" x14ac:dyDescent="0.3">
      <c r="A662" s="78"/>
      <c r="B662" s="34"/>
      <c r="C662" s="35"/>
      <c r="D662" s="35"/>
      <c r="E662" s="35"/>
      <c r="F662" s="83"/>
      <c r="G662" s="96">
        <f t="shared" si="34"/>
        <v>0</v>
      </c>
      <c r="H662" s="74" t="e">
        <f t="shared" si="36"/>
        <v>#DIV/0!</v>
      </c>
      <c r="I662" s="74" t="e">
        <f t="shared" si="35"/>
        <v>#DIV/0!</v>
      </c>
      <c r="J662" s="62"/>
    </row>
    <row r="663" spans="1:10" ht="14.25" customHeight="1" x14ac:dyDescent="0.3">
      <c r="A663" s="78"/>
      <c r="B663" s="34"/>
      <c r="C663" s="35"/>
      <c r="D663" s="35"/>
      <c r="E663" s="35"/>
      <c r="F663" s="83"/>
      <c r="G663" s="96">
        <f t="shared" si="34"/>
        <v>0</v>
      </c>
      <c r="H663" s="74" t="e">
        <f t="shared" si="36"/>
        <v>#DIV/0!</v>
      </c>
      <c r="I663" s="74" t="e">
        <f t="shared" si="35"/>
        <v>#DIV/0!</v>
      </c>
      <c r="J663" s="62"/>
    </row>
    <row r="664" spans="1:10" ht="14.25" customHeight="1" x14ac:dyDescent="0.3">
      <c r="A664" s="78"/>
      <c r="B664" s="34"/>
      <c r="C664" s="35"/>
      <c r="D664" s="35"/>
      <c r="E664" s="35"/>
      <c r="F664" s="83"/>
      <c r="G664" s="96">
        <f t="shared" si="34"/>
        <v>0</v>
      </c>
      <c r="H664" s="74" t="e">
        <f t="shared" si="36"/>
        <v>#DIV/0!</v>
      </c>
      <c r="I664" s="74" t="e">
        <f t="shared" si="35"/>
        <v>#DIV/0!</v>
      </c>
      <c r="J664" s="62"/>
    </row>
    <row r="665" spans="1:10" ht="14.25" customHeight="1" x14ac:dyDescent="0.3">
      <c r="A665" s="78"/>
      <c r="B665" s="34"/>
      <c r="C665" s="35"/>
      <c r="D665" s="35"/>
      <c r="E665" s="35"/>
      <c r="F665" s="83"/>
      <c r="G665" s="96">
        <f t="shared" si="34"/>
        <v>0</v>
      </c>
      <c r="H665" s="74" t="e">
        <f t="shared" si="36"/>
        <v>#DIV/0!</v>
      </c>
      <c r="I665" s="74" t="e">
        <f t="shared" si="35"/>
        <v>#DIV/0!</v>
      </c>
      <c r="J665" s="62"/>
    </row>
    <row r="666" spans="1:10" ht="14.25" customHeight="1" x14ac:dyDescent="0.3">
      <c r="A666" s="78"/>
      <c r="B666" s="34"/>
      <c r="C666" s="35"/>
      <c r="D666" s="35"/>
      <c r="E666" s="35"/>
      <c r="F666" s="83"/>
      <c r="G666" s="96">
        <f t="shared" si="34"/>
        <v>0</v>
      </c>
      <c r="H666" s="74" t="e">
        <f t="shared" si="36"/>
        <v>#DIV/0!</v>
      </c>
      <c r="I666" s="74" t="e">
        <f t="shared" si="35"/>
        <v>#DIV/0!</v>
      </c>
      <c r="J666" s="62"/>
    </row>
    <row r="667" spans="1:10" ht="14.25" customHeight="1" x14ac:dyDescent="0.3">
      <c r="A667" s="78"/>
      <c r="B667" s="34"/>
      <c r="C667" s="35"/>
      <c r="D667" s="35"/>
      <c r="E667" s="35"/>
      <c r="F667" s="83"/>
      <c r="G667" s="96">
        <f t="shared" si="34"/>
        <v>0</v>
      </c>
      <c r="H667" s="74" t="e">
        <f t="shared" si="36"/>
        <v>#DIV/0!</v>
      </c>
      <c r="I667" s="74" t="e">
        <f t="shared" si="35"/>
        <v>#DIV/0!</v>
      </c>
      <c r="J667" s="62"/>
    </row>
    <row r="668" spans="1:10" ht="14.25" customHeight="1" x14ac:dyDescent="0.3">
      <c r="A668" s="78"/>
      <c r="B668" s="34"/>
      <c r="C668" s="35"/>
      <c r="D668" s="35"/>
      <c r="E668" s="35"/>
      <c r="F668" s="83"/>
      <c r="G668" s="96">
        <f t="shared" si="34"/>
        <v>0</v>
      </c>
      <c r="H668" s="74" t="e">
        <f t="shared" si="36"/>
        <v>#DIV/0!</v>
      </c>
      <c r="I668" s="74" t="e">
        <f t="shared" si="35"/>
        <v>#DIV/0!</v>
      </c>
      <c r="J668" s="62"/>
    </row>
    <row r="669" spans="1:10" ht="14.25" customHeight="1" x14ac:dyDescent="0.3">
      <c r="A669" s="78"/>
      <c r="B669" s="34"/>
      <c r="C669" s="35"/>
      <c r="D669" s="35"/>
      <c r="E669" s="35"/>
      <c r="F669" s="83"/>
      <c r="G669" s="96">
        <f t="shared" si="34"/>
        <v>0</v>
      </c>
      <c r="H669" s="74" t="e">
        <f t="shared" si="36"/>
        <v>#DIV/0!</v>
      </c>
      <c r="I669" s="74" t="e">
        <f t="shared" si="35"/>
        <v>#DIV/0!</v>
      </c>
      <c r="J669" s="62"/>
    </row>
    <row r="670" spans="1:10" ht="14.25" customHeight="1" x14ac:dyDescent="0.3">
      <c r="A670" s="78"/>
      <c r="B670" s="34"/>
      <c r="C670" s="35"/>
      <c r="D670" s="35"/>
      <c r="E670" s="35"/>
      <c r="F670" s="83"/>
      <c r="G670" s="96">
        <f t="shared" si="34"/>
        <v>0</v>
      </c>
      <c r="H670" s="74" t="e">
        <f t="shared" si="36"/>
        <v>#DIV/0!</v>
      </c>
      <c r="I670" s="74" t="e">
        <f t="shared" si="35"/>
        <v>#DIV/0!</v>
      </c>
      <c r="J670" s="62"/>
    </row>
    <row r="671" spans="1:10" ht="14.25" customHeight="1" x14ac:dyDescent="0.3">
      <c r="A671" s="78"/>
      <c r="B671" s="34"/>
      <c r="C671" s="35"/>
      <c r="D671" s="35"/>
      <c r="E671" s="35"/>
      <c r="F671" s="83"/>
      <c r="G671" s="96">
        <f t="shared" si="34"/>
        <v>0</v>
      </c>
      <c r="H671" s="74" t="e">
        <f t="shared" si="36"/>
        <v>#DIV/0!</v>
      </c>
      <c r="I671" s="74" t="e">
        <f t="shared" si="35"/>
        <v>#DIV/0!</v>
      </c>
      <c r="J671" s="62"/>
    </row>
    <row r="672" spans="1:10" ht="14.25" customHeight="1" x14ac:dyDescent="0.3">
      <c r="A672" s="78"/>
      <c r="B672" s="34"/>
      <c r="C672" s="35"/>
      <c r="D672" s="35"/>
      <c r="E672" s="35"/>
      <c r="F672" s="83"/>
      <c r="G672" s="96">
        <f t="shared" si="34"/>
        <v>0</v>
      </c>
      <c r="H672" s="74" t="e">
        <f t="shared" si="36"/>
        <v>#DIV/0!</v>
      </c>
      <c r="I672" s="74" t="e">
        <f t="shared" si="35"/>
        <v>#DIV/0!</v>
      </c>
      <c r="J672" s="62"/>
    </row>
    <row r="673" spans="1:10" ht="14.25" customHeight="1" x14ac:dyDescent="0.3">
      <c r="A673" s="78"/>
      <c r="B673" s="34"/>
      <c r="C673" s="35"/>
      <c r="D673" s="35"/>
      <c r="E673" s="35"/>
      <c r="F673" s="83"/>
      <c r="G673" s="96">
        <f t="shared" si="34"/>
        <v>0</v>
      </c>
      <c r="H673" s="74" t="e">
        <f t="shared" si="36"/>
        <v>#DIV/0!</v>
      </c>
      <c r="I673" s="74" t="e">
        <f t="shared" si="35"/>
        <v>#DIV/0!</v>
      </c>
      <c r="J673" s="62"/>
    </row>
    <row r="674" spans="1:10" ht="14.25" customHeight="1" x14ac:dyDescent="0.3">
      <c r="A674" s="78"/>
      <c r="B674" s="34"/>
      <c r="C674" s="35"/>
      <c r="D674" s="35"/>
      <c r="E674" s="35"/>
      <c r="F674" s="83"/>
      <c r="G674" s="96">
        <f t="shared" si="34"/>
        <v>0</v>
      </c>
      <c r="H674" s="74" t="e">
        <f t="shared" si="36"/>
        <v>#DIV/0!</v>
      </c>
      <c r="I674" s="74" t="e">
        <f t="shared" si="35"/>
        <v>#DIV/0!</v>
      </c>
      <c r="J674" s="62"/>
    </row>
    <row r="675" spans="1:10" ht="14.25" customHeight="1" x14ac:dyDescent="0.3">
      <c r="A675" s="78"/>
      <c r="B675" s="34"/>
      <c r="C675" s="35"/>
      <c r="D675" s="35"/>
      <c r="E675" s="35"/>
      <c r="F675" s="83"/>
      <c r="G675" s="96">
        <f t="shared" si="34"/>
        <v>0</v>
      </c>
      <c r="H675" s="74" t="e">
        <f t="shared" si="36"/>
        <v>#DIV/0!</v>
      </c>
      <c r="I675" s="74" t="e">
        <f t="shared" si="35"/>
        <v>#DIV/0!</v>
      </c>
      <c r="J675" s="62"/>
    </row>
    <row r="676" spans="1:10" ht="14.25" customHeight="1" x14ac:dyDescent="0.3">
      <c r="A676" s="78"/>
      <c r="B676" s="34"/>
      <c r="C676" s="35"/>
      <c r="D676" s="35"/>
      <c r="E676" s="35"/>
      <c r="F676" s="83"/>
      <c r="G676" s="96">
        <f t="shared" si="34"/>
        <v>0</v>
      </c>
      <c r="H676" s="74" t="e">
        <f t="shared" si="36"/>
        <v>#DIV/0!</v>
      </c>
      <c r="I676" s="74" t="e">
        <f t="shared" si="35"/>
        <v>#DIV/0!</v>
      </c>
      <c r="J676" s="62"/>
    </row>
    <row r="677" spans="1:10" ht="14.25" customHeight="1" x14ac:dyDescent="0.3">
      <c r="A677" s="78"/>
      <c r="B677" s="34"/>
      <c r="C677" s="35"/>
      <c r="D677" s="35"/>
      <c r="E677" s="35"/>
      <c r="F677" s="83"/>
      <c r="G677" s="96">
        <f t="shared" si="34"/>
        <v>0</v>
      </c>
      <c r="H677" s="74" t="e">
        <f t="shared" si="36"/>
        <v>#DIV/0!</v>
      </c>
      <c r="I677" s="74" t="e">
        <f t="shared" si="35"/>
        <v>#DIV/0!</v>
      </c>
      <c r="J677" s="62"/>
    </row>
    <row r="678" spans="1:10" ht="14.25" customHeight="1" x14ac:dyDescent="0.3">
      <c r="A678" s="78"/>
      <c r="B678" s="34"/>
      <c r="C678" s="35"/>
      <c r="D678" s="35"/>
      <c r="E678" s="35"/>
      <c r="F678" s="83"/>
      <c r="G678" s="96">
        <f t="shared" si="34"/>
        <v>0</v>
      </c>
      <c r="H678" s="74" t="e">
        <f t="shared" si="36"/>
        <v>#DIV/0!</v>
      </c>
      <c r="I678" s="74" t="e">
        <f t="shared" si="35"/>
        <v>#DIV/0!</v>
      </c>
      <c r="J678" s="62"/>
    </row>
    <row r="679" spans="1:10" ht="14.25" customHeight="1" x14ac:dyDescent="0.3">
      <c r="A679" s="78"/>
      <c r="B679" s="34"/>
      <c r="C679" s="35"/>
      <c r="D679" s="35"/>
      <c r="E679" s="35"/>
      <c r="F679" s="83"/>
      <c r="G679" s="96">
        <f t="shared" si="34"/>
        <v>0</v>
      </c>
      <c r="H679" s="74" t="e">
        <f t="shared" si="36"/>
        <v>#DIV/0!</v>
      </c>
      <c r="I679" s="74" t="e">
        <f t="shared" si="35"/>
        <v>#DIV/0!</v>
      </c>
      <c r="J679" s="62"/>
    </row>
    <row r="680" spans="1:10" ht="14.25" customHeight="1" x14ac:dyDescent="0.3">
      <c r="A680" s="78"/>
      <c r="B680" s="34"/>
      <c r="C680" s="35"/>
      <c r="D680" s="35"/>
      <c r="E680" s="35"/>
      <c r="F680" s="83"/>
      <c r="G680" s="96">
        <f t="shared" si="34"/>
        <v>0</v>
      </c>
      <c r="H680" s="74" t="e">
        <f t="shared" si="36"/>
        <v>#DIV/0!</v>
      </c>
      <c r="I680" s="74" t="e">
        <f t="shared" si="35"/>
        <v>#DIV/0!</v>
      </c>
      <c r="J680" s="62"/>
    </row>
    <row r="681" spans="1:10" ht="14.25" customHeight="1" x14ac:dyDescent="0.3">
      <c r="A681" s="78"/>
      <c r="B681" s="34"/>
      <c r="C681" s="35"/>
      <c r="D681" s="35"/>
      <c r="E681" s="35"/>
      <c r="F681" s="83"/>
      <c r="G681" s="96">
        <f t="shared" si="34"/>
        <v>0</v>
      </c>
      <c r="H681" s="74" t="e">
        <f t="shared" si="36"/>
        <v>#DIV/0!</v>
      </c>
      <c r="I681" s="74" t="e">
        <f t="shared" si="35"/>
        <v>#DIV/0!</v>
      </c>
      <c r="J681" s="62"/>
    </row>
    <row r="682" spans="1:10" ht="14.25" customHeight="1" x14ac:dyDescent="0.3">
      <c r="A682" s="78"/>
      <c r="B682" s="34"/>
      <c r="C682" s="35"/>
      <c r="D682" s="35"/>
      <c r="E682" s="35"/>
      <c r="F682" s="83"/>
      <c r="G682" s="96">
        <f t="shared" si="34"/>
        <v>0</v>
      </c>
      <c r="H682" s="74" t="e">
        <f t="shared" si="36"/>
        <v>#DIV/0!</v>
      </c>
      <c r="I682" s="74" t="e">
        <f t="shared" si="35"/>
        <v>#DIV/0!</v>
      </c>
      <c r="J682" s="62"/>
    </row>
    <row r="683" spans="1:10" ht="14.25" customHeight="1" x14ac:dyDescent="0.3">
      <c r="A683" s="78"/>
      <c r="B683" s="34"/>
      <c r="C683" s="35"/>
      <c r="D683" s="35"/>
      <c r="E683" s="35"/>
      <c r="F683" s="83"/>
      <c r="G683" s="96">
        <f t="shared" si="34"/>
        <v>0</v>
      </c>
      <c r="H683" s="74" t="e">
        <f t="shared" si="36"/>
        <v>#DIV/0!</v>
      </c>
      <c r="I683" s="74" t="e">
        <f t="shared" si="35"/>
        <v>#DIV/0!</v>
      </c>
      <c r="J683" s="62"/>
    </row>
    <row r="684" spans="1:10" ht="14.25" customHeight="1" x14ac:dyDescent="0.3">
      <c r="A684" s="78"/>
      <c r="B684" s="34"/>
      <c r="C684" s="35"/>
      <c r="D684" s="35"/>
      <c r="E684" s="35"/>
      <c r="F684" s="83"/>
      <c r="G684" s="96">
        <f t="shared" si="34"/>
        <v>0</v>
      </c>
      <c r="H684" s="74" t="e">
        <f t="shared" si="36"/>
        <v>#DIV/0!</v>
      </c>
      <c r="I684" s="74" t="e">
        <f t="shared" si="35"/>
        <v>#DIV/0!</v>
      </c>
      <c r="J684" s="62"/>
    </row>
    <row r="685" spans="1:10" ht="14.25" customHeight="1" x14ac:dyDescent="0.3">
      <c r="A685" s="78"/>
      <c r="B685" s="34"/>
      <c r="C685" s="35"/>
      <c r="D685" s="35"/>
      <c r="E685" s="35"/>
      <c r="F685" s="83"/>
      <c r="G685" s="96">
        <f t="shared" si="34"/>
        <v>0</v>
      </c>
      <c r="H685" s="74" t="e">
        <f t="shared" si="36"/>
        <v>#DIV/0!</v>
      </c>
      <c r="I685" s="74" t="e">
        <f t="shared" si="35"/>
        <v>#DIV/0!</v>
      </c>
      <c r="J685" s="62"/>
    </row>
    <row r="686" spans="1:10" ht="14.25" customHeight="1" x14ac:dyDescent="0.3">
      <c r="A686" s="78"/>
      <c r="B686" s="34"/>
      <c r="C686" s="35"/>
      <c r="D686" s="35"/>
      <c r="E686" s="35"/>
      <c r="F686" s="83"/>
      <c r="G686" s="96">
        <f t="shared" si="34"/>
        <v>0</v>
      </c>
      <c r="H686" s="74" t="e">
        <f t="shared" si="36"/>
        <v>#DIV/0!</v>
      </c>
      <c r="I686" s="74" t="e">
        <f t="shared" si="35"/>
        <v>#DIV/0!</v>
      </c>
      <c r="J686" s="62"/>
    </row>
    <row r="687" spans="1:10" ht="14.25" customHeight="1" x14ac:dyDescent="0.3">
      <c r="A687" s="78"/>
      <c r="B687" s="34"/>
      <c r="C687" s="35"/>
      <c r="D687" s="35"/>
      <c r="E687" s="35"/>
      <c r="F687" s="83"/>
      <c r="G687" s="96">
        <f t="shared" si="34"/>
        <v>0</v>
      </c>
      <c r="H687" s="74" t="e">
        <f t="shared" si="36"/>
        <v>#DIV/0!</v>
      </c>
      <c r="I687" s="74" t="e">
        <f t="shared" si="35"/>
        <v>#DIV/0!</v>
      </c>
      <c r="J687" s="62"/>
    </row>
    <row r="688" spans="1:10" ht="14.25" customHeight="1" x14ac:dyDescent="0.3">
      <c r="A688" s="78"/>
      <c r="B688" s="34"/>
      <c r="C688" s="35"/>
      <c r="D688" s="35"/>
      <c r="E688" s="35"/>
      <c r="F688" s="83"/>
      <c r="G688" s="96">
        <f t="shared" si="34"/>
        <v>0</v>
      </c>
      <c r="H688" s="74" t="e">
        <f t="shared" si="36"/>
        <v>#DIV/0!</v>
      </c>
      <c r="I688" s="74" t="e">
        <f t="shared" si="35"/>
        <v>#DIV/0!</v>
      </c>
      <c r="J688" s="62"/>
    </row>
    <row r="689" spans="1:10" ht="14.25" customHeight="1" x14ac:dyDescent="0.3">
      <c r="A689" s="78"/>
      <c r="B689" s="34"/>
      <c r="C689" s="35"/>
      <c r="D689" s="35"/>
      <c r="E689" s="35"/>
      <c r="F689" s="83"/>
      <c r="G689" s="96">
        <f t="shared" si="34"/>
        <v>0</v>
      </c>
      <c r="H689" s="74" t="e">
        <f t="shared" si="36"/>
        <v>#DIV/0!</v>
      </c>
      <c r="I689" s="74" t="e">
        <f t="shared" si="35"/>
        <v>#DIV/0!</v>
      </c>
      <c r="J689" s="62"/>
    </row>
    <row r="690" spans="1:10" ht="14.25" customHeight="1" x14ac:dyDescent="0.3">
      <c r="A690" s="78"/>
      <c r="B690" s="34"/>
      <c r="C690" s="35"/>
      <c r="D690" s="35"/>
      <c r="E690" s="35"/>
      <c r="F690" s="83"/>
      <c r="G690" s="96">
        <f t="shared" si="34"/>
        <v>0</v>
      </c>
      <c r="H690" s="74" t="e">
        <f t="shared" si="36"/>
        <v>#DIV/0!</v>
      </c>
      <c r="I690" s="74" t="e">
        <f t="shared" si="35"/>
        <v>#DIV/0!</v>
      </c>
      <c r="J690" s="62"/>
    </row>
    <row r="691" spans="1:10" ht="14.25" customHeight="1" x14ac:dyDescent="0.3">
      <c r="A691" s="78"/>
      <c r="B691" s="34"/>
      <c r="C691" s="35"/>
      <c r="D691" s="35"/>
      <c r="E691" s="35"/>
      <c r="F691" s="83"/>
      <c r="G691" s="96">
        <f t="shared" si="34"/>
        <v>0</v>
      </c>
      <c r="H691" s="74" t="e">
        <f t="shared" si="36"/>
        <v>#DIV/0!</v>
      </c>
      <c r="I691" s="74" t="e">
        <f t="shared" si="35"/>
        <v>#DIV/0!</v>
      </c>
      <c r="J691" s="62"/>
    </row>
    <row r="692" spans="1:10" ht="14.25" customHeight="1" x14ac:dyDescent="0.3">
      <c r="A692" s="78"/>
      <c r="B692" s="34"/>
      <c r="C692" s="35"/>
      <c r="D692" s="35"/>
      <c r="E692" s="35"/>
      <c r="F692" s="83"/>
      <c r="G692" s="96">
        <f t="shared" si="34"/>
        <v>0</v>
      </c>
      <c r="H692" s="74" t="e">
        <f t="shared" si="36"/>
        <v>#DIV/0!</v>
      </c>
      <c r="I692" s="74" t="e">
        <f t="shared" si="35"/>
        <v>#DIV/0!</v>
      </c>
      <c r="J692" s="62"/>
    </row>
    <row r="693" spans="1:10" ht="14.25" customHeight="1" x14ac:dyDescent="0.3">
      <c r="A693" s="78"/>
      <c r="B693" s="34"/>
      <c r="C693" s="35"/>
      <c r="D693" s="35"/>
      <c r="E693" s="35"/>
      <c r="F693" s="83"/>
      <c r="G693" s="96">
        <f t="shared" si="34"/>
        <v>0</v>
      </c>
      <c r="H693" s="74" t="e">
        <f t="shared" si="36"/>
        <v>#DIV/0!</v>
      </c>
      <c r="I693" s="74" t="e">
        <f t="shared" si="35"/>
        <v>#DIV/0!</v>
      </c>
      <c r="J693" s="62"/>
    </row>
    <row r="694" spans="1:10" ht="14.25" customHeight="1" x14ac:dyDescent="0.3">
      <c r="A694" s="78"/>
      <c r="B694" s="34"/>
      <c r="C694" s="35"/>
      <c r="D694" s="35"/>
      <c r="E694" s="35"/>
      <c r="F694" s="83"/>
      <c r="G694" s="96">
        <f t="shared" si="34"/>
        <v>0</v>
      </c>
      <c r="H694" s="74" t="e">
        <f t="shared" si="36"/>
        <v>#DIV/0!</v>
      </c>
      <c r="I694" s="74" t="e">
        <f t="shared" si="35"/>
        <v>#DIV/0!</v>
      </c>
      <c r="J694" s="62"/>
    </row>
    <row r="695" spans="1:10" ht="14.25" customHeight="1" x14ac:dyDescent="0.3">
      <c r="A695" s="78"/>
      <c r="B695" s="34"/>
      <c r="C695" s="35"/>
      <c r="D695" s="35"/>
      <c r="E695" s="35"/>
      <c r="F695" s="83"/>
      <c r="G695" s="96">
        <f t="shared" si="34"/>
        <v>0</v>
      </c>
      <c r="H695" s="74" t="e">
        <f t="shared" si="36"/>
        <v>#DIV/0!</v>
      </c>
      <c r="I695" s="74" t="e">
        <f t="shared" si="35"/>
        <v>#DIV/0!</v>
      </c>
      <c r="J695" s="62"/>
    </row>
    <row r="696" spans="1:10" ht="14.25" customHeight="1" x14ac:dyDescent="0.3">
      <c r="A696" s="78"/>
      <c r="B696" s="34"/>
      <c r="C696" s="35"/>
      <c r="D696" s="35"/>
      <c r="E696" s="35"/>
      <c r="F696" s="83"/>
      <c r="G696" s="96">
        <f t="shared" si="34"/>
        <v>0</v>
      </c>
      <c r="H696" s="74" t="e">
        <f t="shared" si="36"/>
        <v>#DIV/0!</v>
      </c>
      <c r="I696" s="74" t="e">
        <f t="shared" si="35"/>
        <v>#DIV/0!</v>
      </c>
      <c r="J696" s="62"/>
    </row>
    <row r="697" spans="1:10" ht="14.25" customHeight="1" x14ac:dyDescent="0.3">
      <c r="A697" s="78"/>
      <c r="B697" s="34"/>
      <c r="C697" s="35"/>
      <c r="D697" s="35"/>
      <c r="E697" s="35"/>
      <c r="F697" s="83"/>
      <c r="G697" s="96">
        <f t="shared" si="34"/>
        <v>0</v>
      </c>
      <c r="H697" s="74" t="e">
        <f t="shared" si="36"/>
        <v>#DIV/0!</v>
      </c>
      <c r="I697" s="74" t="e">
        <f t="shared" si="35"/>
        <v>#DIV/0!</v>
      </c>
      <c r="J697" s="62"/>
    </row>
    <row r="698" spans="1:10" ht="14.25" customHeight="1" x14ac:dyDescent="0.3">
      <c r="A698" s="78"/>
      <c r="B698" s="34"/>
      <c r="C698" s="35"/>
      <c r="D698" s="35"/>
      <c r="E698" s="35"/>
      <c r="F698" s="83"/>
      <c r="G698" s="96">
        <f t="shared" si="34"/>
        <v>0</v>
      </c>
      <c r="H698" s="74" t="e">
        <f t="shared" si="36"/>
        <v>#DIV/0!</v>
      </c>
      <c r="I698" s="74" t="e">
        <f t="shared" si="35"/>
        <v>#DIV/0!</v>
      </c>
      <c r="J698" s="62"/>
    </row>
    <row r="699" spans="1:10" ht="14.25" customHeight="1" x14ac:dyDescent="0.3">
      <c r="A699" s="78"/>
      <c r="B699" s="34"/>
      <c r="C699" s="35"/>
      <c r="D699" s="35"/>
      <c r="E699" s="35"/>
      <c r="F699" s="83"/>
      <c r="G699" s="96">
        <f t="shared" si="34"/>
        <v>0</v>
      </c>
      <c r="H699" s="74" t="e">
        <f t="shared" si="36"/>
        <v>#DIV/0!</v>
      </c>
      <c r="I699" s="74" t="e">
        <f t="shared" si="35"/>
        <v>#DIV/0!</v>
      </c>
      <c r="J699" s="62"/>
    </row>
    <row r="700" spans="1:10" ht="14.25" customHeight="1" x14ac:dyDescent="0.3">
      <c r="A700" s="78"/>
      <c r="B700" s="34"/>
      <c r="C700" s="35"/>
      <c r="D700" s="35"/>
      <c r="E700" s="35"/>
      <c r="F700" s="83"/>
      <c r="G700" s="96">
        <f t="shared" si="34"/>
        <v>0</v>
      </c>
      <c r="H700" s="74" t="e">
        <f t="shared" si="36"/>
        <v>#DIV/0!</v>
      </c>
      <c r="I700" s="74" t="e">
        <f t="shared" si="35"/>
        <v>#DIV/0!</v>
      </c>
      <c r="J700" s="62"/>
    </row>
    <row r="701" spans="1:10" ht="14.25" customHeight="1" x14ac:dyDescent="0.3">
      <c r="A701" s="78"/>
      <c r="B701" s="34"/>
      <c r="C701" s="35"/>
      <c r="D701" s="35"/>
      <c r="E701" s="35"/>
      <c r="F701" s="83"/>
      <c r="G701" s="96">
        <f t="shared" si="34"/>
        <v>0</v>
      </c>
      <c r="H701" s="74" t="e">
        <f t="shared" si="36"/>
        <v>#DIV/0!</v>
      </c>
      <c r="I701" s="74" t="e">
        <f t="shared" si="35"/>
        <v>#DIV/0!</v>
      </c>
      <c r="J701" s="62"/>
    </row>
    <row r="702" spans="1:10" ht="14.25" customHeight="1" x14ac:dyDescent="0.3">
      <c r="A702" s="78"/>
      <c r="B702" s="34"/>
      <c r="C702" s="35"/>
      <c r="D702" s="35"/>
      <c r="E702" s="35"/>
      <c r="F702" s="83"/>
      <c r="G702" s="96">
        <f t="shared" si="34"/>
        <v>0</v>
      </c>
      <c r="H702" s="74" t="e">
        <f t="shared" si="36"/>
        <v>#DIV/0!</v>
      </c>
      <c r="I702" s="74" t="e">
        <f t="shared" si="35"/>
        <v>#DIV/0!</v>
      </c>
      <c r="J702" s="62"/>
    </row>
    <row r="703" spans="1:10" ht="14.25" customHeight="1" x14ac:dyDescent="0.3">
      <c r="A703" s="78"/>
      <c r="B703" s="34"/>
      <c r="C703" s="35"/>
      <c r="D703" s="35"/>
      <c r="E703" s="35"/>
      <c r="F703" s="83"/>
      <c r="G703" s="96">
        <f t="shared" si="34"/>
        <v>0</v>
      </c>
      <c r="H703" s="74" t="e">
        <f t="shared" si="36"/>
        <v>#DIV/0!</v>
      </c>
      <c r="I703" s="74" t="e">
        <f t="shared" si="35"/>
        <v>#DIV/0!</v>
      </c>
      <c r="J703" s="62"/>
    </row>
    <row r="704" spans="1:10" ht="14.25" customHeight="1" x14ac:dyDescent="0.3">
      <c r="A704" s="78"/>
      <c r="B704" s="34"/>
      <c r="C704" s="35"/>
      <c r="D704" s="35"/>
      <c r="E704" s="35"/>
      <c r="F704" s="83"/>
      <c r="G704" s="96">
        <f t="shared" si="34"/>
        <v>0</v>
      </c>
      <c r="H704" s="74" t="e">
        <f t="shared" si="36"/>
        <v>#DIV/0!</v>
      </c>
      <c r="I704" s="74" t="e">
        <f t="shared" si="35"/>
        <v>#DIV/0!</v>
      </c>
      <c r="J704" s="62"/>
    </row>
    <row r="705" spans="1:10" ht="14.25" customHeight="1" x14ac:dyDescent="0.3">
      <c r="A705" s="78"/>
      <c r="B705" s="34"/>
      <c r="C705" s="35"/>
      <c r="D705" s="35"/>
      <c r="E705" s="35"/>
      <c r="F705" s="83"/>
      <c r="G705" s="96">
        <f t="shared" si="34"/>
        <v>0</v>
      </c>
      <c r="H705" s="74" t="e">
        <f t="shared" si="36"/>
        <v>#DIV/0!</v>
      </c>
      <c r="I705" s="74" t="e">
        <f t="shared" si="35"/>
        <v>#DIV/0!</v>
      </c>
      <c r="J705" s="62"/>
    </row>
    <row r="706" spans="1:10" ht="14.25" customHeight="1" x14ac:dyDescent="0.3">
      <c r="A706" s="78"/>
      <c r="B706" s="34"/>
      <c r="C706" s="35"/>
      <c r="D706" s="35"/>
      <c r="E706" s="35"/>
      <c r="F706" s="83"/>
      <c r="G706" s="96">
        <f t="shared" ref="G706:G769" si="37">C706-D706</f>
        <v>0</v>
      </c>
      <c r="H706" s="74" t="e">
        <f t="shared" si="36"/>
        <v>#DIV/0!</v>
      </c>
      <c r="I706" s="74" t="e">
        <f t="shared" ref="I706:I769" si="38">(C706 - D706) / (E706 - C706)</f>
        <v>#DIV/0!</v>
      </c>
      <c r="J706" s="62"/>
    </row>
    <row r="707" spans="1:10" ht="14.25" customHeight="1" x14ac:dyDescent="0.3">
      <c r="A707" s="78"/>
      <c r="B707" s="34"/>
      <c r="C707" s="35"/>
      <c r="D707" s="35"/>
      <c r="E707" s="35"/>
      <c r="F707" s="83"/>
      <c r="G707" s="96">
        <f t="shared" si="37"/>
        <v>0</v>
      </c>
      <c r="H707" s="74" t="e">
        <f t="shared" si="36"/>
        <v>#DIV/0!</v>
      </c>
      <c r="I707" s="74" t="e">
        <f t="shared" si="38"/>
        <v>#DIV/0!</v>
      </c>
      <c r="J707" s="62"/>
    </row>
    <row r="708" spans="1:10" ht="14.25" customHeight="1" x14ac:dyDescent="0.3">
      <c r="A708" s="78"/>
      <c r="B708" s="34"/>
      <c r="C708" s="35"/>
      <c r="D708" s="35"/>
      <c r="E708" s="35"/>
      <c r="F708" s="83"/>
      <c r="G708" s="96">
        <f t="shared" si="37"/>
        <v>0</v>
      </c>
      <c r="H708" s="74" t="e">
        <f t="shared" si="36"/>
        <v>#DIV/0!</v>
      </c>
      <c r="I708" s="74" t="e">
        <f t="shared" si="38"/>
        <v>#DIV/0!</v>
      </c>
      <c r="J708" s="62"/>
    </row>
    <row r="709" spans="1:10" ht="14.25" customHeight="1" x14ac:dyDescent="0.3">
      <c r="A709" s="78"/>
      <c r="B709" s="34"/>
      <c r="C709" s="35"/>
      <c r="D709" s="35"/>
      <c r="E709" s="35"/>
      <c r="F709" s="83"/>
      <c r="G709" s="96">
        <f t="shared" si="37"/>
        <v>0</v>
      </c>
      <c r="H709" s="74" t="e">
        <f t="shared" si="36"/>
        <v>#DIV/0!</v>
      </c>
      <c r="I709" s="74" t="e">
        <f t="shared" si="38"/>
        <v>#DIV/0!</v>
      </c>
      <c r="J709" s="62"/>
    </row>
    <row r="710" spans="1:10" ht="14.25" customHeight="1" x14ac:dyDescent="0.3">
      <c r="A710" s="78"/>
      <c r="B710" s="34"/>
      <c r="C710" s="35"/>
      <c r="D710" s="35"/>
      <c r="E710" s="35"/>
      <c r="F710" s="83"/>
      <c r="G710" s="96">
        <f t="shared" si="37"/>
        <v>0</v>
      </c>
      <c r="H710" s="74" t="e">
        <f t="shared" si="36"/>
        <v>#DIV/0!</v>
      </c>
      <c r="I710" s="74" t="e">
        <f t="shared" si="38"/>
        <v>#DIV/0!</v>
      </c>
      <c r="J710" s="62"/>
    </row>
    <row r="711" spans="1:10" ht="14.25" customHeight="1" x14ac:dyDescent="0.3">
      <c r="A711" s="78"/>
      <c r="B711" s="34"/>
      <c r="C711" s="35"/>
      <c r="D711" s="35"/>
      <c r="E711" s="35"/>
      <c r="F711" s="83"/>
      <c r="G711" s="96">
        <f t="shared" si="37"/>
        <v>0</v>
      </c>
      <c r="H711" s="74" t="e">
        <f t="shared" si="36"/>
        <v>#DIV/0!</v>
      </c>
      <c r="I711" s="74" t="e">
        <f t="shared" si="38"/>
        <v>#DIV/0!</v>
      </c>
      <c r="J711" s="62"/>
    </row>
    <row r="712" spans="1:10" ht="14.25" customHeight="1" x14ac:dyDescent="0.3">
      <c r="A712" s="78"/>
      <c r="B712" s="34"/>
      <c r="C712" s="35"/>
      <c r="D712" s="35"/>
      <c r="E712" s="35"/>
      <c r="F712" s="83"/>
      <c r="G712" s="96">
        <f t="shared" si="37"/>
        <v>0</v>
      </c>
      <c r="H712" s="74" t="e">
        <f t="shared" si="36"/>
        <v>#DIV/0!</v>
      </c>
      <c r="I712" s="74" t="e">
        <f t="shared" si="38"/>
        <v>#DIV/0!</v>
      </c>
      <c r="J712" s="62"/>
    </row>
    <row r="713" spans="1:10" ht="14.25" customHeight="1" x14ac:dyDescent="0.3">
      <c r="A713" s="78"/>
      <c r="B713" s="34"/>
      <c r="C713" s="35"/>
      <c r="D713" s="35"/>
      <c r="E713" s="35"/>
      <c r="F713" s="83"/>
      <c r="G713" s="96">
        <f t="shared" si="37"/>
        <v>0</v>
      </c>
      <c r="H713" s="74" t="e">
        <f t="shared" si="36"/>
        <v>#DIV/0!</v>
      </c>
      <c r="I713" s="74" t="e">
        <f t="shared" si="38"/>
        <v>#DIV/0!</v>
      </c>
      <c r="J713" s="62"/>
    </row>
    <row r="714" spans="1:10" ht="14.25" customHeight="1" x14ac:dyDescent="0.3">
      <c r="A714" s="78"/>
      <c r="B714" s="34"/>
      <c r="C714" s="35"/>
      <c r="D714" s="35"/>
      <c r="E714" s="35"/>
      <c r="F714" s="83"/>
      <c r="G714" s="96">
        <f t="shared" si="37"/>
        <v>0</v>
      </c>
      <c r="H714" s="74" t="e">
        <f t="shared" ref="H714:H777" si="39">(C714-D714)/E714</f>
        <v>#DIV/0!</v>
      </c>
      <c r="I714" s="74" t="e">
        <f t="shared" si="38"/>
        <v>#DIV/0!</v>
      </c>
      <c r="J714" s="62"/>
    </row>
    <row r="715" spans="1:10" ht="14.25" customHeight="1" x14ac:dyDescent="0.3">
      <c r="A715" s="78"/>
      <c r="B715" s="34"/>
      <c r="C715" s="35"/>
      <c r="D715" s="35"/>
      <c r="E715" s="35"/>
      <c r="F715" s="83"/>
      <c r="G715" s="96">
        <f t="shared" si="37"/>
        <v>0</v>
      </c>
      <c r="H715" s="74" t="e">
        <f t="shared" si="39"/>
        <v>#DIV/0!</v>
      </c>
      <c r="I715" s="74" t="e">
        <f t="shared" si="38"/>
        <v>#DIV/0!</v>
      </c>
      <c r="J715" s="62"/>
    </row>
    <row r="716" spans="1:10" ht="14.25" customHeight="1" x14ac:dyDescent="0.3">
      <c r="A716" s="78"/>
      <c r="B716" s="34"/>
      <c r="C716" s="35"/>
      <c r="D716" s="35"/>
      <c r="E716" s="35"/>
      <c r="F716" s="83"/>
      <c r="G716" s="96">
        <f t="shared" si="37"/>
        <v>0</v>
      </c>
      <c r="H716" s="74" t="e">
        <f t="shared" si="39"/>
        <v>#DIV/0!</v>
      </c>
      <c r="I716" s="74" t="e">
        <f t="shared" si="38"/>
        <v>#DIV/0!</v>
      </c>
      <c r="J716" s="62"/>
    </row>
    <row r="717" spans="1:10" ht="14.25" customHeight="1" x14ac:dyDescent="0.3">
      <c r="A717" s="78"/>
      <c r="B717" s="34"/>
      <c r="C717" s="35"/>
      <c r="D717" s="35"/>
      <c r="E717" s="35"/>
      <c r="F717" s="83"/>
      <c r="G717" s="96">
        <f t="shared" si="37"/>
        <v>0</v>
      </c>
      <c r="H717" s="74" t="e">
        <f t="shared" si="39"/>
        <v>#DIV/0!</v>
      </c>
      <c r="I717" s="74" t="e">
        <f t="shared" si="38"/>
        <v>#DIV/0!</v>
      </c>
      <c r="J717" s="62"/>
    </row>
    <row r="718" spans="1:10" ht="14.25" customHeight="1" x14ac:dyDescent="0.3">
      <c r="A718" s="78"/>
      <c r="B718" s="34"/>
      <c r="C718" s="35"/>
      <c r="D718" s="35"/>
      <c r="E718" s="35"/>
      <c r="F718" s="83"/>
      <c r="G718" s="96">
        <f t="shared" si="37"/>
        <v>0</v>
      </c>
      <c r="H718" s="74" t="e">
        <f t="shared" si="39"/>
        <v>#DIV/0!</v>
      </c>
      <c r="I718" s="74" t="e">
        <f t="shared" si="38"/>
        <v>#DIV/0!</v>
      </c>
      <c r="J718" s="62"/>
    </row>
    <row r="719" spans="1:10" ht="14.25" customHeight="1" x14ac:dyDescent="0.3">
      <c r="A719" s="78"/>
      <c r="B719" s="34"/>
      <c r="C719" s="35"/>
      <c r="D719" s="35"/>
      <c r="E719" s="35"/>
      <c r="F719" s="83"/>
      <c r="G719" s="96">
        <f t="shared" si="37"/>
        <v>0</v>
      </c>
      <c r="H719" s="74" t="e">
        <f t="shared" si="39"/>
        <v>#DIV/0!</v>
      </c>
      <c r="I719" s="74" t="e">
        <f t="shared" si="38"/>
        <v>#DIV/0!</v>
      </c>
      <c r="J719" s="62"/>
    </row>
    <row r="720" spans="1:10" ht="14.25" customHeight="1" x14ac:dyDescent="0.3">
      <c r="A720" s="78"/>
      <c r="B720" s="34"/>
      <c r="C720" s="35"/>
      <c r="D720" s="35"/>
      <c r="E720" s="35"/>
      <c r="F720" s="83"/>
      <c r="G720" s="96">
        <f t="shared" si="37"/>
        <v>0</v>
      </c>
      <c r="H720" s="74" t="e">
        <f t="shared" si="39"/>
        <v>#DIV/0!</v>
      </c>
      <c r="I720" s="74" t="e">
        <f t="shared" si="38"/>
        <v>#DIV/0!</v>
      </c>
      <c r="J720" s="62"/>
    </row>
    <row r="721" spans="1:10" ht="14.25" customHeight="1" x14ac:dyDescent="0.3">
      <c r="A721" s="78"/>
      <c r="B721" s="34"/>
      <c r="C721" s="35"/>
      <c r="D721" s="35"/>
      <c r="E721" s="35"/>
      <c r="F721" s="83"/>
      <c r="G721" s="96">
        <f t="shared" si="37"/>
        <v>0</v>
      </c>
      <c r="H721" s="74" t="e">
        <f t="shared" si="39"/>
        <v>#DIV/0!</v>
      </c>
      <c r="I721" s="74" t="e">
        <f t="shared" si="38"/>
        <v>#DIV/0!</v>
      </c>
      <c r="J721" s="62"/>
    </row>
    <row r="722" spans="1:10" ht="14.25" customHeight="1" x14ac:dyDescent="0.3">
      <c r="A722" s="78"/>
      <c r="B722" s="34"/>
      <c r="C722" s="35"/>
      <c r="D722" s="35"/>
      <c r="E722" s="35"/>
      <c r="F722" s="83"/>
      <c r="G722" s="96">
        <f t="shared" si="37"/>
        <v>0</v>
      </c>
      <c r="H722" s="74" t="e">
        <f t="shared" si="39"/>
        <v>#DIV/0!</v>
      </c>
      <c r="I722" s="74" t="e">
        <f t="shared" si="38"/>
        <v>#DIV/0!</v>
      </c>
      <c r="J722" s="62"/>
    </row>
    <row r="723" spans="1:10" ht="14.25" customHeight="1" x14ac:dyDescent="0.3">
      <c r="A723" s="78"/>
      <c r="B723" s="34"/>
      <c r="C723" s="35"/>
      <c r="D723" s="35"/>
      <c r="E723" s="35"/>
      <c r="F723" s="83"/>
      <c r="G723" s="96">
        <f t="shared" si="37"/>
        <v>0</v>
      </c>
      <c r="H723" s="74" t="e">
        <f t="shared" si="39"/>
        <v>#DIV/0!</v>
      </c>
      <c r="I723" s="74" t="e">
        <f t="shared" si="38"/>
        <v>#DIV/0!</v>
      </c>
      <c r="J723" s="62"/>
    </row>
    <row r="724" spans="1:10" ht="14.25" customHeight="1" x14ac:dyDescent="0.3">
      <c r="A724" s="78"/>
      <c r="B724" s="34"/>
      <c r="C724" s="35"/>
      <c r="D724" s="35"/>
      <c r="E724" s="35"/>
      <c r="F724" s="83"/>
      <c r="G724" s="96">
        <f t="shared" si="37"/>
        <v>0</v>
      </c>
      <c r="H724" s="74" t="e">
        <f t="shared" si="39"/>
        <v>#DIV/0!</v>
      </c>
      <c r="I724" s="74" t="e">
        <f t="shared" si="38"/>
        <v>#DIV/0!</v>
      </c>
      <c r="J724" s="62"/>
    </row>
    <row r="725" spans="1:10" ht="14.25" customHeight="1" x14ac:dyDescent="0.3">
      <c r="A725" s="78"/>
      <c r="B725" s="34"/>
      <c r="C725" s="35"/>
      <c r="D725" s="35"/>
      <c r="E725" s="35"/>
      <c r="F725" s="83"/>
      <c r="G725" s="96">
        <f t="shared" si="37"/>
        <v>0</v>
      </c>
      <c r="H725" s="74" t="e">
        <f t="shared" si="39"/>
        <v>#DIV/0!</v>
      </c>
      <c r="I725" s="74" t="e">
        <f t="shared" si="38"/>
        <v>#DIV/0!</v>
      </c>
      <c r="J725" s="62"/>
    </row>
    <row r="726" spans="1:10" ht="14.25" customHeight="1" x14ac:dyDescent="0.3">
      <c r="A726" s="78"/>
      <c r="B726" s="34"/>
      <c r="C726" s="35"/>
      <c r="D726" s="35"/>
      <c r="E726" s="35"/>
      <c r="F726" s="83"/>
      <c r="G726" s="96">
        <f t="shared" si="37"/>
        <v>0</v>
      </c>
      <c r="H726" s="74" t="e">
        <f t="shared" si="39"/>
        <v>#DIV/0!</v>
      </c>
      <c r="I726" s="74" t="e">
        <f t="shared" si="38"/>
        <v>#DIV/0!</v>
      </c>
      <c r="J726" s="62"/>
    </row>
    <row r="727" spans="1:10" ht="14.25" customHeight="1" x14ac:dyDescent="0.3">
      <c r="A727" s="78"/>
      <c r="B727" s="34"/>
      <c r="C727" s="35"/>
      <c r="D727" s="35"/>
      <c r="E727" s="35"/>
      <c r="F727" s="83"/>
      <c r="G727" s="96">
        <f t="shared" si="37"/>
        <v>0</v>
      </c>
      <c r="H727" s="74" t="e">
        <f t="shared" si="39"/>
        <v>#DIV/0!</v>
      </c>
      <c r="I727" s="74" t="e">
        <f t="shared" si="38"/>
        <v>#DIV/0!</v>
      </c>
      <c r="J727" s="62"/>
    </row>
    <row r="728" spans="1:10" ht="14.25" customHeight="1" x14ac:dyDescent="0.3">
      <c r="A728" s="78"/>
      <c r="B728" s="34"/>
      <c r="C728" s="35"/>
      <c r="D728" s="35"/>
      <c r="E728" s="35"/>
      <c r="F728" s="83"/>
      <c r="G728" s="96">
        <f t="shared" si="37"/>
        <v>0</v>
      </c>
      <c r="H728" s="74" t="e">
        <f t="shared" si="39"/>
        <v>#DIV/0!</v>
      </c>
      <c r="I728" s="74" t="e">
        <f t="shared" si="38"/>
        <v>#DIV/0!</v>
      </c>
      <c r="J728" s="62"/>
    </row>
    <row r="729" spans="1:10" ht="14.25" customHeight="1" x14ac:dyDescent="0.3">
      <c r="A729" s="78"/>
      <c r="B729" s="34"/>
      <c r="C729" s="35"/>
      <c r="D729" s="35"/>
      <c r="E729" s="35"/>
      <c r="F729" s="83"/>
      <c r="G729" s="96">
        <f t="shared" si="37"/>
        <v>0</v>
      </c>
      <c r="H729" s="74" t="e">
        <f t="shared" si="39"/>
        <v>#DIV/0!</v>
      </c>
      <c r="I729" s="74" t="e">
        <f t="shared" si="38"/>
        <v>#DIV/0!</v>
      </c>
      <c r="J729" s="62"/>
    </row>
    <row r="730" spans="1:10" ht="14.25" customHeight="1" x14ac:dyDescent="0.3">
      <c r="A730" s="78"/>
      <c r="B730" s="34"/>
      <c r="C730" s="35"/>
      <c r="D730" s="35"/>
      <c r="E730" s="35"/>
      <c r="F730" s="83"/>
      <c r="G730" s="96">
        <f t="shared" si="37"/>
        <v>0</v>
      </c>
      <c r="H730" s="74" t="e">
        <f t="shared" si="39"/>
        <v>#DIV/0!</v>
      </c>
      <c r="I730" s="74" t="e">
        <f t="shared" si="38"/>
        <v>#DIV/0!</v>
      </c>
      <c r="J730" s="62"/>
    </row>
    <row r="731" spans="1:10" ht="14.25" customHeight="1" x14ac:dyDescent="0.3">
      <c r="A731" s="78"/>
      <c r="B731" s="34"/>
      <c r="C731" s="35"/>
      <c r="D731" s="35"/>
      <c r="E731" s="35"/>
      <c r="F731" s="83"/>
      <c r="G731" s="96">
        <f t="shared" si="37"/>
        <v>0</v>
      </c>
      <c r="H731" s="74" t="e">
        <f t="shared" si="39"/>
        <v>#DIV/0!</v>
      </c>
      <c r="I731" s="74" t="e">
        <f t="shared" si="38"/>
        <v>#DIV/0!</v>
      </c>
      <c r="J731" s="62"/>
    </row>
    <row r="732" spans="1:10" ht="14.25" customHeight="1" x14ac:dyDescent="0.3">
      <c r="A732" s="78"/>
      <c r="B732" s="34"/>
      <c r="C732" s="35"/>
      <c r="D732" s="35"/>
      <c r="E732" s="35"/>
      <c r="F732" s="83"/>
      <c r="G732" s="96">
        <f t="shared" si="37"/>
        <v>0</v>
      </c>
      <c r="H732" s="74" t="e">
        <f t="shared" si="39"/>
        <v>#DIV/0!</v>
      </c>
      <c r="I732" s="74" t="e">
        <f t="shared" si="38"/>
        <v>#DIV/0!</v>
      </c>
      <c r="J732" s="62"/>
    </row>
    <row r="733" spans="1:10" ht="14.25" customHeight="1" x14ac:dyDescent="0.3">
      <c r="A733" s="78"/>
      <c r="B733" s="34"/>
      <c r="C733" s="35"/>
      <c r="D733" s="35"/>
      <c r="E733" s="35"/>
      <c r="F733" s="83"/>
      <c r="G733" s="96">
        <f t="shared" si="37"/>
        <v>0</v>
      </c>
      <c r="H733" s="74" t="e">
        <f t="shared" si="39"/>
        <v>#DIV/0!</v>
      </c>
      <c r="I733" s="74" t="e">
        <f t="shared" si="38"/>
        <v>#DIV/0!</v>
      </c>
      <c r="J733" s="62"/>
    </row>
    <row r="734" spans="1:10" ht="14.25" customHeight="1" x14ac:dyDescent="0.3">
      <c r="A734" s="78"/>
      <c r="B734" s="34"/>
      <c r="C734" s="35"/>
      <c r="D734" s="35"/>
      <c r="E734" s="35"/>
      <c r="F734" s="83"/>
      <c r="G734" s="96">
        <f t="shared" si="37"/>
        <v>0</v>
      </c>
      <c r="H734" s="74" t="e">
        <f t="shared" si="39"/>
        <v>#DIV/0!</v>
      </c>
      <c r="I734" s="74" t="e">
        <f t="shared" si="38"/>
        <v>#DIV/0!</v>
      </c>
      <c r="J734" s="62"/>
    </row>
    <row r="735" spans="1:10" ht="14.25" customHeight="1" x14ac:dyDescent="0.3">
      <c r="A735" s="78"/>
      <c r="B735" s="34"/>
      <c r="C735" s="35"/>
      <c r="D735" s="35"/>
      <c r="E735" s="35"/>
      <c r="F735" s="83"/>
      <c r="G735" s="96">
        <f t="shared" si="37"/>
        <v>0</v>
      </c>
      <c r="H735" s="74" t="e">
        <f t="shared" si="39"/>
        <v>#DIV/0!</v>
      </c>
      <c r="I735" s="74" t="e">
        <f t="shared" si="38"/>
        <v>#DIV/0!</v>
      </c>
      <c r="J735" s="62"/>
    </row>
    <row r="736" spans="1:10" ht="14.25" customHeight="1" x14ac:dyDescent="0.3">
      <c r="A736" s="78"/>
      <c r="B736" s="34"/>
      <c r="C736" s="35"/>
      <c r="D736" s="35"/>
      <c r="E736" s="35"/>
      <c r="F736" s="83"/>
      <c r="G736" s="96">
        <f t="shared" si="37"/>
        <v>0</v>
      </c>
      <c r="H736" s="74" t="e">
        <f t="shared" si="39"/>
        <v>#DIV/0!</v>
      </c>
      <c r="I736" s="74" t="e">
        <f t="shared" si="38"/>
        <v>#DIV/0!</v>
      </c>
      <c r="J736" s="62"/>
    </row>
    <row r="737" spans="1:10" ht="14.25" customHeight="1" x14ac:dyDescent="0.3">
      <c r="A737" s="78"/>
      <c r="B737" s="34"/>
      <c r="C737" s="35"/>
      <c r="D737" s="35"/>
      <c r="E737" s="35"/>
      <c r="F737" s="83"/>
      <c r="G737" s="96">
        <f t="shared" si="37"/>
        <v>0</v>
      </c>
      <c r="H737" s="74" t="e">
        <f t="shared" si="39"/>
        <v>#DIV/0!</v>
      </c>
      <c r="I737" s="74" t="e">
        <f t="shared" si="38"/>
        <v>#DIV/0!</v>
      </c>
      <c r="J737" s="62"/>
    </row>
    <row r="738" spans="1:10" ht="14.25" customHeight="1" x14ac:dyDescent="0.3">
      <c r="A738" s="78"/>
      <c r="B738" s="34"/>
      <c r="C738" s="35"/>
      <c r="D738" s="35"/>
      <c r="E738" s="35"/>
      <c r="F738" s="83"/>
      <c r="G738" s="96">
        <f t="shared" si="37"/>
        <v>0</v>
      </c>
      <c r="H738" s="74" t="e">
        <f t="shared" si="39"/>
        <v>#DIV/0!</v>
      </c>
      <c r="I738" s="74" t="e">
        <f t="shared" si="38"/>
        <v>#DIV/0!</v>
      </c>
      <c r="J738" s="62"/>
    </row>
    <row r="739" spans="1:10" ht="14.25" customHeight="1" x14ac:dyDescent="0.3">
      <c r="A739" s="78"/>
      <c r="B739" s="34"/>
      <c r="C739" s="35"/>
      <c r="D739" s="35"/>
      <c r="E739" s="35"/>
      <c r="F739" s="83"/>
      <c r="G739" s="96">
        <f t="shared" si="37"/>
        <v>0</v>
      </c>
      <c r="H739" s="74" t="e">
        <f t="shared" si="39"/>
        <v>#DIV/0!</v>
      </c>
      <c r="I739" s="74" t="e">
        <f t="shared" si="38"/>
        <v>#DIV/0!</v>
      </c>
      <c r="J739" s="62"/>
    </row>
    <row r="740" spans="1:10" ht="14.25" customHeight="1" x14ac:dyDescent="0.3">
      <c r="A740" s="78"/>
      <c r="B740" s="34"/>
      <c r="C740" s="35"/>
      <c r="D740" s="35"/>
      <c r="E740" s="35"/>
      <c r="F740" s="83"/>
      <c r="G740" s="96">
        <f t="shared" si="37"/>
        <v>0</v>
      </c>
      <c r="H740" s="74" t="e">
        <f t="shared" si="39"/>
        <v>#DIV/0!</v>
      </c>
      <c r="I740" s="74" t="e">
        <f t="shared" si="38"/>
        <v>#DIV/0!</v>
      </c>
      <c r="J740" s="62"/>
    </row>
    <row r="741" spans="1:10" ht="14.25" customHeight="1" x14ac:dyDescent="0.3">
      <c r="A741" s="78"/>
      <c r="B741" s="34"/>
      <c r="C741" s="35"/>
      <c r="D741" s="35"/>
      <c r="E741" s="35"/>
      <c r="F741" s="83"/>
      <c r="G741" s="96">
        <f t="shared" si="37"/>
        <v>0</v>
      </c>
      <c r="H741" s="74" t="e">
        <f t="shared" si="39"/>
        <v>#DIV/0!</v>
      </c>
      <c r="I741" s="74" t="e">
        <f t="shared" si="38"/>
        <v>#DIV/0!</v>
      </c>
      <c r="J741" s="62"/>
    </row>
    <row r="742" spans="1:10" ht="14.25" customHeight="1" x14ac:dyDescent="0.3">
      <c r="A742" s="78"/>
      <c r="B742" s="34"/>
      <c r="C742" s="35"/>
      <c r="D742" s="35"/>
      <c r="E742" s="35"/>
      <c r="F742" s="83"/>
      <c r="G742" s="96">
        <f t="shared" si="37"/>
        <v>0</v>
      </c>
      <c r="H742" s="74" t="e">
        <f t="shared" si="39"/>
        <v>#DIV/0!</v>
      </c>
      <c r="I742" s="74" t="e">
        <f t="shared" si="38"/>
        <v>#DIV/0!</v>
      </c>
      <c r="J742" s="62"/>
    </row>
    <row r="743" spans="1:10" ht="14.25" customHeight="1" x14ac:dyDescent="0.3">
      <c r="A743" s="78"/>
      <c r="B743" s="34"/>
      <c r="C743" s="35"/>
      <c r="D743" s="35"/>
      <c r="E743" s="35"/>
      <c r="F743" s="83"/>
      <c r="G743" s="96">
        <f t="shared" si="37"/>
        <v>0</v>
      </c>
      <c r="H743" s="74" t="e">
        <f t="shared" si="39"/>
        <v>#DIV/0!</v>
      </c>
      <c r="I743" s="74" t="e">
        <f t="shared" si="38"/>
        <v>#DIV/0!</v>
      </c>
      <c r="J743" s="62"/>
    </row>
    <row r="744" spans="1:10" ht="14.25" customHeight="1" x14ac:dyDescent="0.3">
      <c r="A744" s="78"/>
      <c r="B744" s="34"/>
      <c r="C744" s="35"/>
      <c r="D744" s="35"/>
      <c r="E744" s="35"/>
      <c r="F744" s="83"/>
      <c r="G744" s="96">
        <f t="shared" si="37"/>
        <v>0</v>
      </c>
      <c r="H744" s="74" t="e">
        <f t="shared" si="39"/>
        <v>#DIV/0!</v>
      </c>
      <c r="I744" s="74" t="e">
        <f t="shared" si="38"/>
        <v>#DIV/0!</v>
      </c>
      <c r="J744" s="62"/>
    </row>
    <row r="745" spans="1:10" ht="14.25" customHeight="1" x14ac:dyDescent="0.3">
      <c r="A745" s="78"/>
      <c r="B745" s="34"/>
      <c r="C745" s="35"/>
      <c r="D745" s="35"/>
      <c r="E745" s="35"/>
      <c r="F745" s="83"/>
      <c r="G745" s="96">
        <f t="shared" si="37"/>
        <v>0</v>
      </c>
      <c r="H745" s="74" t="e">
        <f t="shared" si="39"/>
        <v>#DIV/0!</v>
      </c>
      <c r="I745" s="74" t="e">
        <f t="shared" si="38"/>
        <v>#DIV/0!</v>
      </c>
      <c r="J745" s="62"/>
    </row>
    <row r="746" spans="1:10" ht="14.25" customHeight="1" x14ac:dyDescent="0.3">
      <c r="A746" s="78"/>
      <c r="B746" s="34"/>
      <c r="C746" s="35"/>
      <c r="D746" s="35"/>
      <c r="E746" s="35"/>
      <c r="F746" s="83"/>
      <c r="G746" s="96">
        <f t="shared" si="37"/>
        <v>0</v>
      </c>
      <c r="H746" s="74" t="e">
        <f t="shared" si="39"/>
        <v>#DIV/0!</v>
      </c>
      <c r="I746" s="74" t="e">
        <f t="shared" si="38"/>
        <v>#DIV/0!</v>
      </c>
      <c r="J746" s="62"/>
    </row>
    <row r="747" spans="1:10" ht="14.25" customHeight="1" x14ac:dyDescent="0.3">
      <c r="A747" s="78"/>
      <c r="B747" s="34"/>
      <c r="C747" s="35"/>
      <c r="D747" s="35"/>
      <c r="E747" s="35"/>
      <c r="F747" s="83"/>
      <c r="G747" s="96">
        <f t="shared" si="37"/>
        <v>0</v>
      </c>
      <c r="H747" s="74" t="e">
        <f t="shared" si="39"/>
        <v>#DIV/0!</v>
      </c>
      <c r="I747" s="74" t="e">
        <f t="shared" si="38"/>
        <v>#DIV/0!</v>
      </c>
      <c r="J747" s="62"/>
    </row>
    <row r="748" spans="1:10" ht="14.25" customHeight="1" x14ac:dyDescent="0.3">
      <c r="A748" s="78"/>
      <c r="B748" s="34"/>
      <c r="C748" s="35"/>
      <c r="D748" s="35"/>
      <c r="E748" s="35"/>
      <c r="F748" s="83"/>
      <c r="G748" s="96">
        <f t="shared" si="37"/>
        <v>0</v>
      </c>
      <c r="H748" s="74" t="e">
        <f t="shared" si="39"/>
        <v>#DIV/0!</v>
      </c>
      <c r="I748" s="74" t="e">
        <f t="shared" si="38"/>
        <v>#DIV/0!</v>
      </c>
      <c r="J748" s="62"/>
    </row>
    <row r="749" spans="1:10" ht="14.25" customHeight="1" x14ac:dyDescent="0.3">
      <c r="A749" s="78"/>
      <c r="B749" s="34"/>
      <c r="C749" s="35"/>
      <c r="D749" s="35"/>
      <c r="E749" s="35"/>
      <c r="F749" s="83"/>
      <c r="G749" s="96">
        <f t="shared" si="37"/>
        <v>0</v>
      </c>
      <c r="H749" s="74" t="e">
        <f t="shared" si="39"/>
        <v>#DIV/0!</v>
      </c>
      <c r="I749" s="74" t="e">
        <f t="shared" si="38"/>
        <v>#DIV/0!</v>
      </c>
      <c r="J749" s="62"/>
    </row>
    <row r="750" spans="1:10" ht="14.25" customHeight="1" x14ac:dyDescent="0.3">
      <c r="A750" s="78"/>
      <c r="B750" s="34"/>
      <c r="C750" s="35"/>
      <c r="D750" s="35"/>
      <c r="E750" s="35"/>
      <c r="F750" s="83"/>
      <c r="G750" s="96">
        <f t="shared" si="37"/>
        <v>0</v>
      </c>
      <c r="H750" s="74" t="e">
        <f t="shared" si="39"/>
        <v>#DIV/0!</v>
      </c>
      <c r="I750" s="74" t="e">
        <f t="shared" si="38"/>
        <v>#DIV/0!</v>
      </c>
      <c r="J750" s="62"/>
    </row>
    <row r="751" spans="1:10" ht="14.25" customHeight="1" x14ac:dyDescent="0.3">
      <c r="A751" s="78"/>
      <c r="B751" s="34"/>
      <c r="C751" s="35"/>
      <c r="D751" s="35"/>
      <c r="E751" s="35"/>
      <c r="F751" s="83"/>
      <c r="G751" s="96">
        <f t="shared" si="37"/>
        <v>0</v>
      </c>
      <c r="H751" s="74" t="e">
        <f t="shared" si="39"/>
        <v>#DIV/0!</v>
      </c>
      <c r="I751" s="74" t="e">
        <f t="shared" si="38"/>
        <v>#DIV/0!</v>
      </c>
      <c r="J751" s="62"/>
    </row>
    <row r="752" spans="1:10" ht="14.25" customHeight="1" x14ac:dyDescent="0.3">
      <c r="A752" s="78"/>
      <c r="B752" s="34"/>
      <c r="C752" s="35"/>
      <c r="D752" s="35"/>
      <c r="E752" s="35"/>
      <c r="F752" s="83"/>
      <c r="G752" s="96">
        <f t="shared" si="37"/>
        <v>0</v>
      </c>
      <c r="H752" s="74" t="e">
        <f t="shared" si="39"/>
        <v>#DIV/0!</v>
      </c>
      <c r="I752" s="74" t="e">
        <f t="shared" si="38"/>
        <v>#DIV/0!</v>
      </c>
      <c r="J752" s="62"/>
    </row>
    <row r="753" spans="1:10" ht="14.25" customHeight="1" x14ac:dyDescent="0.3">
      <c r="A753" s="78"/>
      <c r="B753" s="34"/>
      <c r="C753" s="35"/>
      <c r="D753" s="35"/>
      <c r="E753" s="35"/>
      <c r="F753" s="83"/>
      <c r="G753" s="96">
        <f t="shared" si="37"/>
        <v>0</v>
      </c>
      <c r="H753" s="74" t="e">
        <f t="shared" si="39"/>
        <v>#DIV/0!</v>
      </c>
      <c r="I753" s="74" t="e">
        <f t="shared" si="38"/>
        <v>#DIV/0!</v>
      </c>
      <c r="J753" s="62"/>
    </row>
    <row r="754" spans="1:10" ht="14.25" customHeight="1" x14ac:dyDescent="0.3">
      <c r="A754" s="78"/>
      <c r="B754" s="34"/>
      <c r="C754" s="35"/>
      <c r="D754" s="35"/>
      <c r="E754" s="35"/>
      <c r="F754" s="83"/>
      <c r="G754" s="96">
        <f t="shared" si="37"/>
        <v>0</v>
      </c>
      <c r="H754" s="74" t="e">
        <f t="shared" si="39"/>
        <v>#DIV/0!</v>
      </c>
      <c r="I754" s="74" t="e">
        <f t="shared" si="38"/>
        <v>#DIV/0!</v>
      </c>
      <c r="J754" s="62"/>
    </row>
    <row r="755" spans="1:10" ht="14.25" customHeight="1" x14ac:dyDescent="0.3">
      <c r="A755" s="78"/>
      <c r="B755" s="34"/>
      <c r="C755" s="35"/>
      <c r="D755" s="35"/>
      <c r="E755" s="35"/>
      <c r="F755" s="83"/>
      <c r="G755" s="96">
        <f t="shared" si="37"/>
        <v>0</v>
      </c>
      <c r="H755" s="74" t="e">
        <f t="shared" si="39"/>
        <v>#DIV/0!</v>
      </c>
      <c r="I755" s="74" t="e">
        <f t="shared" si="38"/>
        <v>#DIV/0!</v>
      </c>
      <c r="J755" s="62"/>
    </row>
    <row r="756" spans="1:10" ht="14.25" customHeight="1" x14ac:dyDescent="0.3">
      <c r="A756" s="78"/>
      <c r="B756" s="34"/>
      <c r="C756" s="35"/>
      <c r="D756" s="35"/>
      <c r="E756" s="35"/>
      <c r="F756" s="83"/>
      <c r="G756" s="96">
        <f t="shared" si="37"/>
        <v>0</v>
      </c>
      <c r="H756" s="74" t="e">
        <f t="shared" si="39"/>
        <v>#DIV/0!</v>
      </c>
      <c r="I756" s="74" t="e">
        <f t="shared" si="38"/>
        <v>#DIV/0!</v>
      </c>
      <c r="J756" s="62"/>
    </row>
    <row r="757" spans="1:10" ht="14.25" customHeight="1" x14ac:dyDescent="0.3">
      <c r="A757" s="78"/>
      <c r="B757" s="34"/>
      <c r="C757" s="35"/>
      <c r="D757" s="35"/>
      <c r="E757" s="35"/>
      <c r="F757" s="83"/>
      <c r="G757" s="96">
        <f t="shared" si="37"/>
        <v>0</v>
      </c>
      <c r="H757" s="74" t="e">
        <f t="shared" si="39"/>
        <v>#DIV/0!</v>
      </c>
      <c r="I757" s="74" t="e">
        <f t="shared" si="38"/>
        <v>#DIV/0!</v>
      </c>
      <c r="J757" s="62"/>
    </row>
    <row r="758" spans="1:10" ht="14.25" customHeight="1" x14ac:dyDescent="0.3">
      <c r="A758" s="78"/>
      <c r="B758" s="34"/>
      <c r="C758" s="35"/>
      <c r="D758" s="35"/>
      <c r="E758" s="35"/>
      <c r="F758" s="83"/>
      <c r="G758" s="96">
        <f t="shared" si="37"/>
        <v>0</v>
      </c>
      <c r="H758" s="74" t="e">
        <f t="shared" si="39"/>
        <v>#DIV/0!</v>
      </c>
      <c r="I758" s="74" t="e">
        <f t="shared" si="38"/>
        <v>#DIV/0!</v>
      </c>
      <c r="J758" s="62"/>
    </row>
    <row r="759" spans="1:10" ht="14.25" customHeight="1" x14ac:dyDescent="0.3">
      <c r="A759" s="78"/>
      <c r="B759" s="34"/>
      <c r="C759" s="35"/>
      <c r="D759" s="35"/>
      <c r="E759" s="35"/>
      <c r="F759" s="83"/>
      <c r="G759" s="96">
        <f t="shared" si="37"/>
        <v>0</v>
      </c>
      <c r="H759" s="74" t="e">
        <f t="shared" si="39"/>
        <v>#DIV/0!</v>
      </c>
      <c r="I759" s="74" t="e">
        <f t="shared" si="38"/>
        <v>#DIV/0!</v>
      </c>
      <c r="J759" s="62"/>
    </row>
    <row r="760" spans="1:10" ht="14.25" customHeight="1" x14ac:dyDescent="0.3">
      <c r="A760" s="78"/>
      <c r="B760" s="34"/>
      <c r="C760" s="35"/>
      <c r="D760" s="35"/>
      <c r="E760" s="35"/>
      <c r="F760" s="83"/>
      <c r="G760" s="96">
        <f t="shared" si="37"/>
        <v>0</v>
      </c>
      <c r="H760" s="74" t="e">
        <f t="shared" si="39"/>
        <v>#DIV/0!</v>
      </c>
      <c r="I760" s="74" t="e">
        <f t="shared" si="38"/>
        <v>#DIV/0!</v>
      </c>
      <c r="J760" s="62"/>
    </row>
    <row r="761" spans="1:10" ht="14.25" customHeight="1" x14ac:dyDescent="0.3">
      <c r="A761" s="78"/>
      <c r="B761" s="34"/>
      <c r="C761" s="35"/>
      <c r="D761" s="35"/>
      <c r="E761" s="35"/>
      <c r="F761" s="83"/>
      <c r="G761" s="96">
        <f t="shared" si="37"/>
        <v>0</v>
      </c>
      <c r="H761" s="74" t="e">
        <f t="shared" si="39"/>
        <v>#DIV/0!</v>
      </c>
      <c r="I761" s="74" t="e">
        <f t="shared" si="38"/>
        <v>#DIV/0!</v>
      </c>
      <c r="J761" s="62"/>
    </row>
    <row r="762" spans="1:10" ht="14.25" customHeight="1" x14ac:dyDescent="0.3">
      <c r="A762" s="78"/>
      <c r="B762" s="34"/>
      <c r="C762" s="35"/>
      <c r="D762" s="35"/>
      <c r="E762" s="35"/>
      <c r="F762" s="83"/>
      <c r="G762" s="96">
        <f t="shared" si="37"/>
        <v>0</v>
      </c>
      <c r="H762" s="74" t="e">
        <f t="shared" si="39"/>
        <v>#DIV/0!</v>
      </c>
      <c r="I762" s="74" t="e">
        <f t="shared" si="38"/>
        <v>#DIV/0!</v>
      </c>
      <c r="J762" s="62"/>
    </row>
    <row r="763" spans="1:10" ht="14.25" customHeight="1" x14ac:dyDescent="0.3">
      <c r="A763" s="78"/>
      <c r="B763" s="34"/>
      <c r="C763" s="35"/>
      <c r="D763" s="35"/>
      <c r="E763" s="35"/>
      <c r="F763" s="83"/>
      <c r="G763" s="96">
        <f t="shared" si="37"/>
        <v>0</v>
      </c>
      <c r="H763" s="74" t="e">
        <f t="shared" si="39"/>
        <v>#DIV/0!</v>
      </c>
      <c r="I763" s="74" t="e">
        <f t="shared" si="38"/>
        <v>#DIV/0!</v>
      </c>
      <c r="J763" s="62"/>
    </row>
    <row r="764" spans="1:10" ht="14.25" customHeight="1" x14ac:dyDescent="0.3">
      <c r="A764" s="78"/>
      <c r="B764" s="34"/>
      <c r="C764" s="35"/>
      <c r="D764" s="35"/>
      <c r="E764" s="35"/>
      <c r="F764" s="83"/>
      <c r="G764" s="96">
        <f t="shared" si="37"/>
        <v>0</v>
      </c>
      <c r="H764" s="74" t="e">
        <f t="shared" si="39"/>
        <v>#DIV/0!</v>
      </c>
      <c r="I764" s="74" t="e">
        <f t="shared" si="38"/>
        <v>#DIV/0!</v>
      </c>
      <c r="J764" s="62"/>
    </row>
    <row r="765" spans="1:10" ht="14.25" customHeight="1" x14ac:dyDescent="0.3">
      <c r="A765" s="78"/>
      <c r="B765" s="34"/>
      <c r="C765" s="35"/>
      <c r="D765" s="35"/>
      <c r="E765" s="35"/>
      <c r="F765" s="83"/>
      <c r="G765" s="96">
        <f t="shared" si="37"/>
        <v>0</v>
      </c>
      <c r="H765" s="74" t="e">
        <f t="shared" si="39"/>
        <v>#DIV/0!</v>
      </c>
      <c r="I765" s="74" t="e">
        <f t="shared" si="38"/>
        <v>#DIV/0!</v>
      </c>
      <c r="J765" s="62"/>
    </row>
    <row r="766" spans="1:10" ht="14.25" customHeight="1" x14ac:dyDescent="0.3">
      <c r="A766" s="78"/>
      <c r="B766" s="34"/>
      <c r="C766" s="35"/>
      <c r="D766" s="35"/>
      <c r="E766" s="35"/>
      <c r="F766" s="83"/>
      <c r="G766" s="96">
        <f t="shared" si="37"/>
        <v>0</v>
      </c>
      <c r="H766" s="74" t="e">
        <f t="shared" si="39"/>
        <v>#DIV/0!</v>
      </c>
      <c r="I766" s="74" t="e">
        <f t="shared" si="38"/>
        <v>#DIV/0!</v>
      </c>
      <c r="J766" s="62"/>
    </row>
    <row r="767" spans="1:10" ht="14.25" customHeight="1" x14ac:dyDescent="0.3">
      <c r="A767" s="78"/>
      <c r="B767" s="34"/>
      <c r="C767" s="35"/>
      <c r="D767" s="35"/>
      <c r="E767" s="35"/>
      <c r="F767" s="83"/>
      <c r="G767" s="96">
        <f t="shared" si="37"/>
        <v>0</v>
      </c>
      <c r="H767" s="74" t="e">
        <f t="shared" si="39"/>
        <v>#DIV/0!</v>
      </c>
      <c r="I767" s="74" t="e">
        <f t="shared" si="38"/>
        <v>#DIV/0!</v>
      </c>
      <c r="J767" s="62"/>
    </row>
    <row r="768" spans="1:10" ht="14.25" customHeight="1" x14ac:dyDescent="0.3">
      <c r="A768" s="78"/>
      <c r="B768" s="34"/>
      <c r="C768" s="35"/>
      <c r="D768" s="35"/>
      <c r="E768" s="35"/>
      <c r="F768" s="83"/>
      <c r="G768" s="96">
        <f t="shared" si="37"/>
        <v>0</v>
      </c>
      <c r="H768" s="74" t="e">
        <f t="shared" si="39"/>
        <v>#DIV/0!</v>
      </c>
      <c r="I768" s="74" t="e">
        <f t="shared" si="38"/>
        <v>#DIV/0!</v>
      </c>
      <c r="J768" s="62"/>
    </row>
    <row r="769" spans="1:10" ht="14.25" customHeight="1" x14ac:dyDescent="0.3">
      <c r="A769" s="78"/>
      <c r="B769" s="34"/>
      <c r="C769" s="35"/>
      <c r="D769" s="35"/>
      <c r="E769" s="35"/>
      <c r="F769" s="83"/>
      <c r="G769" s="96">
        <f t="shared" si="37"/>
        <v>0</v>
      </c>
      <c r="H769" s="74" t="e">
        <f t="shared" si="39"/>
        <v>#DIV/0!</v>
      </c>
      <c r="I769" s="74" t="e">
        <f t="shared" si="38"/>
        <v>#DIV/0!</v>
      </c>
      <c r="J769" s="62"/>
    </row>
    <row r="770" spans="1:10" ht="14.25" customHeight="1" x14ac:dyDescent="0.3">
      <c r="A770" s="78"/>
      <c r="B770" s="34"/>
      <c r="C770" s="35"/>
      <c r="D770" s="35"/>
      <c r="E770" s="35"/>
      <c r="F770" s="83"/>
      <c r="G770" s="96">
        <f t="shared" ref="G770:G833" si="40">C770-D770</f>
        <v>0</v>
      </c>
      <c r="H770" s="74" t="e">
        <f t="shared" si="39"/>
        <v>#DIV/0!</v>
      </c>
      <c r="I770" s="74" t="e">
        <f t="shared" ref="I770:I833" si="41">(C770 - D770) / (E770 - C770)</f>
        <v>#DIV/0!</v>
      </c>
      <c r="J770" s="62"/>
    </row>
    <row r="771" spans="1:10" ht="14.25" customHeight="1" x14ac:dyDescent="0.3">
      <c r="A771" s="78"/>
      <c r="B771" s="34"/>
      <c r="C771" s="35"/>
      <c r="D771" s="35"/>
      <c r="E771" s="35"/>
      <c r="F771" s="83"/>
      <c r="G771" s="96">
        <f t="shared" si="40"/>
        <v>0</v>
      </c>
      <c r="H771" s="74" t="e">
        <f t="shared" si="39"/>
        <v>#DIV/0!</v>
      </c>
      <c r="I771" s="74" t="e">
        <f t="shared" si="41"/>
        <v>#DIV/0!</v>
      </c>
      <c r="J771" s="62"/>
    </row>
    <row r="772" spans="1:10" ht="14.25" customHeight="1" x14ac:dyDescent="0.3">
      <c r="A772" s="78"/>
      <c r="B772" s="34"/>
      <c r="C772" s="35"/>
      <c r="D772" s="35"/>
      <c r="E772" s="35"/>
      <c r="F772" s="83"/>
      <c r="G772" s="96">
        <f t="shared" si="40"/>
        <v>0</v>
      </c>
      <c r="H772" s="74" t="e">
        <f t="shared" si="39"/>
        <v>#DIV/0!</v>
      </c>
      <c r="I772" s="74" t="e">
        <f t="shared" si="41"/>
        <v>#DIV/0!</v>
      </c>
      <c r="J772" s="62"/>
    </row>
    <row r="773" spans="1:10" ht="14.25" customHeight="1" x14ac:dyDescent="0.3">
      <c r="A773" s="78"/>
      <c r="B773" s="34"/>
      <c r="C773" s="35"/>
      <c r="D773" s="35"/>
      <c r="E773" s="35"/>
      <c r="F773" s="83"/>
      <c r="G773" s="96">
        <f t="shared" si="40"/>
        <v>0</v>
      </c>
      <c r="H773" s="74" t="e">
        <f t="shared" si="39"/>
        <v>#DIV/0!</v>
      </c>
      <c r="I773" s="74" t="e">
        <f t="shared" si="41"/>
        <v>#DIV/0!</v>
      </c>
      <c r="J773" s="62"/>
    </row>
    <row r="774" spans="1:10" ht="14.25" customHeight="1" x14ac:dyDescent="0.3">
      <c r="A774" s="78"/>
      <c r="B774" s="34"/>
      <c r="C774" s="35"/>
      <c r="D774" s="35"/>
      <c r="E774" s="35"/>
      <c r="F774" s="83"/>
      <c r="G774" s="96">
        <f t="shared" si="40"/>
        <v>0</v>
      </c>
      <c r="H774" s="74" t="e">
        <f t="shared" si="39"/>
        <v>#DIV/0!</v>
      </c>
      <c r="I774" s="74" t="e">
        <f t="shared" si="41"/>
        <v>#DIV/0!</v>
      </c>
      <c r="J774" s="62"/>
    </row>
    <row r="775" spans="1:10" ht="14.25" customHeight="1" x14ac:dyDescent="0.3">
      <c r="A775" s="78"/>
      <c r="B775" s="34"/>
      <c r="C775" s="35"/>
      <c r="D775" s="35"/>
      <c r="E775" s="35"/>
      <c r="F775" s="83"/>
      <c r="G775" s="96">
        <f t="shared" si="40"/>
        <v>0</v>
      </c>
      <c r="H775" s="74" t="e">
        <f t="shared" si="39"/>
        <v>#DIV/0!</v>
      </c>
      <c r="I775" s="74" t="e">
        <f t="shared" si="41"/>
        <v>#DIV/0!</v>
      </c>
      <c r="J775" s="62"/>
    </row>
    <row r="776" spans="1:10" ht="14.25" customHeight="1" x14ac:dyDescent="0.3">
      <c r="A776" s="78"/>
      <c r="B776" s="34"/>
      <c r="C776" s="35"/>
      <c r="D776" s="35"/>
      <c r="E776" s="35"/>
      <c r="F776" s="83"/>
      <c r="G776" s="96">
        <f t="shared" si="40"/>
        <v>0</v>
      </c>
      <c r="H776" s="74" t="e">
        <f t="shared" si="39"/>
        <v>#DIV/0!</v>
      </c>
      <c r="I776" s="74" t="e">
        <f t="shared" si="41"/>
        <v>#DIV/0!</v>
      </c>
      <c r="J776" s="62"/>
    </row>
    <row r="777" spans="1:10" ht="14.25" customHeight="1" x14ac:dyDescent="0.3">
      <c r="A777" s="78"/>
      <c r="B777" s="34"/>
      <c r="C777" s="35"/>
      <c r="D777" s="35"/>
      <c r="E777" s="35"/>
      <c r="F777" s="83"/>
      <c r="G777" s="96">
        <f t="shared" si="40"/>
        <v>0</v>
      </c>
      <c r="H777" s="74" t="e">
        <f t="shared" si="39"/>
        <v>#DIV/0!</v>
      </c>
      <c r="I777" s="74" t="e">
        <f t="shared" si="41"/>
        <v>#DIV/0!</v>
      </c>
      <c r="J777" s="62"/>
    </row>
    <row r="778" spans="1:10" ht="14.25" customHeight="1" x14ac:dyDescent="0.3">
      <c r="A778" s="78"/>
      <c r="B778" s="34"/>
      <c r="C778" s="35"/>
      <c r="D778" s="35"/>
      <c r="E778" s="35"/>
      <c r="F778" s="83"/>
      <c r="G778" s="96">
        <f t="shared" si="40"/>
        <v>0</v>
      </c>
      <c r="H778" s="74" t="e">
        <f t="shared" ref="H778:H841" si="42">(C778-D778)/E778</f>
        <v>#DIV/0!</v>
      </c>
      <c r="I778" s="74" t="e">
        <f t="shared" si="41"/>
        <v>#DIV/0!</v>
      </c>
      <c r="J778" s="62"/>
    </row>
    <row r="779" spans="1:10" ht="14.25" customHeight="1" x14ac:dyDescent="0.3">
      <c r="A779" s="78"/>
      <c r="B779" s="34"/>
      <c r="C779" s="35"/>
      <c r="D779" s="35"/>
      <c r="E779" s="35"/>
      <c r="F779" s="83"/>
      <c r="G779" s="96">
        <f t="shared" si="40"/>
        <v>0</v>
      </c>
      <c r="H779" s="74" t="e">
        <f t="shared" si="42"/>
        <v>#DIV/0!</v>
      </c>
      <c r="I779" s="74" t="e">
        <f t="shared" si="41"/>
        <v>#DIV/0!</v>
      </c>
      <c r="J779" s="62"/>
    </row>
    <row r="780" spans="1:10" ht="14.25" customHeight="1" x14ac:dyDescent="0.3">
      <c r="A780" s="78"/>
      <c r="B780" s="34"/>
      <c r="C780" s="35"/>
      <c r="D780" s="35"/>
      <c r="E780" s="35"/>
      <c r="F780" s="83"/>
      <c r="G780" s="96">
        <f t="shared" si="40"/>
        <v>0</v>
      </c>
      <c r="H780" s="74" t="e">
        <f t="shared" si="42"/>
        <v>#DIV/0!</v>
      </c>
      <c r="I780" s="74" t="e">
        <f t="shared" si="41"/>
        <v>#DIV/0!</v>
      </c>
      <c r="J780" s="62"/>
    </row>
    <row r="781" spans="1:10" ht="14.25" customHeight="1" x14ac:dyDescent="0.3">
      <c r="A781" s="78"/>
      <c r="B781" s="34"/>
      <c r="C781" s="35"/>
      <c r="D781" s="35"/>
      <c r="E781" s="35"/>
      <c r="F781" s="83"/>
      <c r="G781" s="96">
        <f t="shared" si="40"/>
        <v>0</v>
      </c>
      <c r="H781" s="74" t="e">
        <f t="shared" si="42"/>
        <v>#DIV/0!</v>
      </c>
      <c r="I781" s="74" t="e">
        <f t="shared" si="41"/>
        <v>#DIV/0!</v>
      </c>
      <c r="J781" s="62"/>
    </row>
    <row r="782" spans="1:10" ht="14.25" customHeight="1" x14ac:dyDescent="0.3">
      <c r="A782" s="78"/>
      <c r="B782" s="34"/>
      <c r="C782" s="35"/>
      <c r="D782" s="35"/>
      <c r="E782" s="35"/>
      <c r="F782" s="83"/>
      <c r="G782" s="96">
        <f t="shared" si="40"/>
        <v>0</v>
      </c>
      <c r="H782" s="74" t="e">
        <f t="shared" si="42"/>
        <v>#DIV/0!</v>
      </c>
      <c r="I782" s="74" t="e">
        <f t="shared" si="41"/>
        <v>#DIV/0!</v>
      </c>
      <c r="J782" s="62"/>
    </row>
    <row r="783" spans="1:10" ht="14.25" customHeight="1" x14ac:dyDescent="0.3">
      <c r="A783" s="78"/>
      <c r="B783" s="34"/>
      <c r="C783" s="35"/>
      <c r="D783" s="35"/>
      <c r="E783" s="35"/>
      <c r="F783" s="83"/>
      <c r="G783" s="96">
        <f t="shared" si="40"/>
        <v>0</v>
      </c>
      <c r="H783" s="74" t="e">
        <f t="shared" si="42"/>
        <v>#DIV/0!</v>
      </c>
      <c r="I783" s="74" t="e">
        <f t="shared" si="41"/>
        <v>#DIV/0!</v>
      </c>
      <c r="J783" s="62"/>
    </row>
    <row r="784" spans="1:10" ht="14.25" customHeight="1" x14ac:dyDescent="0.3">
      <c r="A784" s="78"/>
      <c r="B784" s="34"/>
      <c r="C784" s="35"/>
      <c r="D784" s="35"/>
      <c r="E784" s="35"/>
      <c r="F784" s="83"/>
      <c r="G784" s="96">
        <f t="shared" si="40"/>
        <v>0</v>
      </c>
      <c r="H784" s="74" t="e">
        <f t="shared" si="42"/>
        <v>#DIV/0!</v>
      </c>
      <c r="I784" s="74" t="e">
        <f t="shared" si="41"/>
        <v>#DIV/0!</v>
      </c>
      <c r="J784" s="62"/>
    </row>
    <row r="785" spans="1:10" ht="14.25" customHeight="1" x14ac:dyDescent="0.3">
      <c r="A785" s="78"/>
      <c r="B785" s="34"/>
      <c r="C785" s="35"/>
      <c r="D785" s="35"/>
      <c r="E785" s="35"/>
      <c r="F785" s="83"/>
      <c r="G785" s="96">
        <f t="shared" si="40"/>
        <v>0</v>
      </c>
      <c r="H785" s="74" t="e">
        <f t="shared" si="42"/>
        <v>#DIV/0!</v>
      </c>
      <c r="I785" s="74" t="e">
        <f t="shared" si="41"/>
        <v>#DIV/0!</v>
      </c>
      <c r="J785" s="62"/>
    </row>
    <row r="786" spans="1:10" ht="14.25" customHeight="1" x14ac:dyDescent="0.3">
      <c r="A786" s="78"/>
      <c r="B786" s="34"/>
      <c r="C786" s="35"/>
      <c r="D786" s="35"/>
      <c r="E786" s="35"/>
      <c r="F786" s="83"/>
      <c r="G786" s="96">
        <f t="shared" si="40"/>
        <v>0</v>
      </c>
      <c r="H786" s="74" t="e">
        <f t="shared" si="42"/>
        <v>#DIV/0!</v>
      </c>
      <c r="I786" s="74" t="e">
        <f t="shared" si="41"/>
        <v>#DIV/0!</v>
      </c>
      <c r="J786" s="62"/>
    </row>
    <row r="787" spans="1:10" ht="14.25" customHeight="1" x14ac:dyDescent="0.3">
      <c r="A787" s="78"/>
      <c r="B787" s="34"/>
      <c r="C787" s="35"/>
      <c r="D787" s="35"/>
      <c r="E787" s="35"/>
      <c r="F787" s="83"/>
      <c r="G787" s="96">
        <f t="shared" si="40"/>
        <v>0</v>
      </c>
      <c r="H787" s="74" t="e">
        <f t="shared" si="42"/>
        <v>#DIV/0!</v>
      </c>
      <c r="I787" s="74" t="e">
        <f t="shared" si="41"/>
        <v>#DIV/0!</v>
      </c>
      <c r="J787" s="62"/>
    </row>
    <row r="788" spans="1:10" ht="14.25" customHeight="1" x14ac:dyDescent="0.3">
      <c r="A788" s="78"/>
      <c r="B788" s="34"/>
      <c r="C788" s="35"/>
      <c r="D788" s="35"/>
      <c r="E788" s="35"/>
      <c r="F788" s="83"/>
      <c r="G788" s="96">
        <f t="shared" si="40"/>
        <v>0</v>
      </c>
      <c r="H788" s="74" t="e">
        <f t="shared" si="42"/>
        <v>#DIV/0!</v>
      </c>
      <c r="I788" s="74" t="e">
        <f t="shared" si="41"/>
        <v>#DIV/0!</v>
      </c>
      <c r="J788" s="62"/>
    </row>
    <row r="789" spans="1:10" ht="14.25" customHeight="1" x14ac:dyDescent="0.3">
      <c r="A789" s="78"/>
      <c r="B789" s="34"/>
      <c r="C789" s="35"/>
      <c r="D789" s="35"/>
      <c r="E789" s="35"/>
      <c r="F789" s="83"/>
      <c r="G789" s="96">
        <f t="shared" si="40"/>
        <v>0</v>
      </c>
      <c r="H789" s="74" t="e">
        <f t="shared" si="42"/>
        <v>#DIV/0!</v>
      </c>
      <c r="I789" s="74" t="e">
        <f t="shared" si="41"/>
        <v>#DIV/0!</v>
      </c>
      <c r="J789" s="62"/>
    </row>
    <row r="790" spans="1:10" ht="14.25" customHeight="1" x14ac:dyDescent="0.3">
      <c r="A790" s="78"/>
      <c r="B790" s="34"/>
      <c r="C790" s="35"/>
      <c r="D790" s="35"/>
      <c r="E790" s="35"/>
      <c r="F790" s="83"/>
      <c r="G790" s="96">
        <f t="shared" si="40"/>
        <v>0</v>
      </c>
      <c r="H790" s="74" t="e">
        <f t="shared" si="42"/>
        <v>#DIV/0!</v>
      </c>
      <c r="I790" s="74" t="e">
        <f t="shared" si="41"/>
        <v>#DIV/0!</v>
      </c>
      <c r="J790" s="62"/>
    </row>
    <row r="791" spans="1:10" ht="14.25" customHeight="1" x14ac:dyDescent="0.3">
      <c r="A791" s="78"/>
      <c r="B791" s="34"/>
      <c r="C791" s="35"/>
      <c r="D791" s="35"/>
      <c r="E791" s="35"/>
      <c r="F791" s="83"/>
      <c r="G791" s="96">
        <f t="shared" si="40"/>
        <v>0</v>
      </c>
      <c r="H791" s="74" t="e">
        <f t="shared" si="42"/>
        <v>#DIV/0!</v>
      </c>
      <c r="I791" s="74" t="e">
        <f t="shared" si="41"/>
        <v>#DIV/0!</v>
      </c>
      <c r="J791" s="62"/>
    </row>
    <row r="792" spans="1:10" ht="14.25" customHeight="1" x14ac:dyDescent="0.3">
      <c r="A792" s="78"/>
      <c r="B792" s="34"/>
      <c r="C792" s="35"/>
      <c r="D792" s="35"/>
      <c r="E792" s="35"/>
      <c r="F792" s="83"/>
      <c r="G792" s="96">
        <f t="shared" si="40"/>
        <v>0</v>
      </c>
      <c r="H792" s="74" t="e">
        <f t="shared" si="42"/>
        <v>#DIV/0!</v>
      </c>
      <c r="I792" s="74" t="e">
        <f t="shared" si="41"/>
        <v>#DIV/0!</v>
      </c>
      <c r="J792" s="62"/>
    </row>
    <row r="793" spans="1:10" ht="14.25" customHeight="1" x14ac:dyDescent="0.3">
      <c r="A793" s="78"/>
      <c r="B793" s="34"/>
      <c r="C793" s="35"/>
      <c r="D793" s="35"/>
      <c r="E793" s="35"/>
      <c r="F793" s="83"/>
      <c r="G793" s="96">
        <f t="shared" si="40"/>
        <v>0</v>
      </c>
      <c r="H793" s="74" t="e">
        <f t="shared" si="42"/>
        <v>#DIV/0!</v>
      </c>
      <c r="I793" s="74" t="e">
        <f t="shared" si="41"/>
        <v>#DIV/0!</v>
      </c>
      <c r="J793" s="62"/>
    </row>
    <row r="794" spans="1:10" ht="14.25" customHeight="1" x14ac:dyDescent="0.3">
      <c r="A794" s="78"/>
      <c r="B794" s="34"/>
      <c r="C794" s="35"/>
      <c r="D794" s="35"/>
      <c r="E794" s="35"/>
      <c r="F794" s="83"/>
      <c r="G794" s="96">
        <f t="shared" si="40"/>
        <v>0</v>
      </c>
      <c r="H794" s="74" t="e">
        <f t="shared" si="42"/>
        <v>#DIV/0!</v>
      </c>
      <c r="I794" s="74" t="e">
        <f t="shared" si="41"/>
        <v>#DIV/0!</v>
      </c>
      <c r="J794" s="62"/>
    </row>
    <row r="795" spans="1:10" ht="14.25" customHeight="1" x14ac:dyDescent="0.3">
      <c r="A795" s="78"/>
      <c r="B795" s="34"/>
      <c r="C795" s="35"/>
      <c r="D795" s="35"/>
      <c r="E795" s="35"/>
      <c r="F795" s="83"/>
      <c r="G795" s="96">
        <f t="shared" si="40"/>
        <v>0</v>
      </c>
      <c r="H795" s="74" t="e">
        <f t="shared" si="42"/>
        <v>#DIV/0!</v>
      </c>
      <c r="I795" s="74" t="e">
        <f t="shared" si="41"/>
        <v>#DIV/0!</v>
      </c>
      <c r="J795" s="62"/>
    </row>
    <row r="796" spans="1:10" ht="14.25" customHeight="1" x14ac:dyDescent="0.3">
      <c r="A796" s="78"/>
      <c r="B796" s="34"/>
      <c r="C796" s="35"/>
      <c r="D796" s="35"/>
      <c r="E796" s="35"/>
      <c r="F796" s="83"/>
      <c r="G796" s="96">
        <f t="shared" si="40"/>
        <v>0</v>
      </c>
      <c r="H796" s="74" t="e">
        <f t="shared" si="42"/>
        <v>#DIV/0!</v>
      </c>
      <c r="I796" s="74" t="e">
        <f t="shared" si="41"/>
        <v>#DIV/0!</v>
      </c>
      <c r="J796" s="62"/>
    </row>
    <row r="797" spans="1:10" ht="14.25" customHeight="1" x14ac:dyDescent="0.3">
      <c r="A797" s="78"/>
      <c r="B797" s="34"/>
      <c r="C797" s="35"/>
      <c r="D797" s="35"/>
      <c r="E797" s="35"/>
      <c r="F797" s="83"/>
      <c r="G797" s="96">
        <f t="shared" si="40"/>
        <v>0</v>
      </c>
      <c r="H797" s="74" t="e">
        <f t="shared" si="42"/>
        <v>#DIV/0!</v>
      </c>
      <c r="I797" s="74" t="e">
        <f t="shared" si="41"/>
        <v>#DIV/0!</v>
      </c>
      <c r="J797" s="62"/>
    </row>
    <row r="798" spans="1:10" ht="14.25" customHeight="1" x14ac:dyDescent="0.3">
      <c r="A798" s="78"/>
      <c r="B798" s="34"/>
      <c r="C798" s="35"/>
      <c r="D798" s="35"/>
      <c r="E798" s="35"/>
      <c r="F798" s="83"/>
      <c r="G798" s="96">
        <f t="shared" si="40"/>
        <v>0</v>
      </c>
      <c r="H798" s="74" t="e">
        <f t="shared" si="42"/>
        <v>#DIV/0!</v>
      </c>
      <c r="I798" s="74" t="e">
        <f t="shared" si="41"/>
        <v>#DIV/0!</v>
      </c>
      <c r="J798" s="62"/>
    </row>
    <row r="799" spans="1:10" ht="14.25" customHeight="1" x14ac:dyDescent="0.3">
      <c r="A799" s="78"/>
      <c r="B799" s="34"/>
      <c r="C799" s="35"/>
      <c r="D799" s="35"/>
      <c r="E799" s="35"/>
      <c r="F799" s="83"/>
      <c r="G799" s="96">
        <f t="shared" si="40"/>
        <v>0</v>
      </c>
      <c r="H799" s="74" t="e">
        <f t="shared" si="42"/>
        <v>#DIV/0!</v>
      </c>
      <c r="I799" s="74" t="e">
        <f t="shared" si="41"/>
        <v>#DIV/0!</v>
      </c>
      <c r="J799" s="62"/>
    </row>
    <row r="800" spans="1:10" ht="14.25" customHeight="1" x14ac:dyDescent="0.3">
      <c r="A800" s="78"/>
      <c r="B800" s="34"/>
      <c r="C800" s="35"/>
      <c r="D800" s="35"/>
      <c r="E800" s="35"/>
      <c r="F800" s="83"/>
      <c r="G800" s="96">
        <f t="shared" si="40"/>
        <v>0</v>
      </c>
      <c r="H800" s="74" t="e">
        <f t="shared" si="42"/>
        <v>#DIV/0!</v>
      </c>
      <c r="I800" s="74" t="e">
        <f t="shared" si="41"/>
        <v>#DIV/0!</v>
      </c>
      <c r="J800" s="62"/>
    </row>
    <row r="801" spans="1:10" ht="14.25" customHeight="1" x14ac:dyDescent="0.3">
      <c r="A801" s="78"/>
      <c r="B801" s="34"/>
      <c r="C801" s="35"/>
      <c r="D801" s="35"/>
      <c r="E801" s="35"/>
      <c r="F801" s="83"/>
      <c r="G801" s="96">
        <f t="shared" si="40"/>
        <v>0</v>
      </c>
      <c r="H801" s="74" t="e">
        <f t="shared" si="42"/>
        <v>#DIV/0!</v>
      </c>
      <c r="I801" s="74" t="e">
        <f t="shared" si="41"/>
        <v>#DIV/0!</v>
      </c>
      <c r="J801" s="62"/>
    </row>
    <row r="802" spans="1:10" ht="14.25" customHeight="1" x14ac:dyDescent="0.3">
      <c r="A802" s="78"/>
      <c r="B802" s="34"/>
      <c r="C802" s="35"/>
      <c r="D802" s="35"/>
      <c r="E802" s="35"/>
      <c r="F802" s="83"/>
      <c r="G802" s="96">
        <f t="shared" si="40"/>
        <v>0</v>
      </c>
      <c r="H802" s="74" t="e">
        <f t="shared" si="42"/>
        <v>#DIV/0!</v>
      </c>
      <c r="I802" s="74" t="e">
        <f t="shared" si="41"/>
        <v>#DIV/0!</v>
      </c>
      <c r="J802" s="62"/>
    </row>
    <row r="803" spans="1:10" ht="14.25" customHeight="1" x14ac:dyDescent="0.3">
      <c r="A803" s="78"/>
      <c r="B803" s="34"/>
      <c r="C803" s="35"/>
      <c r="D803" s="35"/>
      <c r="E803" s="35"/>
      <c r="F803" s="83"/>
      <c r="G803" s="96">
        <f t="shared" si="40"/>
        <v>0</v>
      </c>
      <c r="H803" s="74" t="e">
        <f t="shared" si="42"/>
        <v>#DIV/0!</v>
      </c>
      <c r="I803" s="74" t="e">
        <f t="shared" si="41"/>
        <v>#DIV/0!</v>
      </c>
      <c r="J803" s="62"/>
    </row>
    <row r="804" spans="1:10" ht="14.25" customHeight="1" x14ac:dyDescent="0.3">
      <c r="A804" s="78"/>
      <c r="B804" s="34"/>
      <c r="C804" s="35"/>
      <c r="D804" s="35"/>
      <c r="E804" s="35"/>
      <c r="F804" s="83"/>
      <c r="G804" s="96">
        <f t="shared" si="40"/>
        <v>0</v>
      </c>
      <c r="H804" s="74" t="e">
        <f t="shared" si="42"/>
        <v>#DIV/0!</v>
      </c>
      <c r="I804" s="74" t="e">
        <f t="shared" si="41"/>
        <v>#DIV/0!</v>
      </c>
      <c r="J804" s="62"/>
    </row>
    <row r="805" spans="1:10" ht="14.25" customHeight="1" x14ac:dyDescent="0.3">
      <c r="A805" s="78"/>
      <c r="B805" s="34"/>
      <c r="C805" s="35"/>
      <c r="D805" s="35"/>
      <c r="E805" s="35"/>
      <c r="F805" s="83"/>
      <c r="G805" s="96">
        <f t="shared" si="40"/>
        <v>0</v>
      </c>
      <c r="H805" s="74" t="e">
        <f t="shared" si="42"/>
        <v>#DIV/0!</v>
      </c>
      <c r="I805" s="74" t="e">
        <f t="shared" si="41"/>
        <v>#DIV/0!</v>
      </c>
      <c r="J805" s="62"/>
    </row>
    <row r="806" spans="1:10" ht="14.25" customHeight="1" x14ac:dyDescent="0.3">
      <c r="A806" s="78"/>
      <c r="B806" s="34"/>
      <c r="C806" s="35"/>
      <c r="D806" s="35"/>
      <c r="E806" s="35"/>
      <c r="F806" s="83"/>
      <c r="G806" s="96">
        <f t="shared" si="40"/>
        <v>0</v>
      </c>
      <c r="H806" s="74" t="e">
        <f t="shared" si="42"/>
        <v>#DIV/0!</v>
      </c>
      <c r="I806" s="74" t="e">
        <f t="shared" si="41"/>
        <v>#DIV/0!</v>
      </c>
      <c r="J806" s="62"/>
    </row>
    <row r="807" spans="1:10" ht="14.25" customHeight="1" x14ac:dyDescent="0.3">
      <c r="A807" s="78"/>
      <c r="B807" s="34"/>
      <c r="C807" s="35"/>
      <c r="D807" s="35"/>
      <c r="E807" s="35"/>
      <c r="F807" s="83"/>
      <c r="G807" s="96">
        <f t="shared" si="40"/>
        <v>0</v>
      </c>
      <c r="H807" s="74" t="e">
        <f t="shared" si="42"/>
        <v>#DIV/0!</v>
      </c>
      <c r="I807" s="74" t="e">
        <f t="shared" si="41"/>
        <v>#DIV/0!</v>
      </c>
      <c r="J807" s="62"/>
    </row>
    <row r="808" spans="1:10" ht="14.25" customHeight="1" x14ac:dyDescent="0.3">
      <c r="A808" s="78"/>
      <c r="B808" s="34"/>
      <c r="C808" s="35"/>
      <c r="D808" s="35"/>
      <c r="E808" s="35"/>
      <c r="F808" s="83"/>
      <c r="G808" s="96">
        <f t="shared" si="40"/>
        <v>0</v>
      </c>
      <c r="H808" s="74" t="e">
        <f t="shared" si="42"/>
        <v>#DIV/0!</v>
      </c>
      <c r="I808" s="74" t="e">
        <f t="shared" si="41"/>
        <v>#DIV/0!</v>
      </c>
      <c r="J808" s="62"/>
    </row>
    <row r="809" spans="1:10" ht="14.25" customHeight="1" x14ac:dyDescent="0.3">
      <c r="A809" s="78"/>
      <c r="B809" s="34"/>
      <c r="C809" s="35"/>
      <c r="D809" s="35"/>
      <c r="E809" s="35"/>
      <c r="F809" s="83"/>
      <c r="G809" s="96">
        <f t="shared" si="40"/>
        <v>0</v>
      </c>
      <c r="H809" s="74" t="e">
        <f t="shared" si="42"/>
        <v>#DIV/0!</v>
      </c>
      <c r="I809" s="74" t="e">
        <f t="shared" si="41"/>
        <v>#DIV/0!</v>
      </c>
      <c r="J809" s="62"/>
    </row>
    <row r="810" spans="1:10" ht="14.25" customHeight="1" x14ac:dyDescent="0.3">
      <c r="A810" s="78"/>
      <c r="B810" s="34"/>
      <c r="C810" s="35"/>
      <c r="D810" s="35"/>
      <c r="E810" s="35"/>
      <c r="F810" s="83"/>
      <c r="G810" s="96">
        <f t="shared" si="40"/>
        <v>0</v>
      </c>
      <c r="H810" s="74" t="e">
        <f t="shared" si="42"/>
        <v>#DIV/0!</v>
      </c>
      <c r="I810" s="74" t="e">
        <f t="shared" si="41"/>
        <v>#DIV/0!</v>
      </c>
      <c r="J810" s="62"/>
    </row>
    <row r="811" spans="1:10" ht="14.25" customHeight="1" x14ac:dyDescent="0.3">
      <c r="A811" s="78"/>
      <c r="B811" s="34"/>
      <c r="C811" s="35"/>
      <c r="D811" s="35"/>
      <c r="E811" s="35"/>
      <c r="F811" s="83"/>
      <c r="G811" s="96">
        <f t="shared" si="40"/>
        <v>0</v>
      </c>
      <c r="H811" s="74" t="e">
        <f t="shared" si="42"/>
        <v>#DIV/0!</v>
      </c>
      <c r="I811" s="74" t="e">
        <f t="shared" si="41"/>
        <v>#DIV/0!</v>
      </c>
      <c r="J811" s="62"/>
    </row>
    <row r="812" spans="1:10" ht="14.25" customHeight="1" x14ac:dyDescent="0.3">
      <c r="A812" s="78"/>
      <c r="B812" s="34"/>
      <c r="C812" s="35"/>
      <c r="D812" s="35"/>
      <c r="E812" s="35"/>
      <c r="F812" s="83"/>
      <c r="G812" s="96">
        <f t="shared" si="40"/>
        <v>0</v>
      </c>
      <c r="H812" s="74" t="e">
        <f t="shared" si="42"/>
        <v>#DIV/0!</v>
      </c>
      <c r="I812" s="74" t="e">
        <f t="shared" si="41"/>
        <v>#DIV/0!</v>
      </c>
      <c r="J812" s="62"/>
    </row>
    <row r="813" spans="1:10" ht="14.25" customHeight="1" x14ac:dyDescent="0.3">
      <c r="A813" s="78"/>
      <c r="B813" s="34"/>
      <c r="C813" s="35"/>
      <c r="D813" s="35"/>
      <c r="E813" s="35"/>
      <c r="F813" s="83"/>
      <c r="G813" s="96">
        <f t="shared" si="40"/>
        <v>0</v>
      </c>
      <c r="H813" s="74" t="e">
        <f t="shared" si="42"/>
        <v>#DIV/0!</v>
      </c>
      <c r="I813" s="74" t="e">
        <f t="shared" si="41"/>
        <v>#DIV/0!</v>
      </c>
      <c r="J813" s="62"/>
    </row>
    <row r="814" spans="1:10" ht="14.25" customHeight="1" x14ac:dyDescent="0.3">
      <c r="A814" s="78"/>
      <c r="B814" s="34"/>
      <c r="C814" s="35"/>
      <c r="D814" s="35"/>
      <c r="E814" s="35"/>
      <c r="F814" s="83"/>
      <c r="G814" s="96">
        <f t="shared" si="40"/>
        <v>0</v>
      </c>
      <c r="H814" s="74" t="e">
        <f t="shared" si="42"/>
        <v>#DIV/0!</v>
      </c>
      <c r="I814" s="74" t="e">
        <f t="shared" si="41"/>
        <v>#DIV/0!</v>
      </c>
      <c r="J814" s="62"/>
    </row>
    <row r="815" spans="1:10" ht="14.25" customHeight="1" x14ac:dyDescent="0.3">
      <c r="A815" s="78"/>
      <c r="B815" s="34"/>
      <c r="C815" s="35"/>
      <c r="D815" s="35"/>
      <c r="E815" s="35"/>
      <c r="F815" s="83"/>
      <c r="G815" s="96">
        <f t="shared" si="40"/>
        <v>0</v>
      </c>
      <c r="H815" s="74" t="e">
        <f t="shared" si="42"/>
        <v>#DIV/0!</v>
      </c>
      <c r="I815" s="74" t="e">
        <f t="shared" si="41"/>
        <v>#DIV/0!</v>
      </c>
      <c r="J815" s="62"/>
    </row>
    <row r="816" spans="1:10" ht="14.25" customHeight="1" x14ac:dyDescent="0.3">
      <c r="A816" s="78"/>
      <c r="B816" s="34"/>
      <c r="C816" s="35"/>
      <c r="D816" s="35"/>
      <c r="E816" s="35"/>
      <c r="F816" s="83"/>
      <c r="G816" s="96">
        <f t="shared" si="40"/>
        <v>0</v>
      </c>
      <c r="H816" s="74" t="e">
        <f t="shared" si="42"/>
        <v>#DIV/0!</v>
      </c>
      <c r="I816" s="74" t="e">
        <f t="shared" si="41"/>
        <v>#DIV/0!</v>
      </c>
      <c r="J816" s="62"/>
    </row>
    <row r="817" spans="1:10" ht="14.25" customHeight="1" x14ac:dyDescent="0.3">
      <c r="A817" s="78"/>
      <c r="B817" s="34"/>
      <c r="C817" s="35"/>
      <c r="D817" s="35"/>
      <c r="E817" s="35"/>
      <c r="F817" s="83"/>
      <c r="G817" s="96">
        <f t="shared" si="40"/>
        <v>0</v>
      </c>
      <c r="H817" s="74" t="e">
        <f t="shared" si="42"/>
        <v>#DIV/0!</v>
      </c>
      <c r="I817" s="74" t="e">
        <f t="shared" si="41"/>
        <v>#DIV/0!</v>
      </c>
      <c r="J817" s="62"/>
    </row>
    <row r="818" spans="1:10" ht="14.25" customHeight="1" x14ac:dyDescent="0.3">
      <c r="A818" s="78"/>
      <c r="B818" s="34"/>
      <c r="C818" s="35"/>
      <c r="D818" s="35"/>
      <c r="E818" s="35"/>
      <c r="F818" s="83"/>
      <c r="G818" s="96">
        <f t="shared" si="40"/>
        <v>0</v>
      </c>
      <c r="H818" s="74" t="e">
        <f t="shared" si="42"/>
        <v>#DIV/0!</v>
      </c>
      <c r="I818" s="74" t="e">
        <f t="shared" si="41"/>
        <v>#DIV/0!</v>
      </c>
      <c r="J818" s="62"/>
    </row>
    <row r="819" spans="1:10" ht="14.25" customHeight="1" x14ac:dyDescent="0.3">
      <c r="A819" s="78"/>
      <c r="B819" s="34"/>
      <c r="C819" s="35"/>
      <c r="D819" s="35"/>
      <c r="E819" s="35"/>
      <c r="F819" s="83"/>
      <c r="G819" s="96">
        <f t="shared" si="40"/>
        <v>0</v>
      </c>
      <c r="H819" s="74" t="e">
        <f t="shared" si="42"/>
        <v>#DIV/0!</v>
      </c>
      <c r="I819" s="74" t="e">
        <f t="shared" si="41"/>
        <v>#DIV/0!</v>
      </c>
      <c r="J819" s="62"/>
    </row>
    <row r="820" spans="1:10" ht="14.25" customHeight="1" x14ac:dyDescent="0.3">
      <c r="A820" s="78"/>
      <c r="B820" s="34"/>
      <c r="C820" s="35"/>
      <c r="D820" s="35"/>
      <c r="E820" s="35"/>
      <c r="F820" s="83"/>
      <c r="G820" s="96">
        <f t="shared" si="40"/>
        <v>0</v>
      </c>
      <c r="H820" s="74" t="e">
        <f t="shared" si="42"/>
        <v>#DIV/0!</v>
      </c>
      <c r="I820" s="74" t="e">
        <f t="shared" si="41"/>
        <v>#DIV/0!</v>
      </c>
      <c r="J820" s="62"/>
    </row>
    <row r="821" spans="1:10" ht="14.25" customHeight="1" x14ac:dyDescent="0.3">
      <c r="A821" s="78"/>
      <c r="B821" s="34"/>
      <c r="C821" s="35"/>
      <c r="D821" s="35"/>
      <c r="E821" s="35"/>
      <c r="F821" s="83"/>
      <c r="G821" s="96">
        <f t="shared" si="40"/>
        <v>0</v>
      </c>
      <c r="H821" s="74" t="e">
        <f t="shared" si="42"/>
        <v>#DIV/0!</v>
      </c>
      <c r="I821" s="74" t="e">
        <f t="shared" si="41"/>
        <v>#DIV/0!</v>
      </c>
      <c r="J821" s="62"/>
    </row>
    <row r="822" spans="1:10" ht="14.25" customHeight="1" x14ac:dyDescent="0.3">
      <c r="A822" s="78"/>
      <c r="B822" s="34"/>
      <c r="C822" s="35"/>
      <c r="D822" s="35"/>
      <c r="E822" s="35"/>
      <c r="F822" s="83"/>
      <c r="G822" s="96">
        <f t="shared" si="40"/>
        <v>0</v>
      </c>
      <c r="H822" s="74" t="e">
        <f t="shared" si="42"/>
        <v>#DIV/0!</v>
      </c>
      <c r="I822" s="74" t="e">
        <f t="shared" si="41"/>
        <v>#DIV/0!</v>
      </c>
      <c r="J822" s="62"/>
    </row>
    <row r="823" spans="1:10" ht="14.25" customHeight="1" x14ac:dyDescent="0.3">
      <c r="A823" s="78"/>
      <c r="B823" s="34"/>
      <c r="C823" s="35"/>
      <c r="D823" s="35"/>
      <c r="E823" s="35"/>
      <c r="F823" s="83"/>
      <c r="G823" s="96">
        <f t="shared" si="40"/>
        <v>0</v>
      </c>
      <c r="H823" s="74" t="e">
        <f t="shared" si="42"/>
        <v>#DIV/0!</v>
      </c>
      <c r="I823" s="74" t="e">
        <f t="shared" si="41"/>
        <v>#DIV/0!</v>
      </c>
      <c r="J823" s="62"/>
    </row>
    <row r="824" spans="1:10" ht="14.25" customHeight="1" x14ac:dyDescent="0.3">
      <c r="A824" s="78"/>
      <c r="B824" s="34"/>
      <c r="C824" s="35"/>
      <c r="D824" s="35"/>
      <c r="E824" s="35"/>
      <c r="F824" s="83"/>
      <c r="G824" s="96">
        <f t="shared" si="40"/>
        <v>0</v>
      </c>
      <c r="H824" s="74" t="e">
        <f t="shared" si="42"/>
        <v>#DIV/0!</v>
      </c>
      <c r="I824" s="74" t="e">
        <f t="shared" si="41"/>
        <v>#DIV/0!</v>
      </c>
      <c r="J824" s="62"/>
    </row>
    <row r="825" spans="1:10" ht="14.25" customHeight="1" x14ac:dyDescent="0.3">
      <c r="A825" s="78"/>
      <c r="B825" s="34"/>
      <c r="C825" s="35"/>
      <c r="D825" s="35"/>
      <c r="E825" s="35"/>
      <c r="F825" s="83"/>
      <c r="G825" s="96">
        <f t="shared" si="40"/>
        <v>0</v>
      </c>
      <c r="H825" s="74" t="e">
        <f t="shared" si="42"/>
        <v>#DIV/0!</v>
      </c>
      <c r="I825" s="74" t="e">
        <f t="shared" si="41"/>
        <v>#DIV/0!</v>
      </c>
      <c r="J825" s="62"/>
    </row>
    <row r="826" spans="1:10" ht="14.25" customHeight="1" x14ac:dyDescent="0.3">
      <c r="A826" s="78"/>
      <c r="B826" s="34"/>
      <c r="C826" s="35"/>
      <c r="D826" s="35"/>
      <c r="E826" s="35"/>
      <c r="F826" s="83"/>
      <c r="G826" s="96">
        <f t="shared" si="40"/>
        <v>0</v>
      </c>
      <c r="H826" s="74" t="e">
        <f t="shared" si="42"/>
        <v>#DIV/0!</v>
      </c>
      <c r="I826" s="74" t="e">
        <f t="shared" si="41"/>
        <v>#DIV/0!</v>
      </c>
      <c r="J826" s="62"/>
    </row>
    <row r="827" spans="1:10" ht="14.25" customHeight="1" x14ac:dyDescent="0.3">
      <c r="A827" s="78"/>
      <c r="B827" s="34"/>
      <c r="C827" s="35"/>
      <c r="D827" s="35"/>
      <c r="E827" s="35"/>
      <c r="F827" s="83"/>
      <c r="G827" s="96">
        <f t="shared" si="40"/>
        <v>0</v>
      </c>
      <c r="H827" s="74" t="e">
        <f t="shared" si="42"/>
        <v>#DIV/0!</v>
      </c>
      <c r="I827" s="74" t="e">
        <f t="shared" si="41"/>
        <v>#DIV/0!</v>
      </c>
      <c r="J827" s="62"/>
    </row>
    <row r="828" spans="1:10" ht="14.25" customHeight="1" x14ac:dyDescent="0.3">
      <c r="A828" s="78"/>
      <c r="B828" s="34"/>
      <c r="C828" s="35"/>
      <c r="D828" s="35"/>
      <c r="E828" s="35"/>
      <c r="F828" s="83"/>
      <c r="G828" s="96">
        <f t="shared" si="40"/>
        <v>0</v>
      </c>
      <c r="H828" s="74" t="e">
        <f t="shared" si="42"/>
        <v>#DIV/0!</v>
      </c>
      <c r="I828" s="74" t="e">
        <f t="shared" si="41"/>
        <v>#DIV/0!</v>
      </c>
      <c r="J828" s="62"/>
    </row>
    <row r="829" spans="1:10" ht="14.25" customHeight="1" x14ac:dyDescent="0.3">
      <c r="A829" s="78"/>
      <c r="B829" s="34"/>
      <c r="C829" s="35"/>
      <c r="D829" s="35"/>
      <c r="E829" s="35"/>
      <c r="F829" s="83"/>
      <c r="G829" s="96">
        <f t="shared" si="40"/>
        <v>0</v>
      </c>
      <c r="H829" s="74" t="e">
        <f t="shared" si="42"/>
        <v>#DIV/0!</v>
      </c>
      <c r="I829" s="74" t="e">
        <f t="shared" si="41"/>
        <v>#DIV/0!</v>
      </c>
      <c r="J829" s="62"/>
    </row>
    <row r="830" spans="1:10" ht="14.25" customHeight="1" x14ac:dyDescent="0.3">
      <c r="A830" s="78"/>
      <c r="B830" s="34"/>
      <c r="C830" s="35"/>
      <c r="D830" s="35"/>
      <c r="E830" s="35"/>
      <c r="F830" s="83"/>
      <c r="G830" s="96">
        <f t="shared" si="40"/>
        <v>0</v>
      </c>
      <c r="H830" s="74" t="e">
        <f t="shared" si="42"/>
        <v>#DIV/0!</v>
      </c>
      <c r="I830" s="74" t="e">
        <f t="shared" si="41"/>
        <v>#DIV/0!</v>
      </c>
      <c r="J830" s="62"/>
    </row>
    <row r="831" spans="1:10" ht="14.25" customHeight="1" x14ac:dyDescent="0.3">
      <c r="A831" s="78"/>
      <c r="B831" s="34"/>
      <c r="C831" s="35"/>
      <c r="D831" s="35"/>
      <c r="E831" s="35"/>
      <c r="F831" s="83"/>
      <c r="G831" s="96">
        <f t="shared" si="40"/>
        <v>0</v>
      </c>
      <c r="H831" s="74" t="e">
        <f t="shared" si="42"/>
        <v>#DIV/0!</v>
      </c>
      <c r="I831" s="74" t="e">
        <f t="shared" si="41"/>
        <v>#DIV/0!</v>
      </c>
      <c r="J831" s="62"/>
    </row>
    <row r="832" spans="1:10" ht="14.25" customHeight="1" x14ac:dyDescent="0.3">
      <c r="A832" s="78"/>
      <c r="B832" s="34"/>
      <c r="C832" s="35"/>
      <c r="D832" s="35"/>
      <c r="E832" s="35"/>
      <c r="F832" s="83"/>
      <c r="G832" s="96">
        <f t="shared" si="40"/>
        <v>0</v>
      </c>
      <c r="H832" s="74" t="e">
        <f t="shared" si="42"/>
        <v>#DIV/0!</v>
      </c>
      <c r="I832" s="74" t="e">
        <f t="shared" si="41"/>
        <v>#DIV/0!</v>
      </c>
      <c r="J832" s="62"/>
    </row>
    <row r="833" spans="1:10" ht="14.25" customHeight="1" x14ac:dyDescent="0.3">
      <c r="A833" s="78"/>
      <c r="B833" s="34"/>
      <c r="C833" s="35"/>
      <c r="D833" s="35"/>
      <c r="E833" s="35"/>
      <c r="F833" s="83"/>
      <c r="G833" s="96">
        <f t="shared" si="40"/>
        <v>0</v>
      </c>
      <c r="H833" s="74" t="e">
        <f t="shared" si="42"/>
        <v>#DIV/0!</v>
      </c>
      <c r="I833" s="74" t="e">
        <f t="shared" si="41"/>
        <v>#DIV/0!</v>
      </c>
      <c r="J833" s="62"/>
    </row>
    <row r="834" spans="1:10" ht="14.25" customHeight="1" x14ac:dyDescent="0.3">
      <c r="A834" s="78"/>
      <c r="B834" s="34"/>
      <c r="C834" s="35"/>
      <c r="D834" s="35"/>
      <c r="E834" s="35"/>
      <c r="F834" s="83"/>
      <c r="G834" s="96">
        <f t="shared" ref="G834:G897" si="43">C834-D834</f>
        <v>0</v>
      </c>
      <c r="H834" s="74" t="e">
        <f t="shared" si="42"/>
        <v>#DIV/0!</v>
      </c>
      <c r="I834" s="74" t="e">
        <f t="shared" ref="I834:I897" si="44">(C834 - D834) / (E834 - C834)</f>
        <v>#DIV/0!</v>
      </c>
      <c r="J834" s="62"/>
    </row>
    <row r="835" spans="1:10" ht="14.25" customHeight="1" x14ac:dyDescent="0.3">
      <c r="A835" s="78"/>
      <c r="B835" s="34"/>
      <c r="C835" s="35"/>
      <c r="D835" s="35"/>
      <c r="E835" s="35"/>
      <c r="F835" s="83"/>
      <c r="G835" s="96">
        <f t="shared" si="43"/>
        <v>0</v>
      </c>
      <c r="H835" s="74" t="e">
        <f t="shared" si="42"/>
        <v>#DIV/0!</v>
      </c>
      <c r="I835" s="74" t="e">
        <f t="shared" si="44"/>
        <v>#DIV/0!</v>
      </c>
      <c r="J835" s="62"/>
    </row>
    <row r="836" spans="1:10" ht="14.25" customHeight="1" x14ac:dyDescent="0.3">
      <c r="A836" s="78"/>
      <c r="B836" s="34"/>
      <c r="C836" s="35"/>
      <c r="D836" s="35"/>
      <c r="E836" s="35"/>
      <c r="F836" s="83"/>
      <c r="G836" s="96">
        <f t="shared" si="43"/>
        <v>0</v>
      </c>
      <c r="H836" s="74" t="e">
        <f t="shared" si="42"/>
        <v>#DIV/0!</v>
      </c>
      <c r="I836" s="74" t="e">
        <f t="shared" si="44"/>
        <v>#DIV/0!</v>
      </c>
      <c r="J836" s="62"/>
    </row>
    <row r="837" spans="1:10" ht="14.25" customHeight="1" x14ac:dyDescent="0.3">
      <c r="A837" s="78"/>
      <c r="B837" s="34"/>
      <c r="C837" s="35"/>
      <c r="D837" s="35"/>
      <c r="E837" s="35"/>
      <c r="F837" s="83"/>
      <c r="G837" s="96">
        <f t="shared" si="43"/>
        <v>0</v>
      </c>
      <c r="H837" s="74" t="e">
        <f t="shared" si="42"/>
        <v>#DIV/0!</v>
      </c>
      <c r="I837" s="74" t="e">
        <f t="shared" si="44"/>
        <v>#DIV/0!</v>
      </c>
      <c r="J837" s="62"/>
    </row>
    <row r="838" spans="1:10" ht="14.25" customHeight="1" x14ac:dyDescent="0.3">
      <c r="A838" s="78"/>
      <c r="B838" s="34"/>
      <c r="C838" s="35"/>
      <c r="D838" s="35"/>
      <c r="E838" s="35"/>
      <c r="F838" s="83"/>
      <c r="G838" s="96">
        <f t="shared" si="43"/>
        <v>0</v>
      </c>
      <c r="H838" s="74" t="e">
        <f t="shared" si="42"/>
        <v>#DIV/0!</v>
      </c>
      <c r="I838" s="74" t="e">
        <f t="shared" si="44"/>
        <v>#DIV/0!</v>
      </c>
      <c r="J838" s="62"/>
    </row>
    <row r="839" spans="1:10" ht="14.25" customHeight="1" x14ac:dyDescent="0.3">
      <c r="A839" s="78"/>
      <c r="B839" s="34"/>
      <c r="C839" s="35"/>
      <c r="D839" s="35"/>
      <c r="E839" s="35"/>
      <c r="F839" s="83"/>
      <c r="G839" s="96">
        <f t="shared" si="43"/>
        <v>0</v>
      </c>
      <c r="H839" s="74" t="e">
        <f t="shared" si="42"/>
        <v>#DIV/0!</v>
      </c>
      <c r="I839" s="74" t="e">
        <f t="shared" si="44"/>
        <v>#DIV/0!</v>
      </c>
      <c r="J839" s="62"/>
    </row>
    <row r="840" spans="1:10" ht="14.25" customHeight="1" x14ac:dyDescent="0.3">
      <c r="A840" s="78"/>
      <c r="B840" s="34"/>
      <c r="C840" s="35"/>
      <c r="D840" s="35"/>
      <c r="E840" s="35"/>
      <c r="F840" s="83"/>
      <c r="G840" s="96">
        <f t="shared" si="43"/>
        <v>0</v>
      </c>
      <c r="H840" s="74" t="e">
        <f t="shared" si="42"/>
        <v>#DIV/0!</v>
      </c>
      <c r="I840" s="74" t="e">
        <f t="shared" si="44"/>
        <v>#DIV/0!</v>
      </c>
      <c r="J840" s="62"/>
    </row>
    <row r="841" spans="1:10" ht="14.25" customHeight="1" x14ac:dyDescent="0.3">
      <c r="A841" s="78"/>
      <c r="B841" s="34"/>
      <c r="C841" s="35"/>
      <c r="D841" s="35"/>
      <c r="E841" s="35"/>
      <c r="F841" s="83"/>
      <c r="G841" s="96">
        <f t="shared" si="43"/>
        <v>0</v>
      </c>
      <c r="H841" s="74" t="e">
        <f t="shared" si="42"/>
        <v>#DIV/0!</v>
      </c>
      <c r="I841" s="74" t="e">
        <f t="shared" si="44"/>
        <v>#DIV/0!</v>
      </c>
      <c r="J841" s="62"/>
    </row>
    <row r="842" spans="1:10" ht="14.25" customHeight="1" x14ac:dyDescent="0.3">
      <c r="A842" s="78"/>
      <c r="B842" s="34"/>
      <c r="C842" s="35"/>
      <c r="D842" s="35"/>
      <c r="E842" s="35"/>
      <c r="F842" s="83"/>
      <c r="G842" s="96">
        <f t="shared" si="43"/>
        <v>0</v>
      </c>
      <c r="H842" s="74" t="e">
        <f t="shared" ref="H842:H905" si="45">(C842-D842)/E842</f>
        <v>#DIV/0!</v>
      </c>
      <c r="I842" s="74" t="e">
        <f t="shared" si="44"/>
        <v>#DIV/0!</v>
      </c>
      <c r="J842" s="62"/>
    </row>
    <row r="843" spans="1:10" ht="14.25" customHeight="1" x14ac:dyDescent="0.3">
      <c r="A843" s="78"/>
      <c r="B843" s="34"/>
      <c r="C843" s="35"/>
      <c r="D843" s="35"/>
      <c r="E843" s="35"/>
      <c r="F843" s="83"/>
      <c r="G843" s="96">
        <f t="shared" si="43"/>
        <v>0</v>
      </c>
      <c r="H843" s="74" t="e">
        <f t="shared" si="45"/>
        <v>#DIV/0!</v>
      </c>
      <c r="I843" s="74" t="e">
        <f t="shared" si="44"/>
        <v>#DIV/0!</v>
      </c>
      <c r="J843" s="62"/>
    </row>
    <row r="844" spans="1:10" ht="14.25" customHeight="1" x14ac:dyDescent="0.3">
      <c r="A844" s="78"/>
      <c r="B844" s="34"/>
      <c r="C844" s="35"/>
      <c r="D844" s="35"/>
      <c r="E844" s="35"/>
      <c r="F844" s="83"/>
      <c r="G844" s="96">
        <f t="shared" si="43"/>
        <v>0</v>
      </c>
      <c r="H844" s="74" t="e">
        <f t="shared" si="45"/>
        <v>#DIV/0!</v>
      </c>
      <c r="I844" s="74" t="e">
        <f t="shared" si="44"/>
        <v>#DIV/0!</v>
      </c>
      <c r="J844" s="62"/>
    </row>
    <row r="845" spans="1:10" ht="14.25" customHeight="1" x14ac:dyDescent="0.3">
      <c r="A845" s="78"/>
      <c r="B845" s="34"/>
      <c r="C845" s="35"/>
      <c r="D845" s="35"/>
      <c r="E845" s="35"/>
      <c r="F845" s="83"/>
      <c r="G845" s="96">
        <f t="shared" si="43"/>
        <v>0</v>
      </c>
      <c r="H845" s="74" t="e">
        <f t="shared" si="45"/>
        <v>#DIV/0!</v>
      </c>
      <c r="I845" s="74" t="e">
        <f t="shared" si="44"/>
        <v>#DIV/0!</v>
      </c>
      <c r="J845" s="62"/>
    </row>
    <row r="846" spans="1:10" ht="14.25" customHeight="1" x14ac:dyDescent="0.3">
      <c r="A846" s="78"/>
      <c r="B846" s="34"/>
      <c r="C846" s="35"/>
      <c r="D846" s="35"/>
      <c r="E846" s="35"/>
      <c r="F846" s="83"/>
      <c r="G846" s="96">
        <f t="shared" si="43"/>
        <v>0</v>
      </c>
      <c r="H846" s="74" t="e">
        <f t="shared" si="45"/>
        <v>#DIV/0!</v>
      </c>
      <c r="I846" s="74" t="e">
        <f t="shared" si="44"/>
        <v>#DIV/0!</v>
      </c>
      <c r="J846" s="62"/>
    </row>
    <row r="847" spans="1:10" ht="14.25" customHeight="1" x14ac:dyDescent="0.3">
      <c r="A847" s="78"/>
      <c r="B847" s="34"/>
      <c r="C847" s="35"/>
      <c r="D847" s="35"/>
      <c r="E847" s="35"/>
      <c r="F847" s="83"/>
      <c r="G847" s="96">
        <f t="shared" si="43"/>
        <v>0</v>
      </c>
      <c r="H847" s="74" t="e">
        <f t="shared" si="45"/>
        <v>#DIV/0!</v>
      </c>
      <c r="I847" s="74" t="e">
        <f t="shared" si="44"/>
        <v>#DIV/0!</v>
      </c>
      <c r="J847" s="62"/>
    </row>
    <row r="848" spans="1:10" ht="14.25" customHeight="1" x14ac:dyDescent="0.3">
      <c r="A848" s="78"/>
      <c r="B848" s="34"/>
      <c r="C848" s="35"/>
      <c r="D848" s="35"/>
      <c r="E848" s="35"/>
      <c r="F848" s="83"/>
      <c r="G848" s="96">
        <f t="shared" si="43"/>
        <v>0</v>
      </c>
      <c r="H848" s="74" t="e">
        <f t="shared" si="45"/>
        <v>#DIV/0!</v>
      </c>
      <c r="I848" s="74" t="e">
        <f t="shared" si="44"/>
        <v>#DIV/0!</v>
      </c>
      <c r="J848" s="62"/>
    </row>
    <row r="849" spans="1:10" ht="14.25" customHeight="1" x14ac:dyDescent="0.3">
      <c r="A849" s="78"/>
      <c r="B849" s="34"/>
      <c r="C849" s="35"/>
      <c r="D849" s="35"/>
      <c r="E849" s="35"/>
      <c r="F849" s="83"/>
      <c r="G849" s="96">
        <f t="shared" si="43"/>
        <v>0</v>
      </c>
      <c r="H849" s="74" t="e">
        <f t="shared" si="45"/>
        <v>#DIV/0!</v>
      </c>
      <c r="I849" s="74" t="e">
        <f t="shared" si="44"/>
        <v>#DIV/0!</v>
      </c>
      <c r="J849" s="62"/>
    </row>
    <row r="850" spans="1:10" ht="14.25" customHeight="1" x14ac:dyDescent="0.3">
      <c r="A850" s="78"/>
      <c r="B850" s="34"/>
      <c r="C850" s="35"/>
      <c r="D850" s="35"/>
      <c r="E850" s="35"/>
      <c r="F850" s="83"/>
      <c r="G850" s="96">
        <f t="shared" si="43"/>
        <v>0</v>
      </c>
      <c r="H850" s="74" t="e">
        <f t="shared" si="45"/>
        <v>#DIV/0!</v>
      </c>
      <c r="I850" s="74" t="e">
        <f t="shared" si="44"/>
        <v>#DIV/0!</v>
      </c>
      <c r="J850" s="62"/>
    </row>
    <row r="851" spans="1:10" ht="14.25" customHeight="1" x14ac:dyDescent="0.3">
      <c r="A851" s="78"/>
      <c r="B851" s="34"/>
      <c r="C851" s="35"/>
      <c r="D851" s="35"/>
      <c r="E851" s="35"/>
      <c r="F851" s="83"/>
      <c r="G851" s="96">
        <f t="shared" si="43"/>
        <v>0</v>
      </c>
      <c r="H851" s="74" t="e">
        <f t="shared" si="45"/>
        <v>#DIV/0!</v>
      </c>
      <c r="I851" s="74" t="e">
        <f t="shared" si="44"/>
        <v>#DIV/0!</v>
      </c>
      <c r="J851" s="62"/>
    </row>
    <row r="852" spans="1:10" ht="14.25" customHeight="1" x14ac:dyDescent="0.3">
      <c r="A852" s="78"/>
      <c r="B852" s="34"/>
      <c r="C852" s="35"/>
      <c r="D852" s="35"/>
      <c r="E852" s="35"/>
      <c r="F852" s="83"/>
      <c r="G852" s="96">
        <f t="shared" si="43"/>
        <v>0</v>
      </c>
      <c r="H852" s="74" t="e">
        <f t="shared" si="45"/>
        <v>#DIV/0!</v>
      </c>
      <c r="I852" s="74" t="e">
        <f t="shared" si="44"/>
        <v>#DIV/0!</v>
      </c>
      <c r="J852" s="62"/>
    </row>
    <row r="853" spans="1:10" ht="14.25" customHeight="1" x14ac:dyDescent="0.3">
      <c r="A853" s="78"/>
      <c r="B853" s="34"/>
      <c r="C853" s="35"/>
      <c r="D853" s="35"/>
      <c r="E853" s="35"/>
      <c r="F853" s="83"/>
      <c r="G853" s="96">
        <f t="shared" si="43"/>
        <v>0</v>
      </c>
      <c r="H853" s="74" t="e">
        <f t="shared" si="45"/>
        <v>#DIV/0!</v>
      </c>
      <c r="I853" s="74" t="e">
        <f t="shared" si="44"/>
        <v>#DIV/0!</v>
      </c>
      <c r="J853" s="62"/>
    </row>
    <row r="854" spans="1:10" ht="14.25" customHeight="1" x14ac:dyDescent="0.3">
      <c r="A854" s="78"/>
      <c r="B854" s="34"/>
      <c r="C854" s="35"/>
      <c r="D854" s="35"/>
      <c r="E854" s="35"/>
      <c r="F854" s="83"/>
      <c r="G854" s="96">
        <f t="shared" si="43"/>
        <v>0</v>
      </c>
      <c r="H854" s="74" t="e">
        <f t="shared" si="45"/>
        <v>#DIV/0!</v>
      </c>
      <c r="I854" s="74" t="e">
        <f t="shared" si="44"/>
        <v>#DIV/0!</v>
      </c>
      <c r="J854" s="62"/>
    </row>
    <row r="855" spans="1:10" ht="14.25" customHeight="1" x14ac:dyDescent="0.3">
      <c r="A855" s="78"/>
      <c r="B855" s="34"/>
      <c r="C855" s="35"/>
      <c r="D855" s="35"/>
      <c r="E855" s="35"/>
      <c r="F855" s="83"/>
      <c r="G855" s="96">
        <f t="shared" si="43"/>
        <v>0</v>
      </c>
      <c r="H855" s="74" t="e">
        <f t="shared" si="45"/>
        <v>#DIV/0!</v>
      </c>
      <c r="I855" s="74" t="e">
        <f t="shared" si="44"/>
        <v>#DIV/0!</v>
      </c>
      <c r="J855" s="62"/>
    </row>
    <row r="856" spans="1:10" ht="14.25" customHeight="1" x14ac:dyDescent="0.3">
      <c r="A856" s="78"/>
      <c r="B856" s="34"/>
      <c r="C856" s="35"/>
      <c r="D856" s="35"/>
      <c r="E856" s="35"/>
      <c r="F856" s="83"/>
      <c r="G856" s="96">
        <f t="shared" si="43"/>
        <v>0</v>
      </c>
      <c r="H856" s="74" t="e">
        <f t="shared" si="45"/>
        <v>#DIV/0!</v>
      </c>
      <c r="I856" s="74" t="e">
        <f t="shared" si="44"/>
        <v>#DIV/0!</v>
      </c>
      <c r="J856" s="62"/>
    </row>
    <row r="857" spans="1:10" ht="14.25" customHeight="1" x14ac:dyDescent="0.3">
      <c r="A857" s="78"/>
      <c r="B857" s="34"/>
      <c r="C857" s="35"/>
      <c r="D857" s="35"/>
      <c r="E857" s="35"/>
      <c r="F857" s="83"/>
      <c r="G857" s="96">
        <f t="shared" si="43"/>
        <v>0</v>
      </c>
      <c r="H857" s="74" t="e">
        <f t="shared" si="45"/>
        <v>#DIV/0!</v>
      </c>
      <c r="I857" s="74" t="e">
        <f t="shared" si="44"/>
        <v>#DIV/0!</v>
      </c>
      <c r="J857" s="62"/>
    </row>
    <row r="858" spans="1:10" ht="14.25" customHeight="1" x14ac:dyDescent="0.3">
      <c r="A858" s="78"/>
      <c r="B858" s="34"/>
      <c r="C858" s="35"/>
      <c r="D858" s="35"/>
      <c r="E858" s="35"/>
      <c r="F858" s="83"/>
      <c r="G858" s="96">
        <f t="shared" si="43"/>
        <v>0</v>
      </c>
      <c r="H858" s="74" t="e">
        <f t="shared" si="45"/>
        <v>#DIV/0!</v>
      </c>
      <c r="I858" s="74" t="e">
        <f t="shared" si="44"/>
        <v>#DIV/0!</v>
      </c>
      <c r="J858" s="62"/>
    </row>
    <row r="859" spans="1:10" ht="14.25" customHeight="1" x14ac:dyDescent="0.3">
      <c r="A859" s="78"/>
      <c r="B859" s="34"/>
      <c r="C859" s="35"/>
      <c r="D859" s="35"/>
      <c r="E859" s="35"/>
      <c r="F859" s="83"/>
      <c r="G859" s="96">
        <f t="shared" si="43"/>
        <v>0</v>
      </c>
      <c r="H859" s="74" t="e">
        <f t="shared" si="45"/>
        <v>#DIV/0!</v>
      </c>
      <c r="I859" s="74" t="e">
        <f t="shared" si="44"/>
        <v>#DIV/0!</v>
      </c>
      <c r="J859" s="62"/>
    </row>
    <row r="860" spans="1:10" ht="14.25" customHeight="1" x14ac:dyDescent="0.3">
      <c r="A860" s="78"/>
      <c r="B860" s="34"/>
      <c r="C860" s="35"/>
      <c r="D860" s="35"/>
      <c r="E860" s="35"/>
      <c r="F860" s="83"/>
      <c r="G860" s="96">
        <f t="shared" si="43"/>
        <v>0</v>
      </c>
      <c r="H860" s="74" t="e">
        <f t="shared" si="45"/>
        <v>#DIV/0!</v>
      </c>
      <c r="I860" s="74" t="e">
        <f t="shared" si="44"/>
        <v>#DIV/0!</v>
      </c>
      <c r="J860" s="62"/>
    </row>
    <row r="861" spans="1:10" ht="14.25" customHeight="1" x14ac:dyDescent="0.3">
      <c r="A861" s="78"/>
      <c r="B861" s="34"/>
      <c r="C861" s="35"/>
      <c r="D861" s="35"/>
      <c r="E861" s="35"/>
      <c r="F861" s="83"/>
      <c r="G861" s="96">
        <f t="shared" si="43"/>
        <v>0</v>
      </c>
      <c r="H861" s="74" t="e">
        <f t="shared" si="45"/>
        <v>#DIV/0!</v>
      </c>
      <c r="I861" s="74" t="e">
        <f t="shared" si="44"/>
        <v>#DIV/0!</v>
      </c>
      <c r="J861" s="62"/>
    </row>
    <row r="862" spans="1:10" ht="14.25" customHeight="1" x14ac:dyDescent="0.3">
      <c r="A862" s="78"/>
      <c r="B862" s="34"/>
      <c r="C862" s="35"/>
      <c r="D862" s="35"/>
      <c r="E862" s="35"/>
      <c r="F862" s="83"/>
      <c r="G862" s="96">
        <f t="shared" si="43"/>
        <v>0</v>
      </c>
      <c r="H862" s="74" t="e">
        <f t="shared" si="45"/>
        <v>#DIV/0!</v>
      </c>
      <c r="I862" s="74" t="e">
        <f t="shared" si="44"/>
        <v>#DIV/0!</v>
      </c>
      <c r="J862" s="62"/>
    </row>
    <row r="863" spans="1:10" ht="14.25" customHeight="1" x14ac:dyDescent="0.3">
      <c r="A863" s="78"/>
      <c r="B863" s="34"/>
      <c r="C863" s="35"/>
      <c r="D863" s="35"/>
      <c r="E863" s="35"/>
      <c r="F863" s="83"/>
      <c r="G863" s="96">
        <f t="shared" si="43"/>
        <v>0</v>
      </c>
      <c r="H863" s="74" t="e">
        <f t="shared" si="45"/>
        <v>#DIV/0!</v>
      </c>
      <c r="I863" s="74" t="e">
        <f t="shared" si="44"/>
        <v>#DIV/0!</v>
      </c>
      <c r="J863" s="62"/>
    </row>
    <row r="864" spans="1:10" ht="14.25" customHeight="1" x14ac:dyDescent="0.3">
      <c r="A864" s="78"/>
      <c r="B864" s="34"/>
      <c r="C864" s="35"/>
      <c r="D864" s="35"/>
      <c r="E864" s="35"/>
      <c r="F864" s="83"/>
      <c r="G864" s="96">
        <f t="shared" si="43"/>
        <v>0</v>
      </c>
      <c r="H864" s="74" t="e">
        <f t="shared" si="45"/>
        <v>#DIV/0!</v>
      </c>
      <c r="I864" s="74" t="e">
        <f t="shared" si="44"/>
        <v>#DIV/0!</v>
      </c>
      <c r="J864" s="62"/>
    </row>
    <row r="865" spans="1:10" ht="14.25" customHeight="1" x14ac:dyDescent="0.3">
      <c r="A865" s="78"/>
      <c r="B865" s="34"/>
      <c r="C865" s="35"/>
      <c r="D865" s="35"/>
      <c r="E865" s="35"/>
      <c r="F865" s="83"/>
      <c r="G865" s="96">
        <f t="shared" si="43"/>
        <v>0</v>
      </c>
      <c r="H865" s="74" t="e">
        <f t="shared" si="45"/>
        <v>#DIV/0!</v>
      </c>
      <c r="I865" s="74" t="e">
        <f t="shared" si="44"/>
        <v>#DIV/0!</v>
      </c>
      <c r="J865" s="62"/>
    </row>
    <row r="866" spans="1:10" ht="14.25" customHeight="1" x14ac:dyDescent="0.3">
      <c r="A866" s="78"/>
      <c r="B866" s="34"/>
      <c r="C866" s="35"/>
      <c r="D866" s="35"/>
      <c r="E866" s="35"/>
      <c r="F866" s="83"/>
      <c r="G866" s="96">
        <f t="shared" si="43"/>
        <v>0</v>
      </c>
      <c r="H866" s="74" t="e">
        <f t="shared" si="45"/>
        <v>#DIV/0!</v>
      </c>
      <c r="I866" s="74" t="e">
        <f t="shared" si="44"/>
        <v>#DIV/0!</v>
      </c>
      <c r="J866" s="62"/>
    </row>
    <row r="867" spans="1:10" ht="14.25" customHeight="1" x14ac:dyDescent="0.3">
      <c r="A867" s="78"/>
      <c r="B867" s="34"/>
      <c r="C867" s="35"/>
      <c r="D867" s="35"/>
      <c r="E867" s="35"/>
      <c r="F867" s="83"/>
      <c r="G867" s="96">
        <f t="shared" si="43"/>
        <v>0</v>
      </c>
      <c r="H867" s="74" t="e">
        <f t="shared" si="45"/>
        <v>#DIV/0!</v>
      </c>
      <c r="I867" s="74" t="e">
        <f t="shared" si="44"/>
        <v>#DIV/0!</v>
      </c>
      <c r="J867" s="62"/>
    </row>
    <row r="868" spans="1:10" ht="14.25" customHeight="1" x14ac:dyDescent="0.3">
      <c r="A868" s="78"/>
      <c r="B868" s="34"/>
      <c r="C868" s="35"/>
      <c r="D868" s="35"/>
      <c r="E868" s="35"/>
      <c r="F868" s="83"/>
      <c r="G868" s="96">
        <f t="shared" si="43"/>
        <v>0</v>
      </c>
      <c r="H868" s="74" t="e">
        <f t="shared" si="45"/>
        <v>#DIV/0!</v>
      </c>
      <c r="I868" s="74" t="e">
        <f t="shared" si="44"/>
        <v>#DIV/0!</v>
      </c>
      <c r="J868" s="62"/>
    </row>
    <row r="869" spans="1:10" ht="14.25" customHeight="1" x14ac:dyDescent="0.3">
      <c r="A869" s="78"/>
      <c r="B869" s="34"/>
      <c r="C869" s="35"/>
      <c r="D869" s="35"/>
      <c r="E869" s="35"/>
      <c r="F869" s="83"/>
      <c r="G869" s="96">
        <f t="shared" si="43"/>
        <v>0</v>
      </c>
      <c r="H869" s="74" t="e">
        <f t="shared" si="45"/>
        <v>#DIV/0!</v>
      </c>
      <c r="I869" s="74" t="e">
        <f t="shared" si="44"/>
        <v>#DIV/0!</v>
      </c>
      <c r="J869" s="62"/>
    </row>
    <row r="870" spans="1:10" ht="14.25" customHeight="1" x14ac:dyDescent="0.3">
      <c r="A870" s="78"/>
      <c r="B870" s="34"/>
      <c r="C870" s="35"/>
      <c r="D870" s="35"/>
      <c r="E870" s="35"/>
      <c r="F870" s="83"/>
      <c r="G870" s="96">
        <f t="shared" si="43"/>
        <v>0</v>
      </c>
      <c r="H870" s="74" t="e">
        <f t="shared" si="45"/>
        <v>#DIV/0!</v>
      </c>
      <c r="I870" s="74" t="e">
        <f t="shared" si="44"/>
        <v>#DIV/0!</v>
      </c>
      <c r="J870" s="62"/>
    </row>
    <row r="871" spans="1:10" ht="14.25" customHeight="1" x14ac:dyDescent="0.3">
      <c r="A871" s="78"/>
      <c r="B871" s="34"/>
      <c r="C871" s="35"/>
      <c r="D871" s="35"/>
      <c r="E871" s="35"/>
      <c r="F871" s="83"/>
      <c r="G871" s="96">
        <f t="shared" si="43"/>
        <v>0</v>
      </c>
      <c r="H871" s="74" t="e">
        <f t="shared" si="45"/>
        <v>#DIV/0!</v>
      </c>
      <c r="I871" s="74" t="e">
        <f t="shared" si="44"/>
        <v>#DIV/0!</v>
      </c>
      <c r="J871" s="62"/>
    </row>
    <row r="872" spans="1:10" ht="14.25" customHeight="1" x14ac:dyDescent="0.3">
      <c r="A872" s="78"/>
      <c r="B872" s="34"/>
      <c r="C872" s="35"/>
      <c r="D872" s="35"/>
      <c r="E872" s="35"/>
      <c r="F872" s="83"/>
      <c r="G872" s="96">
        <f t="shared" si="43"/>
        <v>0</v>
      </c>
      <c r="H872" s="74" t="e">
        <f t="shared" si="45"/>
        <v>#DIV/0!</v>
      </c>
      <c r="I872" s="74" t="e">
        <f t="shared" si="44"/>
        <v>#DIV/0!</v>
      </c>
      <c r="J872" s="62"/>
    </row>
    <row r="873" spans="1:10" ht="14.25" customHeight="1" x14ac:dyDescent="0.3">
      <c r="A873" s="78"/>
      <c r="B873" s="34"/>
      <c r="C873" s="35"/>
      <c r="D873" s="35"/>
      <c r="E873" s="35"/>
      <c r="F873" s="83"/>
      <c r="G873" s="96">
        <f t="shared" si="43"/>
        <v>0</v>
      </c>
      <c r="H873" s="74" t="e">
        <f t="shared" si="45"/>
        <v>#DIV/0!</v>
      </c>
      <c r="I873" s="74" t="e">
        <f t="shared" si="44"/>
        <v>#DIV/0!</v>
      </c>
      <c r="J873" s="62"/>
    </row>
    <row r="874" spans="1:10" ht="14.25" customHeight="1" x14ac:dyDescent="0.3">
      <c r="A874" s="78"/>
      <c r="B874" s="34"/>
      <c r="C874" s="35"/>
      <c r="D874" s="35"/>
      <c r="E874" s="35"/>
      <c r="F874" s="83"/>
      <c r="G874" s="96">
        <f t="shared" si="43"/>
        <v>0</v>
      </c>
      <c r="H874" s="74" t="e">
        <f t="shared" si="45"/>
        <v>#DIV/0!</v>
      </c>
      <c r="I874" s="74" t="e">
        <f t="shared" si="44"/>
        <v>#DIV/0!</v>
      </c>
      <c r="J874" s="62"/>
    </row>
    <row r="875" spans="1:10" ht="14.25" customHeight="1" x14ac:dyDescent="0.3">
      <c r="A875" s="78"/>
      <c r="B875" s="34"/>
      <c r="C875" s="35"/>
      <c r="D875" s="35"/>
      <c r="E875" s="35"/>
      <c r="F875" s="83"/>
      <c r="G875" s="96">
        <f t="shared" si="43"/>
        <v>0</v>
      </c>
      <c r="H875" s="74" t="e">
        <f t="shared" si="45"/>
        <v>#DIV/0!</v>
      </c>
      <c r="I875" s="74" t="e">
        <f t="shared" si="44"/>
        <v>#DIV/0!</v>
      </c>
      <c r="J875" s="62"/>
    </row>
    <row r="876" spans="1:10" ht="14.25" customHeight="1" x14ac:dyDescent="0.3">
      <c r="A876" s="78"/>
      <c r="B876" s="34"/>
      <c r="C876" s="35"/>
      <c r="D876" s="35"/>
      <c r="E876" s="35"/>
      <c r="F876" s="83"/>
      <c r="G876" s="96">
        <f t="shared" si="43"/>
        <v>0</v>
      </c>
      <c r="H876" s="74" t="e">
        <f t="shared" si="45"/>
        <v>#DIV/0!</v>
      </c>
      <c r="I876" s="74" t="e">
        <f t="shared" si="44"/>
        <v>#DIV/0!</v>
      </c>
      <c r="J876" s="62"/>
    </row>
    <row r="877" spans="1:10" ht="14.25" customHeight="1" x14ac:dyDescent="0.3">
      <c r="A877" s="78"/>
      <c r="B877" s="34"/>
      <c r="C877" s="35"/>
      <c r="D877" s="35"/>
      <c r="E877" s="35"/>
      <c r="F877" s="83"/>
      <c r="G877" s="96">
        <f t="shared" si="43"/>
        <v>0</v>
      </c>
      <c r="H877" s="74" t="e">
        <f t="shared" si="45"/>
        <v>#DIV/0!</v>
      </c>
      <c r="I877" s="74" t="e">
        <f t="shared" si="44"/>
        <v>#DIV/0!</v>
      </c>
      <c r="J877" s="62"/>
    </row>
    <row r="878" spans="1:10" ht="14.25" customHeight="1" x14ac:dyDescent="0.3">
      <c r="A878" s="78"/>
      <c r="B878" s="34"/>
      <c r="C878" s="35"/>
      <c r="D878" s="35"/>
      <c r="E878" s="35"/>
      <c r="F878" s="83"/>
      <c r="G878" s="96">
        <f t="shared" si="43"/>
        <v>0</v>
      </c>
      <c r="H878" s="74" t="e">
        <f t="shared" si="45"/>
        <v>#DIV/0!</v>
      </c>
      <c r="I878" s="74" t="e">
        <f t="shared" si="44"/>
        <v>#DIV/0!</v>
      </c>
      <c r="J878" s="62"/>
    </row>
    <row r="879" spans="1:10" ht="14.25" customHeight="1" x14ac:dyDescent="0.3">
      <c r="A879" s="78"/>
      <c r="B879" s="34"/>
      <c r="C879" s="35"/>
      <c r="D879" s="35"/>
      <c r="E879" s="35"/>
      <c r="F879" s="83"/>
      <c r="G879" s="96">
        <f t="shared" si="43"/>
        <v>0</v>
      </c>
      <c r="H879" s="74" t="e">
        <f t="shared" si="45"/>
        <v>#DIV/0!</v>
      </c>
      <c r="I879" s="74" t="e">
        <f t="shared" si="44"/>
        <v>#DIV/0!</v>
      </c>
      <c r="J879" s="62"/>
    </row>
    <row r="880" spans="1:10" ht="14.25" customHeight="1" x14ac:dyDescent="0.3">
      <c r="A880" s="78"/>
      <c r="B880" s="34"/>
      <c r="C880" s="35"/>
      <c r="D880" s="35"/>
      <c r="E880" s="35"/>
      <c r="F880" s="83"/>
      <c r="G880" s="96">
        <f t="shared" si="43"/>
        <v>0</v>
      </c>
      <c r="H880" s="74" t="e">
        <f t="shared" si="45"/>
        <v>#DIV/0!</v>
      </c>
      <c r="I880" s="74" t="e">
        <f t="shared" si="44"/>
        <v>#DIV/0!</v>
      </c>
      <c r="J880" s="62"/>
    </row>
    <row r="881" spans="1:10" ht="14.25" customHeight="1" x14ac:dyDescent="0.3">
      <c r="A881" s="78"/>
      <c r="B881" s="34"/>
      <c r="C881" s="35"/>
      <c r="D881" s="35"/>
      <c r="E881" s="35"/>
      <c r="F881" s="83"/>
      <c r="G881" s="96">
        <f t="shared" si="43"/>
        <v>0</v>
      </c>
      <c r="H881" s="74" t="e">
        <f t="shared" si="45"/>
        <v>#DIV/0!</v>
      </c>
      <c r="I881" s="74" t="e">
        <f t="shared" si="44"/>
        <v>#DIV/0!</v>
      </c>
      <c r="J881" s="62"/>
    </row>
    <row r="882" spans="1:10" ht="14.25" customHeight="1" x14ac:dyDescent="0.3">
      <c r="A882" s="78"/>
      <c r="B882" s="34"/>
      <c r="C882" s="35"/>
      <c r="D882" s="35"/>
      <c r="E882" s="35"/>
      <c r="F882" s="83"/>
      <c r="G882" s="96">
        <f t="shared" si="43"/>
        <v>0</v>
      </c>
      <c r="H882" s="74" t="e">
        <f t="shared" si="45"/>
        <v>#DIV/0!</v>
      </c>
      <c r="I882" s="74" t="e">
        <f t="shared" si="44"/>
        <v>#DIV/0!</v>
      </c>
      <c r="J882" s="62"/>
    </row>
    <row r="883" spans="1:10" ht="14.25" customHeight="1" x14ac:dyDescent="0.3">
      <c r="A883" s="78"/>
      <c r="B883" s="34"/>
      <c r="C883" s="35"/>
      <c r="D883" s="35"/>
      <c r="E883" s="35"/>
      <c r="F883" s="83"/>
      <c r="G883" s="96">
        <f t="shared" si="43"/>
        <v>0</v>
      </c>
      <c r="H883" s="74" t="e">
        <f t="shared" si="45"/>
        <v>#DIV/0!</v>
      </c>
      <c r="I883" s="74" t="e">
        <f t="shared" si="44"/>
        <v>#DIV/0!</v>
      </c>
      <c r="J883" s="62"/>
    </row>
    <row r="884" spans="1:10" ht="14.25" customHeight="1" x14ac:dyDescent="0.3">
      <c r="A884" s="78"/>
      <c r="B884" s="34"/>
      <c r="C884" s="35"/>
      <c r="D884" s="35"/>
      <c r="E884" s="35"/>
      <c r="F884" s="83"/>
      <c r="G884" s="96">
        <f t="shared" si="43"/>
        <v>0</v>
      </c>
      <c r="H884" s="74" t="e">
        <f t="shared" si="45"/>
        <v>#DIV/0!</v>
      </c>
      <c r="I884" s="74" t="e">
        <f t="shared" si="44"/>
        <v>#DIV/0!</v>
      </c>
      <c r="J884" s="62"/>
    </row>
    <row r="885" spans="1:10" ht="14.25" customHeight="1" x14ac:dyDescent="0.3">
      <c r="A885" s="78"/>
      <c r="B885" s="34"/>
      <c r="C885" s="35"/>
      <c r="D885" s="35"/>
      <c r="E885" s="35"/>
      <c r="F885" s="83"/>
      <c r="G885" s="96">
        <f t="shared" si="43"/>
        <v>0</v>
      </c>
      <c r="H885" s="74" t="e">
        <f t="shared" si="45"/>
        <v>#DIV/0!</v>
      </c>
      <c r="I885" s="74" t="e">
        <f t="shared" si="44"/>
        <v>#DIV/0!</v>
      </c>
      <c r="J885" s="62"/>
    </row>
    <row r="886" spans="1:10" ht="14.25" customHeight="1" x14ac:dyDescent="0.3">
      <c r="A886" s="78"/>
      <c r="B886" s="34"/>
      <c r="C886" s="35"/>
      <c r="D886" s="35"/>
      <c r="E886" s="35"/>
      <c r="F886" s="83"/>
      <c r="G886" s="96">
        <f t="shared" si="43"/>
        <v>0</v>
      </c>
      <c r="H886" s="74" t="e">
        <f t="shared" si="45"/>
        <v>#DIV/0!</v>
      </c>
      <c r="I886" s="74" t="e">
        <f t="shared" si="44"/>
        <v>#DIV/0!</v>
      </c>
      <c r="J886" s="62"/>
    </row>
    <row r="887" spans="1:10" ht="14.25" customHeight="1" x14ac:dyDescent="0.3">
      <c r="A887" s="78"/>
      <c r="B887" s="34"/>
      <c r="C887" s="35"/>
      <c r="D887" s="35"/>
      <c r="E887" s="35"/>
      <c r="F887" s="83"/>
      <c r="G887" s="96">
        <f t="shared" si="43"/>
        <v>0</v>
      </c>
      <c r="H887" s="74" t="e">
        <f t="shared" si="45"/>
        <v>#DIV/0!</v>
      </c>
      <c r="I887" s="74" t="e">
        <f t="shared" si="44"/>
        <v>#DIV/0!</v>
      </c>
      <c r="J887" s="62"/>
    </row>
    <row r="888" spans="1:10" ht="14.25" customHeight="1" x14ac:dyDescent="0.3">
      <c r="A888" s="78"/>
      <c r="B888" s="34"/>
      <c r="C888" s="35"/>
      <c r="D888" s="35"/>
      <c r="E888" s="35"/>
      <c r="F888" s="83"/>
      <c r="G888" s="96">
        <f t="shared" si="43"/>
        <v>0</v>
      </c>
      <c r="H888" s="74" t="e">
        <f t="shared" si="45"/>
        <v>#DIV/0!</v>
      </c>
      <c r="I888" s="74" t="e">
        <f t="shared" si="44"/>
        <v>#DIV/0!</v>
      </c>
      <c r="J888" s="62"/>
    </row>
    <row r="889" spans="1:10" ht="14.25" customHeight="1" x14ac:dyDescent="0.3">
      <c r="A889" s="78"/>
      <c r="B889" s="34"/>
      <c r="C889" s="35"/>
      <c r="D889" s="35"/>
      <c r="E889" s="35"/>
      <c r="F889" s="83"/>
      <c r="G889" s="96">
        <f t="shared" si="43"/>
        <v>0</v>
      </c>
      <c r="H889" s="74" t="e">
        <f t="shared" si="45"/>
        <v>#DIV/0!</v>
      </c>
      <c r="I889" s="74" t="e">
        <f t="shared" si="44"/>
        <v>#DIV/0!</v>
      </c>
      <c r="J889" s="62"/>
    </row>
    <row r="890" spans="1:10" ht="14.25" customHeight="1" x14ac:dyDescent="0.3">
      <c r="A890" s="78"/>
      <c r="B890" s="34"/>
      <c r="C890" s="35"/>
      <c r="D890" s="35"/>
      <c r="E890" s="35"/>
      <c r="F890" s="83"/>
      <c r="G890" s="96">
        <f t="shared" si="43"/>
        <v>0</v>
      </c>
      <c r="H890" s="74" t="e">
        <f t="shared" si="45"/>
        <v>#DIV/0!</v>
      </c>
      <c r="I890" s="74" t="e">
        <f t="shared" si="44"/>
        <v>#DIV/0!</v>
      </c>
      <c r="J890" s="62"/>
    </row>
    <row r="891" spans="1:10" ht="14.25" customHeight="1" x14ac:dyDescent="0.3">
      <c r="A891" s="78"/>
      <c r="B891" s="34"/>
      <c r="C891" s="35"/>
      <c r="D891" s="35"/>
      <c r="E891" s="35"/>
      <c r="F891" s="83"/>
      <c r="G891" s="96">
        <f t="shared" si="43"/>
        <v>0</v>
      </c>
      <c r="H891" s="74" t="e">
        <f t="shared" si="45"/>
        <v>#DIV/0!</v>
      </c>
      <c r="I891" s="74" t="e">
        <f t="shared" si="44"/>
        <v>#DIV/0!</v>
      </c>
      <c r="J891" s="62"/>
    </row>
    <row r="892" spans="1:10" ht="14.25" customHeight="1" x14ac:dyDescent="0.3">
      <c r="A892" s="78"/>
      <c r="B892" s="34"/>
      <c r="C892" s="35"/>
      <c r="D892" s="35"/>
      <c r="E892" s="35"/>
      <c r="F892" s="83"/>
      <c r="G892" s="96">
        <f t="shared" si="43"/>
        <v>0</v>
      </c>
      <c r="H892" s="74" t="e">
        <f t="shared" si="45"/>
        <v>#DIV/0!</v>
      </c>
      <c r="I892" s="74" t="e">
        <f t="shared" si="44"/>
        <v>#DIV/0!</v>
      </c>
      <c r="J892" s="62"/>
    </row>
    <row r="893" spans="1:10" ht="14.25" customHeight="1" x14ac:dyDescent="0.3">
      <c r="A893" s="78"/>
      <c r="B893" s="34"/>
      <c r="C893" s="35"/>
      <c r="D893" s="35"/>
      <c r="E893" s="35"/>
      <c r="F893" s="83"/>
      <c r="G893" s="96">
        <f t="shared" si="43"/>
        <v>0</v>
      </c>
      <c r="H893" s="74" t="e">
        <f t="shared" si="45"/>
        <v>#DIV/0!</v>
      </c>
      <c r="I893" s="74" t="e">
        <f t="shared" si="44"/>
        <v>#DIV/0!</v>
      </c>
      <c r="J893" s="62"/>
    </row>
    <row r="894" spans="1:10" ht="14.25" customHeight="1" x14ac:dyDescent="0.3">
      <c r="A894" s="78"/>
      <c r="B894" s="34"/>
      <c r="C894" s="35"/>
      <c r="D894" s="35"/>
      <c r="E894" s="35"/>
      <c r="F894" s="83"/>
      <c r="G894" s="96">
        <f t="shared" si="43"/>
        <v>0</v>
      </c>
      <c r="H894" s="74" t="e">
        <f t="shared" si="45"/>
        <v>#DIV/0!</v>
      </c>
      <c r="I894" s="74" t="e">
        <f t="shared" si="44"/>
        <v>#DIV/0!</v>
      </c>
      <c r="J894" s="62"/>
    </row>
    <row r="895" spans="1:10" ht="14.25" customHeight="1" x14ac:dyDescent="0.3">
      <c r="A895" s="78"/>
      <c r="B895" s="34"/>
      <c r="C895" s="35"/>
      <c r="D895" s="35"/>
      <c r="E895" s="35"/>
      <c r="F895" s="83"/>
      <c r="G895" s="96">
        <f t="shared" si="43"/>
        <v>0</v>
      </c>
      <c r="H895" s="74" t="e">
        <f t="shared" si="45"/>
        <v>#DIV/0!</v>
      </c>
      <c r="I895" s="74" t="e">
        <f t="shared" si="44"/>
        <v>#DIV/0!</v>
      </c>
      <c r="J895" s="62"/>
    </row>
    <row r="896" spans="1:10" ht="14.25" customHeight="1" x14ac:dyDescent="0.3">
      <c r="A896" s="78"/>
      <c r="B896" s="34"/>
      <c r="C896" s="35"/>
      <c r="D896" s="35"/>
      <c r="E896" s="35"/>
      <c r="F896" s="83"/>
      <c r="G896" s="96">
        <f t="shared" si="43"/>
        <v>0</v>
      </c>
      <c r="H896" s="74" t="e">
        <f t="shared" si="45"/>
        <v>#DIV/0!</v>
      </c>
      <c r="I896" s="74" t="e">
        <f t="shared" si="44"/>
        <v>#DIV/0!</v>
      </c>
      <c r="J896" s="62"/>
    </row>
    <row r="897" spans="1:10" ht="14.25" customHeight="1" x14ac:dyDescent="0.3">
      <c r="A897" s="78"/>
      <c r="B897" s="34"/>
      <c r="C897" s="35"/>
      <c r="D897" s="35"/>
      <c r="E897" s="35"/>
      <c r="F897" s="83"/>
      <c r="G897" s="96">
        <f t="shared" si="43"/>
        <v>0</v>
      </c>
      <c r="H897" s="74" t="e">
        <f t="shared" si="45"/>
        <v>#DIV/0!</v>
      </c>
      <c r="I897" s="74" t="e">
        <f t="shared" si="44"/>
        <v>#DIV/0!</v>
      </c>
      <c r="J897" s="62"/>
    </row>
    <row r="898" spans="1:10" ht="14.25" customHeight="1" x14ac:dyDescent="0.3">
      <c r="A898" s="78"/>
      <c r="B898" s="34"/>
      <c r="C898" s="35"/>
      <c r="D898" s="35"/>
      <c r="E898" s="35"/>
      <c r="F898" s="83"/>
      <c r="G898" s="96">
        <f t="shared" ref="G898:G961" si="46">C898-D898</f>
        <v>0</v>
      </c>
      <c r="H898" s="74" t="e">
        <f t="shared" si="45"/>
        <v>#DIV/0!</v>
      </c>
      <c r="I898" s="74" t="e">
        <f t="shared" ref="I898:I961" si="47">(C898 - D898) / (E898 - C898)</f>
        <v>#DIV/0!</v>
      </c>
      <c r="J898" s="62"/>
    </row>
    <row r="899" spans="1:10" ht="14.25" customHeight="1" x14ac:dyDescent="0.3">
      <c r="A899" s="78"/>
      <c r="B899" s="34"/>
      <c r="C899" s="35"/>
      <c r="D899" s="35"/>
      <c r="E899" s="35"/>
      <c r="F899" s="83"/>
      <c r="G899" s="96">
        <f t="shared" si="46"/>
        <v>0</v>
      </c>
      <c r="H899" s="74" t="e">
        <f t="shared" si="45"/>
        <v>#DIV/0!</v>
      </c>
      <c r="I899" s="74" t="e">
        <f t="shared" si="47"/>
        <v>#DIV/0!</v>
      </c>
      <c r="J899" s="62"/>
    </row>
    <row r="900" spans="1:10" ht="14.25" customHeight="1" x14ac:dyDescent="0.3">
      <c r="A900" s="78"/>
      <c r="B900" s="34"/>
      <c r="C900" s="35"/>
      <c r="D900" s="35"/>
      <c r="E900" s="35"/>
      <c r="F900" s="83"/>
      <c r="G900" s="96">
        <f t="shared" si="46"/>
        <v>0</v>
      </c>
      <c r="H900" s="74" t="e">
        <f t="shared" si="45"/>
        <v>#DIV/0!</v>
      </c>
      <c r="I900" s="74" t="e">
        <f t="shared" si="47"/>
        <v>#DIV/0!</v>
      </c>
      <c r="J900" s="62"/>
    </row>
    <row r="901" spans="1:10" ht="14.25" customHeight="1" x14ac:dyDescent="0.3">
      <c r="A901" s="78"/>
      <c r="B901" s="34"/>
      <c r="C901" s="35"/>
      <c r="D901" s="35"/>
      <c r="E901" s="35"/>
      <c r="F901" s="83"/>
      <c r="G901" s="96">
        <f t="shared" si="46"/>
        <v>0</v>
      </c>
      <c r="H901" s="74" t="e">
        <f t="shared" si="45"/>
        <v>#DIV/0!</v>
      </c>
      <c r="I901" s="74" t="e">
        <f t="shared" si="47"/>
        <v>#DIV/0!</v>
      </c>
      <c r="J901" s="62"/>
    </row>
    <row r="902" spans="1:10" ht="14.25" customHeight="1" x14ac:dyDescent="0.3">
      <c r="A902" s="78"/>
      <c r="B902" s="34"/>
      <c r="C902" s="35"/>
      <c r="D902" s="35"/>
      <c r="E902" s="35"/>
      <c r="F902" s="83"/>
      <c r="G902" s="96">
        <f t="shared" si="46"/>
        <v>0</v>
      </c>
      <c r="H902" s="74" t="e">
        <f t="shared" si="45"/>
        <v>#DIV/0!</v>
      </c>
      <c r="I902" s="74" t="e">
        <f t="shared" si="47"/>
        <v>#DIV/0!</v>
      </c>
      <c r="J902" s="62"/>
    </row>
    <row r="903" spans="1:10" ht="14.25" customHeight="1" x14ac:dyDescent="0.3">
      <c r="A903" s="78"/>
      <c r="B903" s="34"/>
      <c r="C903" s="35"/>
      <c r="D903" s="35"/>
      <c r="E903" s="35"/>
      <c r="F903" s="83"/>
      <c r="G903" s="96">
        <f t="shared" si="46"/>
        <v>0</v>
      </c>
      <c r="H903" s="74" t="e">
        <f t="shared" si="45"/>
        <v>#DIV/0!</v>
      </c>
      <c r="I903" s="74" t="e">
        <f t="shared" si="47"/>
        <v>#DIV/0!</v>
      </c>
      <c r="J903" s="62"/>
    </row>
    <row r="904" spans="1:10" ht="14.25" customHeight="1" x14ac:dyDescent="0.3">
      <c r="A904" s="78"/>
      <c r="B904" s="34"/>
      <c r="C904" s="35"/>
      <c r="D904" s="35"/>
      <c r="E904" s="35"/>
      <c r="F904" s="83"/>
      <c r="G904" s="96">
        <f t="shared" si="46"/>
        <v>0</v>
      </c>
      <c r="H904" s="74" t="e">
        <f t="shared" si="45"/>
        <v>#DIV/0!</v>
      </c>
      <c r="I904" s="74" t="e">
        <f t="shared" si="47"/>
        <v>#DIV/0!</v>
      </c>
      <c r="J904" s="62"/>
    </row>
    <row r="905" spans="1:10" ht="14.25" customHeight="1" x14ac:dyDescent="0.3">
      <c r="A905" s="78"/>
      <c r="B905" s="34"/>
      <c r="C905" s="35"/>
      <c r="D905" s="35"/>
      <c r="E905" s="35"/>
      <c r="F905" s="83"/>
      <c r="G905" s="96">
        <f t="shared" si="46"/>
        <v>0</v>
      </c>
      <c r="H905" s="74" t="e">
        <f t="shared" si="45"/>
        <v>#DIV/0!</v>
      </c>
      <c r="I905" s="74" t="e">
        <f t="shared" si="47"/>
        <v>#DIV/0!</v>
      </c>
      <c r="J905" s="62"/>
    </row>
    <row r="906" spans="1:10" ht="14.25" customHeight="1" x14ac:dyDescent="0.3">
      <c r="A906" s="78"/>
      <c r="B906" s="34"/>
      <c r="C906" s="35"/>
      <c r="D906" s="35"/>
      <c r="E906" s="35"/>
      <c r="F906" s="83"/>
      <c r="G906" s="96">
        <f t="shared" si="46"/>
        <v>0</v>
      </c>
      <c r="H906" s="74" t="e">
        <f t="shared" ref="H906:H969" si="48">(C906-D906)/E906</f>
        <v>#DIV/0!</v>
      </c>
      <c r="I906" s="74" t="e">
        <f t="shared" si="47"/>
        <v>#DIV/0!</v>
      </c>
      <c r="J906" s="62"/>
    </row>
    <row r="907" spans="1:10" ht="14.25" customHeight="1" x14ac:dyDescent="0.3">
      <c r="A907" s="78"/>
      <c r="B907" s="34"/>
      <c r="C907" s="35"/>
      <c r="D907" s="35"/>
      <c r="E907" s="35"/>
      <c r="F907" s="83"/>
      <c r="G907" s="96">
        <f t="shared" si="46"/>
        <v>0</v>
      </c>
      <c r="H907" s="74" t="e">
        <f t="shared" si="48"/>
        <v>#DIV/0!</v>
      </c>
      <c r="I907" s="74" t="e">
        <f t="shared" si="47"/>
        <v>#DIV/0!</v>
      </c>
      <c r="J907" s="62"/>
    </row>
    <row r="908" spans="1:10" ht="14.25" customHeight="1" x14ac:dyDescent="0.3">
      <c r="A908" s="78"/>
      <c r="B908" s="34"/>
      <c r="C908" s="35"/>
      <c r="D908" s="35"/>
      <c r="E908" s="35"/>
      <c r="F908" s="83"/>
      <c r="G908" s="96">
        <f t="shared" si="46"/>
        <v>0</v>
      </c>
      <c r="H908" s="74" t="e">
        <f t="shared" si="48"/>
        <v>#DIV/0!</v>
      </c>
      <c r="I908" s="74" t="e">
        <f t="shared" si="47"/>
        <v>#DIV/0!</v>
      </c>
      <c r="J908" s="62"/>
    </row>
    <row r="909" spans="1:10" ht="14.25" customHeight="1" x14ac:dyDescent="0.3">
      <c r="A909" s="78"/>
      <c r="B909" s="34"/>
      <c r="C909" s="35"/>
      <c r="D909" s="35"/>
      <c r="E909" s="35"/>
      <c r="F909" s="83"/>
      <c r="G909" s="96">
        <f t="shared" si="46"/>
        <v>0</v>
      </c>
      <c r="H909" s="74" t="e">
        <f t="shared" si="48"/>
        <v>#DIV/0!</v>
      </c>
      <c r="I909" s="74" t="e">
        <f t="shared" si="47"/>
        <v>#DIV/0!</v>
      </c>
      <c r="J909" s="62"/>
    </row>
    <row r="910" spans="1:10" ht="14.25" customHeight="1" x14ac:dyDescent="0.3">
      <c r="A910" s="78"/>
      <c r="B910" s="34"/>
      <c r="C910" s="35"/>
      <c r="D910" s="35"/>
      <c r="E910" s="35"/>
      <c r="F910" s="83"/>
      <c r="G910" s="96">
        <f t="shared" si="46"/>
        <v>0</v>
      </c>
      <c r="H910" s="74" t="e">
        <f t="shared" si="48"/>
        <v>#DIV/0!</v>
      </c>
      <c r="I910" s="74" t="e">
        <f t="shared" si="47"/>
        <v>#DIV/0!</v>
      </c>
      <c r="J910" s="62"/>
    </row>
    <row r="911" spans="1:10" ht="14.25" customHeight="1" x14ac:dyDescent="0.3">
      <c r="A911" s="78"/>
      <c r="B911" s="34"/>
      <c r="C911" s="35"/>
      <c r="D911" s="35"/>
      <c r="E911" s="35"/>
      <c r="F911" s="83"/>
      <c r="G911" s="96">
        <f t="shared" si="46"/>
        <v>0</v>
      </c>
      <c r="H911" s="74" t="e">
        <f t="shared" si="48"/>
        <v>#DIV/0!</v>
      </c>
      <c r="I911" s="74" t="e">
        <f t="shared" si="47"/>
        <v>#DIV/0!</v>
      </c>
      <c r="J911" s="62"/>
    </row>
    <row r="912" spans="1:10" ht="14.25" customHeight="1" x14ac:dyDescent="0.3">
      <c r="A912" s="78"/>
      <c r="B912" s="34"/>
      <c r="C912" s="35"/>
      <c r="D912" s="35"/>
      <c r="E912" s="35"/>
      <c r="F912" s="83"/>
      <c r="G912" s="96">
        <f t="shared" si="46"/>
        <v>0</v>
      </c>
      <c r="H912" s="74" t="e">
        <f t="shared" si="48"/>
        <v>#DIV/0!</v>
      </c>
      <c r="I912" s="74" t="e">
        <f t="shared" si="47"/>
        <v>#DIV/0!</v>
      </c>
      <c r="J912" s="62"/>
    </row>
    <row r="913" spans="1:10" ht="14.25" customHeight="1" x14ac:dyDescent="0.3">
      <c r="A913" s="78"/>
      <c r="B913" s="34"/>
      <c r="C913" s="35"/>
      <c r="D913" s="35"/>
      <c r="E913" s="35"/>
      <c r="F913" s="83"/>
      <c r="G913" s="96">
        <f t="shared" si="46"/>
        <v>0</v>
      </c>
      <c r="H913" s="74" t="e">
        <f t="shared" si="48"/>
        <v>#DIV/0!</v>
      </c>
      <c r="I913" s="74" t="e">
        <f t="shared" si="47"/>
        <v>#DIV/0!</v>
      </c>
      <c r="J913" s="62"/>
    </row>
    <row r="914" spans="1:10" ht="14.25" customHeight="1" x14ac:dyDescent="0.3">
      <c r="A914" s="78"/>
      <c r="B914" s="34"/>
      <c r="C914" s="35"/>
      <c r="D914" s="35"/>
      <c r="E914" s="35"/>
      <c r="F914" s="83"/>
      <c r="G914" s="96">
        <f t="shared" si="46"/>
        <v>0</v>
      </c>
      <c r="H914" s="74" t="e">
        <f t="shared" si="48"/>
        <v>#DIV/0!</v>
      </c>
      <c r="I914" s="74" t="e">
        <f t="shared" si="47"/>
        <v>#DIV/0!</v>
      </c>
      <c r="J914" s="62"/>
    </row>
    <row r="915" spans="1:10" ht="14.25" customHeight="1" x14ac:dyDescent="0.3">
      <c r="A915" s="78"/>
      <c r="B915" s="34"/>
      <c r="C915" s="35"/>
      <c r="D915" s="35"/>
      <c r="E915" s="35"/>
      <c r="F915" s="83"/>
      <c r="G915" s="96">
        <f t="shared" si="46"/>
        <v>0</v>
      </c>
      <c r="H915" s="74" t="e">
        <f t="shared" si="48"/>
        <v>#DIV/0!</v>
      </c>
      <c r="I915" s="74" t="e">
        <f t="shared" si="47"/>
        <v>#DIV/0!</v>
      </c>
      <c r="J915" s="62"/>
    </row>
    <row r="916" spans="1:10" ht="14.25" customHeight="1" x14ac:dyDescent="0.3">
      <c r="A916" s="78"/>
      <c r="B916" s="34"/>
      <c r="C916" s="35"/>
      <c r="D916" s="35"/>
      <c r="E916" s="35"/>
      <c r="F916" s="83"/>
      <c r="G916" s="96">
        <f t="shared" si="46"/>
        <v>0</v>
      </c>
      <c r="H916" s="74" t="e">
        <f t="shared" si="48"/>
        <v>#DIV/0!</v>
      </c>
      <c r="I916" s="74" t="e">
        <f t="shared" si="47"/>
        <v>#DIV/0!</v>
      </c>
      <c r="J916" s="62"/>
    </row>
    <row r="917" spans="1:10" ht="14.25" customHeight="1" x14ac:dyDescent="0.3">
      <c r="A917" s="78"/>
      <c r="B917" s="34"/>
      <c r="C917" s="35"/>
      <c r="D917" s="35"/>
      <c r="E917" s="35"/>
      <c r="F917" s="83"/>
      <c r="G917" s="96">
        <f t="shared" si="46"/>
        <v>0</v>
      </c>
      <c r="H917" s="74" t="e">
        <f t="shared" si="48"/>
        <v>#DIV/0!</v>
      </c>
      <c r="I917" s="74" t="e">
        <f t="shared" si="47"/>
        <v>#DIV/0!</v>
      </c>
      <c r="J917" s="62"/>
    </row>
    <row r="918" spans="1:10" ht="14.25" customHeight="1" x14ac:dyDescent="0.3">
      <c r="A918" s="78"/>
      <c r="B918" s="34"/>
      <c r="C918" s="35"/>
      <c r="D918" s="35"/>
      <c r="E918" s="35"/>
      <c r="F918" s="83"/>
      <c r="G918" s="96">
        <f t="shared" si="46"/>
        <v>0</v>
      </c>
      <c r="H918" s="74" t="e">
        <f t="shared" si="48"/>
        <v>#DIV/0!</v>
      </c>
      <c r="I918" s="74" t="e">
        <f t="shared" si="47"/>
        <v>#DIV/0!</v>
      </c>
      <c r="J918" s="62"/>
    </row>
    <row r="919" spans="1:10" ht="14.25" customHeight="1" x14ac:dyDescent="0.3">
      <c r="A919" s="78"/>
      <c r="B919" s="34"/>
      <c r="C919" s="35"/>
      <c r="D919" s="35"/>
      <c r="E919" s="35"/>
      <c r="F919" s="83"/>
      <c r="G919" s="96">
        <f t="shared" si="46"/>
        <v>0</v>
      </c>
      <c r="H919" s="74" t="e">
        <f t="shared" si="48"/>
        <v>#DIV/0!</v>
      </c>
      <c r="I919" s="74" t="e">
        <f t="shared" si="47"/>
        <v>#DIV/0!</v>
      </c>
      <c r="J919" s="62"/>
    </row>
    <row r="920" spans="1:10" ht="14.25" customHeight="1" x14ac:dyDescent="0.3">
      <c r="A920" s="78"/>
      <c r="B920" s="34"/>
      <c r="C920" s="35"/>
      <c r="D920" s="35"/>
      <c r="E920" s="35"/>
      <c r="F920" s="83"/>
      <c r="G920" s="96">
        <f t="shared" si="46"/>
        <v>0</v>
      </c>
      <c r="H920" s="74" t="e">
        <f t="shared" si="48"/>
        <v>#DIV/0!</v>
      </c>
      <c r="I920" s="74" t="e">
        <f t="shared" si="47"/>
        <v>#DIV/0!</v>
      </c>
      <c r="J920" s="62"/>
    </row>
    <row r="921" spans="1:10" ht="14.25" customHeight="1" x14ac:dyDescent="0.3">
      <c r="A921" s="78"/>
      <c r="B921" s="34"/>
      <c r="C921" s="35"/>
      <c r="D921" s="35"/>
      <c r="E921" s="35"/>
      <c r="F921" s="83"/>
      <c r="G921" s="96">
        <f t="shared" si="46"/>
        <v>0</v>
      </c>
      <c r="H921" s="74" t="e">
        <f t="shared" si="48"/>
        <v>#DIV/0!</v>
      </c>
      <c r="I921" s="74" t="e">
        <f t="shared" si="47"/>
        <v>#DIV/0!</v>
      </c>
      <c r="J921" s="62"/>
    </row>
    <row r="922" spans="1:10" ht="14.25" customHeight="1" x14ac:dyDescent="0.3">
      <c r="A922" s="78"/>
      <c r="B922" s="34"/>
      <c r="C922" s="35"/>
      <c r="D922" s="35"/>
      <c r="E922" s="35"/>
      <c r="F922" s="83"/>
      <c r="G922" s="96">
        <f t="shared" si="46"/>
        <v>0</v>
      </c>
      <c r="H922" s="74" t="e">
        <f t="shared" si="48"/>
        <v>#DIV/0!</v>
      </c>
      <c r="I922" s="74" t="e">
        <f t="shared" si="47"/>
        <v>#DIV/0!</v>
      </c>
      <c r="J922" s="62"/>
    </row>
    <row r="923" spans="1:10" ht="14.25" customHeight="1" x14ac:dyDescent="0.3">
      <c r="A923" s="78"/>
      <c r="B923" s="34"/>
      <c r="C923" s="35"/>
      <c r="D923" s="35"/>
      <c r="E923" s="35"/>
      <c r="F923" s="83"/>
      <c r="G923" s="96">
        <f t="shared" si="46"/>
        <v>0</v>
      </c>
      <c r="H923" s="74" t="e">
        <f t="shared" si="48"/>
        <v>#DIV/0!</v>
      </c>
      <c r="I923" s="74" t="e">
        <f t="shared" si="47"/>
        <v>#DIV/0!</v>
      </c>
      <c r="J923" s="62"/>
    </row>
    <row r="924" spans="1:10" ht="14.25" customHeight="1" x14ac:dyDescent="0.3">
      <c r="A924" s="78"/>
      <c r="B924" s="34"/>
      <c r="C924" s="35"/>
      <c r="D924" s="35"/>
      <c r="E924" s="35"/>
      <c r="F924" s="83"/>
      <c r="G924" s="96">
        <f t="shared" si="46"/>
        <v>0</v>
      </c>
      <c r="H924" s="74" t="e">
        <f t="shared" si="48"/>
        <v>#DIV/0!</v>
      </c>
      <c r="I924" s="74" t="e">
        <f t="shared" si="47"/>
        <v>#DIV/0!</v>
      </c>
      <c r="J924" s="62"/>
    </row>
    <row r="925" spans="1:10" ht="14.25" customHeight="1" x14ac:dyDescent="0.3">
      <c r="A925" s="78"/>
      <c r="B925" s="34"/>
      <c r="C925" s="35"/>
      <c r="D925" s="35"/>
      <c r="E925" s="35"/>
      <c r="F925" s="83"/>
      <c r="G925" s="96">
        <f t="shared" si="46"/>
        <v>0</v>
      </c>
      <c r="H925" s="74" t="e">
        <f t="shared" si="48"/>
        <v>#DIV/0!</v>
      </c>
      <c r="I925" s="74" t="e">
        <f t="shared" si="47"/>
        <v>#DIV/0!</v>
      </c>
      <c r="J925" s="62"/>
    </row>
    <row r="926" spans="1:10" ht="14.25" customHeight="1" x14ac:dyDescent="0.3">
      <c r="A926" s="78"/>
      <c r="B926" s="34"/>
      <c r="C926" s="35"/>
      <c r="D926" s="35"/>
      <c r="E926" s="35"/>
      <c r="F926" s="83"/>
      <c r="G926" s="96">
        <f t="shared" si="46"/>
        <v>0</v>
      </c>
      <c r="H926" s="74" t="e">
        <f t="shared" si="48"/>
        <v>#DIV/0!</v>
      </c>
      <c r="I926" s="74" t="e">
        <f t="shared" si="47"/>
        <v>#DIV/0!</v>
      </c>
      <c r="J926" s="62"/>
    </row>
    <row r="927" spans="1:10" ht="14.25" customHeight="1" x14ac:dyDescent="0.3">
      <c r="A927" s="78"/>
      <c r="B927" s="34"/>
      <c r="C927" s="35"/>
      <c r="D927" s="35"/>
      <c r="E927" s="35"/>
      <c r="F927" s="83"/>
      <c r="G927" s="96">
        <f t="shared" si="46"/>
        <v>0</v>
      </c>
      <c r="H927" s="74" t="e">
        <f t="shared" si="48"/>
        <v>#DIV/0!</v>
      </c>
      <c r="I927" s="74" t="e">
        <f t="shared" si="47"/>
        <v>#DIV/0!</v>
      </c>
      <c r="J927" s="62"/>
    </row>
    <row r="928" spans="1:10" ht="14.25" customHeight="1" x14ac:dyDescent="0.3">
      <c r="A928" s="78"/>
      <c r="B928" s="34"/>
      <c r="C928" s="35"/>
      <c r="D928" s="35"/>
      <c r="E928" s="35"/>
      <c r="F928" s="83"/>
      <c r="G928" s="96">
        <f t="shared" si="46"/>
        <v>0</v>
      </c>
      <c r="H928" s="74" t="e">
        <f t="shared" si="48"/>
        <v>#DIV/0!</v>
      </c>
      <c r="I928" s="74" t="e">
        <f t="shared" si="47"/>
        <v>#DIV/0!</v>
      </c>
      <c r="J928" s="62"/>
    </row>
    <row r="929" spans="1:10" ht="14.25" customHeight="1" x14ac:dyDescent="0.3">
      <c r="A929" s="78"/>
      <c r="B929" s="34"/>
      <c r="C929" s="35"/>
      <c r="D929" s="35"/>
      <c r="E929" s="35"/>
      <c r="F929" s="83"/>
      <c r="G929" s="96">
        <f t="shared" si="46"/>
        <v>0</v>
      </c>
      <c r="H929" s="74" t="e">
        <f t="shared" si="48"/>
        <v>#DIV/0!</v>
      </c>
      <c r="I929" s="74" t="e">
        <f t="shared" si="47"/>
        <v>#DIV/0!</v>
      </c>
      <c r="J929" s="62"/>
    </row>
    <row r="930" spans="1:10" ht="14.25" customHeight="1" x14ac:dyDescent="0.3">
      <c r="A930" s="78"/>
      <c r="B930" s="34"/>
      <c r="C930" s="35"/>
      <c r="D930" s="35"/>
      <c r="E930" s="35"/>
      <c r="F930" s="83"/>
      <c r="G930" s="96">
        <f t="shared" si="46"/>
        <v>0</v>
      </c>
      <c r="H930" s="74" t="e">
        <f t="shared" si="48"/>
        <v>#DIV/0!</v>
      </c>
      <c r="I930" s="74" t="e">
        <f t="shared" si="47"/>
        <v>#DIV/0!</v>
      </c>
      <c r="J930" s="62"/>
    </row>
    <row r="931" spans="1:10" ht="14.25" customHeight="1" x14ac:dyDescent="0.3">
      <c r="A931" s="78"/>
      <c r="B931" s="34"/>
      <c r="C931" s="35"/>
      <c r="D931" s="35"/>
      <c r="E931" s="35"/>
      <c r="F931" s="83"/>
      <c r="G931" s="96">
        <f t="shared" si="46"/>
        <v>0</v>
      </c>
      <c r="H931" s="74" t="e">
        <f t="shared" si="48"/>
        <v>#DIV/0!</v>
      </c>
      <c r="I931" s="74" t="e">
        <f t="shared" si="47"/>
        <v>#DIV/0!</v>
      </c>
      <c r="J931" s="62"/>
    </row>
    <row r="932" spans="1:10" ht="14.25" customHeight="1" x14ac:dyDescent="0.3">
      <c r="A932" s="78"/>
      <c r="B932" s="34"/>
      <c r="C932" s="35"/>
      <c r="D932" s="35"/>
      <c r="E932" s="35"/>
      <c r="F932" s="83"/>
      <c r="G932" s="96">
        <f t="shared" si="46"/>
        <v>0</v>
      </c>
      <c r="H932" s="74" t="e">
        <f t="shared" si="48"/>
        <v>#DIV/0!</v>
      </c>
      <c r="I932" s="74" t="e">
        <f t="shared" si="47"/>
        <v>#DIV/0!</v>
      </c>
      <c r="J932" s="62"/>
    </row>
    <row r="933" spans="1:10" ht="14.25" customHeight="1" x14ac:dyDescent="0.3">
      <c r="A933" s="78"/>
      <c r="B933" s="34"/>
      <c r="C933" s="35"/>
      <c r="D933" s="35"/>
      <c r="E933" s="35"/>
      <c r="F933" s="83"/>
      <c r="G933" s="96">
        <f t="shared" si="46"/>
        <v>0</v>
      </c>
      <c r="H933" s="74" t="e">
        <f t="shared" si="48"/>
        <v>#DIV/0!</v>
      </c>
      <c r="I933" s="74" t="e">
        <f t="shared" si="47"/>
        <v>#DIV/0!</v>
      </c>
      <c r="J933" s="62"/>
    </row>
    <row r="934" spans="1:10" ht="14.25" customHeight="1" x14ac:dyDescent="0.3">
      <c r="A934" s="78"/>
      <c r="B934" s="34"/>
      <c r="C934" s="35"/>
      <c r="D934" s="35"/>
      <c r="E934" s="35"/>
      <c r="F934" s="83"/>
      <c r="G934" s="96">
        <f t="shared" si="46"/>
        <v>0</v>
      </c>
      <c r="H934" s="74" t="e">
        <f t="shared" si="48"/>
        <v>#DIV/0!</v>
      </c>
      <c r="I934" s="74" t="e">
        <f t="shared" si="47"/>
        <v>#DIV/0!</v>
      </c>
      <c r="J934" s="62"/>
    </row>
    <row r="935" spans="1:10" ht="14.25" customHeight="1" x14ac:dyDescent="0.3">
      <c r="A935" s="78"/>
      <c r="B935" s="34"/>
      <c r="C935" s="35"/>
      <c r="D935" s="35"/>
      <c r="E935" s="35"/>
      <c r="F935" s="83"/>
      <c r="G935" s="96">
        <f t="shared" si="46"/>
        <v>0</v>
      </c>
      <c r="H935" s="74" t="e">
        <f t="shared" si="48"/>
        <v>#DIV/0!</v>
      </c>
      <c r="I935" s="74" t="e">
        <f t="shared" si="47"/>
        <v>#DIV/0!</v>
      </c>
      <c r="J935" s="62"/>
    </row>
    <row r="936" spans="1:10" ht="14.25" customHeight="1" x14ac:dyDescent="0.3">
      <c r="A936" s="78"/>
      <c r="B936" s="34"/>
      <c r="C936" s="35"/>
      <c r="D936" s="35"/>
      <c r="E936" s="35"/>
      <c r="F936" s="83"/>
      <c r="G936" s="96">
        <f t="shared" si="46"/>
        <v>0</v>
      </c>
      <c r="H936" s="74" t="e">
        <f t="shared" si="48"/>
        <v>#DIV/0!</v>
      </c>
      <c r="I936" s="74" t="e">
        <f t="shared" si="47"/>
        <v>#DIV/0!</v>
      </c>
      <c r="J936" s="62"/>
    </row>
    <row r="937" spans="1:10" ht="14.25" customHeight="1" x14ac:dyDescent="0.3">
      <c r="A937" s="78"/>
      <c r="B937" s="34"/>
      <c r="C937" s="35"/>
      <c r="D937" s="35"/>
      <c r="E937" s="35"/>
      <c r="F937" s="83"/>
      <c r="G937" s="96">
        <f t="shared" si="46"/>
        <v>0</v>
      </c>
      <c r="H937" s="74" t="e">
        <f t="shared" si="48"/>
        <v>#DIV/0!</v>
      </c>
      <c r="I937" s="74" t="e">
        <f t="shared" si="47"/>
        <v>#DIV/0!</v>
      </c>
      <c r="J937" s="62"/>
    </row>
    <row r="938" spans="1:10" ht="14.25" customHeight="1" x14ac:dyDescent="0.3">
      <c r="A938" s="78"/>
      <c r="B938" s="34"/>
      <c r="C938" s="35"/>
      <c r="D938" s="35"/>
      <c r="E938" s="35"/>
      <c r="F938" s="83"/>
      <c r="G938" s="96">
        <f t="shared" si="46"/>
        <v>0</v>
      </c>
      <c r="H938" s="74" t="e">
        <f t="shared" si="48"/>
        <v>#DIV/0!</v>
      </c>
      <c r="I938" s="74" t="e">
        <f t="shared" si="47"/>
        <v>#DIV/0!</v>
      </c>
      <c r="J938" s="62"/>
    </row>
    <row r="939" spans="1:10" ht="14.25" customHeight="1" x14ac:dyDescent="0.3">
      <c r="A939" s="78"/>
      <c r="B939" s="34"/>
      <c r="C939" s="35"/>
      <c r="D939" s="35"/>
      <c r="E939" s="35"/>
      <c r="F939" s="83"/>
      <c r="G939" s="96">
        <f t="shared" si="46"/>
        <v>0</v>
      </c>
      <c r="H939" s="74" t="e">
        <f t="shared" si="48"/>
        <v>#DIV/0!</v>
      </c>
      <c r="I939" s="74" t="e">
        <f t="shared" si="47"/>
        <v>#DIV/0!</v>
      </c>
      <c r="J939" s="62"/>
    </row>
    <row r="940" spans="1:10" ht="14.25" customHeight="1" x14ac:dyDescent="0.3">
      <c r="A940" s="78"/>
      <c r="B940" s="34"/>
      <c r="C940" s="35"/>
      <c r="D940" s="35"/>
      <c r="E940" s="35"/>
      <c r="F940" s="83"/>
      <c r="G940" s="96">
        <f t="shared" si="46"/>
        <v>0</v>
      </c>
      <c r="H940" s="74" t="e">
        <f t="shared" si="48"/>
        <v>#DIV/0!</v>
      </c>
      <c r="I940" s="74" t="e">
        <f t="shared" si="47"/>
        <v>#DIV/0!</v>
      </c>
      <c r="J940" s="62"/>
    </row>
    <row r="941" spans="1:10" ht="14.25" customHeight="1" x14ac:dyDescent="0.3">
      <c r="A941" s="78"/>
      <c r="B941" s="34"/>
      <c r="C941" s="35"/>
      <c r="D941" s="35"/>
      <c r="E941" s="35"/>
      <c r="F941" s="83"/>
      <c r="G941" s="96">
        <f t="shared" si="46"/>
        <v>0</v>
      </c>
      <c r="H941" s="74" t="e">
        <f t="shared" si="48"/>
        <v>#DIV/0!</v>
      </c>
      <c r="I941" s="74" t="e">
        <f t="shared" si="47"/>
        <v>#DIV/0!</v>
      </c>
      <c r="J941" s="62"/>
    </row>
    <row r="942" spans="1:10" ht="14.25" customHeight="1" x14ac:dyDescent="0.3">
      <c r="A942" s="78"/>
      <c r="B942" s="34"/>
      <c r="C942" s="35"/>
      <c r="D942" s="35"/>
      <c r="E942" s="35"/>
      <c r="F942" s="83"/>
      <c r="G942" s="96">
        <f t="shared" si="46"/>
        <v>0</v>
      </c>
      <c r="H942" s="74" t="e">
        <f t="shared" si="48"/>
        <v>#DIV/0!</v>
      </c>
      <c r="I942" s="74" t="e">
        <f t="shared" si="47"/>
        <v>#DIV/0!</v>
      </c>
      <c r="J942" s="62"/>
    </row>
    <row r="943" spans="1:10" ht="14.25" customHeight="1" x14ac:dyDescent="0.3">
      <c r="A943" s="78"/>
      <c r="B943" s="34"/>
      <c r="C943" s="35"/>
      <c r="D943" s="35"/>
      <c r="E943" s="35"/>
      <c r="F943" s="83"/>
      <c r="G943" s="96">
        <f t="shared" si="46"/>
        <v>0</v>
      </c>
      <c r="H943" s="74" t="e">
        <f t="shared" si="48"/>
        <v>#DIV/0!</v>
      </c>
      <c r="I943" s="74" t="e">
        <f t="shared" si="47"/>
        <v>#DIV/0!</v>
      </c>
      <c r="J943" s="62"/>
    </row>
    <row r="944" spans="1:10" ht="14.25" customHeight="1" x14ac:dyDescent="0.3">
      <c r="A944" s="78"/>
      <c r="B944" s="34"/>
      <c r="C944" s="35"/>
      <c r="D944" s="35"/>
      <c r="E944" s="35"/>
      <c r="F944" s="83"/>
      <c r="G944" s="96">
        <f t="shared" si="46"/>
        <v>0</v>
      </c>
      <c r="H944" s="74" t="e">
        <f t="shared" si="48"/>
        <v>#DIV/0!</v>
      </c>
      <c r="I944" s="74" t="e">
        <f t="shared" si="47"/>
        <v>#DIV/0!</v>
      </c>
      <c r="J944" s="62"/>
    </row>
    <row r="945" spans="1:10" ht="14.25" customHeight="1" x14ac:dyDescent="0.3">
      <c r="A945" s="78"/>
      <c r="B945" s="34"/>
      <c r="C945" s="35"/>
      <c r="D945" s="35"/>
      <c r="E945" s="35"/>
      <c r="F945" s="83"/>
      <c r="G945" s="96">
        <f t="shared" si="46"/>
        <v>0</v>
      </c>
      <c r="H945" s="74" t="e">
        <f t="shared" si="48"/>
        <v>#DIV/0!</v>
      </c>
      <c r="I945" s="74" t="e">
        <f t="shared" si="47"/>
        <v>#DIV/0!</v>
      </c>
      <c r="J945" s="62"/>
    </row>
    <row r="946" spans="1:10" ht="14.25" customHeight="1" x14ac:dyDescent="0.3">
      <c r="A946" s="78"/>
      <c r="B946" s="34"/>
      <c r="C946" s="35"/>
      <c r="D946" s="35"/>
      <c r="E946" s="35"/>
      <c r="F946" s="83"/>
      <c r="G946" s="96">
        <f t="shared" si="46"/>
        <v>0</v>
      </c>
      <c r="H946" s="74" t="e">
        <f t="shared" si="48"/>
        <v>#DIV/0!</v>
      </c>
      <c r="I946" s="74" t="e">
        <f t="shared" si="47"/>
        <v>#DIV/0!</v>
      </c>
      <c r="J946" s="62"/>
    </row>
    <row r="947" spans="1:10" ht="14.25" customHeight="1" x14ac:dyDescent="0.3">
      <c r="A947" s="78"/>
      <c r="B947" s="34"/>
      <c r="C947" s="35"/>
      <c r="D947" s="35"/>
      <c r="E947" s="35"/>
      <c r="F947" s="83"/>
      <c r="G947" s="96">
        <f t="shared" si="46"/>
        <v>0</v>
      </c>
      <c r="H947" s="74" t="e">
        <f t="shared" si="48"/>
        <v>#DIV/0!</v>
      </c>
      <c r="I947" s="74" t="e">
        <f t="shared" si="47"/>
        <v>#DIV/0!</v>
      </c>
      <c r="J947" s="62"/>
    </row>
    <row r="948" spans="1:10" ht="14.25" customHeight="1" x14ac:dyDescent="0.3">
      <c r="A948" s="78"/>
      <c r="B948" s="34"/>
      <c r="C948" s="35"/>
      <c r="D948" s="35"/>
      <c r="E948" s="35"/>
      <c r="F948" s="83"/>
      <c r="G948" s="96">
        <f t="shared" si="46"/>
        <v>0</v>
      </c>
      <c r="H948" s="74" t="e">
        <f t="shared" si="48"/>
        <v>#DIV/0!</v>
      </c>
      <c r="I948" s="74" t="e">
        <f t="shared" si="47"/>
        <v>#DIV/0!</v>
      </c>
      <c r="J948" s="62"/>
    </row>
    <row r="949" spans="1:10" ht="14.25" customHeight="1" x14ac:dyDescent="0.3">
      <c r="A949" s="78"/>
      <c r="B949" s="34"/>
      <c r="C949" s="35"/>
      <c r="D949" s="35"/>
      <c r="E949" s="35"/>
      <c r="F949" s="83"/>
      <c r="G949" s="96">
        <f t="shared" si="46"/>
        <v>0</v>
      </c>
      <c r="H949" s="74" t="e">
        <f t="shared" si="48"/>
        <v>#DIV/0!</v>
      </c>
      <c r="I949" s="74" t="e">
        <f t="shared" si="47"/>
        <v>#DIV/0!</v>
      </c>
      <c r="J949" s="62"/>
    </row>
    <row r="950" spans="1:10" ht="14.25" customHeight="1" x14ac:dyDescent="0.3">
      <c r="A950" s="78"/>
      <c r="B950" s="34"/>
      <c r="C950" s="35"/>
      <c r="D950" s="35"/>
      <c r="E950" s="35"/>
      <c r="F950" s="83"/>
      <c r="G950" s="96">
        <f t="shared" si="46"/>
        <v>0</v>
      </c>
      <c r="H950" s="74" t="e">
        <f t="shared" si="48"/>
        <v>#DIV/0!</v>
      </c>
      <c r="I950" s="74" t="e">
        <f t="shared" si="47"/>
        <v>#DIV/0!</v>
      </c>
      <c r="J950" s="62"/>
    </row>
    <row r="951" spans="1:10" ht="14.25" customHeight="1" x14ac:dyDescent="0.3">
      <c r="A951" s="78"/>
      <c r="B951" s="34"/>
      <c r="C951" s="35"/>
      <c r="D951" s="35"/>
      <c r="E951" s="35"/>
      <c r="F951" s="83"/>
      <c r="G951" s="96">
        <f t="shared" si="46"/>
        <v>0</v>
      </c>
      <c r="H951" s="74" t="e">
        <f t="shared" si="48"/>
        <v>#DIV/0!</v>
      </c>
      <c r="I951" s="74" t="e">
        <f t="shared" si="47"/>
        <v>#DIV/0!</v>
      </c>
      <c r="J951" s="62"/>
    </row>
    <row r="952" spans="1:10" ht="14.25" customHeight="1" x14ac:dyDescent="0.3">
      <c r="A952" s="78"/>
      <c r="B952" s="34"/>
      <c r="C952" s="35"/>
      <c r="D952" s="35"/>
      <c r="E952" s="35"/>
      <c r="F952" s="83"/>
      <c r="G952" s="96">
        <f t="shared" si="46"/>
        <v>0</v>
      </c>
      <c r="H952" s="74" t="e">
        <f t="shared" si="48"/>
        <v>#DIV/0!</v>
      </c>
      <c r="I952" s="74" t="e">
        <f t="shared" si="47"/>
        <v>#DIV/0!</v>
      </c>
      <c r="J952" s="62"/>
    </row>
    <row r="953" spans="1:10" ht="14.25" customHeight="1" x14ac:dyDescent="0.3">
      <c r="A953" s="78"/>
      <c r="B953" s="34"/>
      <c r="C953" s="35"/>
      <c r="D953" s="35"/>
      <c r="E953" s="35"/>
      <c r="F953" s="83"/>
      <c r="G953" s="96">
        <f t="shared" si="46"/>
        <v>0</v>
      </c>
      <c r="H953" s="74" t="e">
        <f t="shared" si="48"/>
        <v>#DIV/0!</v>
      </c>
      <c r="I953" s="74" t="e">
        <f t="shared" si="47"/>
        <v>#DIV/0!</v>
      </c>
      <c r="J953" s="62"/>
    </row>
    <row r="954" spans="1:10" ht="14.25" customHeight="1" x14ac:dyDescent="0.3">
      <c r="A954" s="78"/>
      <c r="B954" s="34"/>
      <c r="C954" s="35"/>
      <c r="D954" s="35"/>
      <c r="E954" s="35"/>
      <c r="F954" s="83"/>
      <c r="G954" s="96">
        <f t="shared" si="46"/>
        <v>0</v>
      </c>
      <c r="H954" s="74" t="e">
        <f t="shared" si="48"/>
        <v>#DIV/0!</v>
      </c>
      <c r="I954" s="74" t="e">
        <f t="shared" si="47"/>
        <v>#DIV/0!</v>
      </c>
      <c r="J954" s="62"/>
    </row>
    <row r="955" spans="1:10" ht="14.25" customHeight="1" x14ac:dyDescent="0.3">
      <c r="A955" s="78"/>
      <c r="B955" s="34"/>
      <c r="C955" s="35"/>
      <c r="D955" s="35"/>
      <c r="E955" s="35"/>
      <c r="F955" s="83"/>
      <c r="G955" s="96">
        <f t="shared" si="46"/>
        <v>0</v>
      </c>
      <c r="H955" s="74" t="e">
        <f t="shared" si="48"/>
        <v>#DIV/0!</v>
      </c>
      <c r="I955" s="74" t="e">
        <f t="shared" si="47"/>
        <v>#DIV/0!</v>
      </c>
      <c r="J955" s="62"/>
    </row>
    <row r="956" spans="1:10" ht="14.25" customHeight="1" x14ac:dyDescent="0.3">
      <c r="A956" s="78"/>
      <c r="B956" s="34"/>
      <c r="C956" s="35"/>
      <c r="D956" s="35"/>
      <c r="E956" s="35"/>
      <c r="F956" s="83"/>
      <c r="G956" s="96">
        <f t="shared" si="46"/>
        <v>0</v>
      </c>
      <c r="H956" s="74" t="e">
        <f t="shared" si="48"/>
        <v>#DIV/0!</v>
      </c>
      <c r="I956" s="74" t="e">
        <f t="shared" si="47"/>
        <v>#DIV/0!</v>
      </c>
      <c r="J956" s="62"/>
    </row>
    <row r="957" spans="1:10" ht="14.25" customHeight="1" x14ac:dyDescent="0.3">
      <c r="A957" s="78"/>
      <c r="B957" s="34"/>
      <c r="C957" s="35"/>
      <c r="D957" s="35"/>
      <c r="E957" s="35"/>
      <c r="F957" s="83"/>
      <c r="G957" s="96">
        <f t="shared" si="46"/>
        <v>0</v>
      </c>
      <c r="H957" s="74" t="e">
        <f t="shared" si="48"/>
        <v>#DIV/0!</v>
      </c>
      <c r="I957" s="74" t="e">
        <f t="shared" si="47"/>
        <v>#DIV/0!</v>
      </c>
      <c r="J957" s="62"/>
    </row>
    <row r="958" spans="1:10" ht="14.25" customHeight="1" x14ac:dyDescent="0.3">
      <c r="A958" s="78"/>
      <c r="B958" s="34"/>
      <c r="C958" s="35"/>
      <c r="D958" s="35"/>
      <c r="E958" s="35"/>
      <c r="F958" s="83"/>
      <c r="G958" s="96">
        <f t="shared" si="46"/>
        <v>0</v>
      </c>
      <c r="H958" s="74" t="e">
        <f t="shared" si="48"/>
        <v>#DIV/0!</v>
      </c>
      <c r="I958" s="74" t="e">
        <f t="shared" si="47"/>
        <v>#DIV/0!</v>
      </c>
      <c r="J958" s="62"/>
    </row>
    <row r="959" spans="1:10" ht="14.25" customHeight="1" x14ac:dyDescent="0.3">
      <c r="A959" s="78"/>
      <c r="B959" s="34"/>
      <c r="C959" s="35"/>
      <c r="D959" s="35"/>
      <c r="E959" s="35"/>
      <c r="F959" s="83"/>
      <c r="G959" s="96">
        <f t="shared" si="46"/>
        <v>0</v>
      </c>
      <c r="H959" s="74" t="e">
        <f t="shared" si="48"/>
        <v>#DIV/0!</v>
      </c>
      <c r="I959" s="74" t="e">
        <f t="shared" si="47"/>
        <v>#DIV/0!</v>
      </c>
      <c r="J959" s="62"/>
    </row>
    <row r="960" spans="1:10" ht="14.25" customHeight="1" x14ac:dyDescent="0.3">
      <c r="A960" s="78"/>
      <c r="B960" s="34"/>
      <c r="C960" s="35"/>
      <c r="D960" s="35"/>
      <c r="E960" s="35"/>
      <c r="F960" s="83"/>
      <c r="G960" s="96">
        <f t="shared" si="46"/>
        <v>0</v>
      </c>
      <c r="H960" s="74" t="e">
        <f t="shared" si="48"/>
        <v>#DIV/0!</v>
      </c>
      <c r="I960" s="74" t="e">
        <f t="shared" si="47"/>
        <v>#DIV/0!</v>
      </c>
      <c r="J960" s="62"/>
    </row>
    <row r="961" spans="1:10" ht="14.25" customHeight="1" x14ac:dyDescent="0.3">
      <c r="A961" s="78"/>
      <c r="B961" s="34"/>
      <c r="C961" s="35"/>
      <c r="D961" s="35"/>
      <c r="E961" s="35"/>
      <c r="F961" s="83"/>
      <c r="G961" s="96">
        <f t="shared" si="46"/>
        <v>0</v>
      </c>
      <c r="H961" s="74" t="e">
        <f t="shared" si="48"/>
        <v>#DIV/0!</v>
      </c>
      <c r="I961" s="74" t="e">
        <f t="shared" si="47"/>
        <v>#DIV/0!</v>
      </c>
      <c r="J961" s="62"/>
    </row>
    <row r="962" spans="1:10" ht="14.25" customHeight="1" x14ac:dyDescent="0.3">
      <c r="A962" s="78"/>
      <c r="B962" s="34"/>
      <c r="C962" s="35"/>
      <c r="D962" s="35"/>
      <c r="E962" s="35"/>
      <c r="F962" s="83"/>
      <c r="G962" s="96">
        <f t="shared" ref="G962:G1000" si="49">C962-D962</f>
        <v>0</v>
      </c>
      <c r="H962" s="74" t="e">
        <f t="shared" si="48"/>
        <v>#DIV/0!</v>
      </c>
      <c r="I962" s="74" t="e">
        <f t="shared" ref="I962:I1000" si="50">(C962 - D962) / (E962 - C962)</f>
        <v>#DIV/0!</v>
      </c>
      <c r="J962" s="62"/>
    </row>
    <row r="963" spans="1:10" ht="14.25" customHeight="1" x14ac:dyDescent="0.3">
      <c r="A963" s="78"/>
      <c r="B963" s="34"/>
      <c r="C963" s="35"/>
      <c r="D963" s="35"/>
      <c r="E963" s="35"/>
      <c r="F963" s="83"/>
      <c r="G963" s="96">
        <f t="shared" si="49"/>
        <v>0</v>
      </c>
      <c r="H963" s="74" t="e">
        <f t="shared" si="48"/>
        <v>#DIV/0!</v>
      </c>
      <c r="I963" s="74" t="e">
        <f t="shared" si="50"/>
        <v>#DIV/0!</v>
      </c>
      <c r="J963" s="62"/>
    </row>
    <row r="964" spans="1:10" ht="14.25" customHeight="1" x14ac:dyDescent="0.3">
      <c r="A964" s="78"/>
      <c r="B964" s="34"/>
      <c r="C964" s="35"/>
      <c r="D964" s="35"/>
      <c r="E964" s="35"/>
      <c r="F964" s="83"/>
      <c r="G964" s="96">
        <f t="shared" si="49"/>
        <v>0</v>
      </c>
      <c r="H964" s="74" t="e">
        <f t="shared" si="48"/>
        <v>#DIV/0!</v>
      </c>
      <c r="I964" s="74" t="e">
        <f t="shared" si="50"/>
        <v>#DIV/0!</v>
      </c>
      <c r="J964" s="62"/>
    </row>
    <row r="965" spans="1:10" ht="14.25" customHeight="1" x14ac:dyDescent="0.3">
      <c r="A965" s="78"/>
      <c r="B965" s="34"/>
      <c r="C965" s="35"/>
      <c r="D965" s="35"/>
      <c r="E965" s="35"/>
      <c r="F965" s="83"/>
      <c r="G965" s="96">
        <f t="shared" si="49"/>
        <v>0</v>
      </c>
      <c r="H965" s="74" t="e">
        <f t="shared" si="48"/>
        <v>#DIV/0!</v>
      </c>
      <c r="I965" s="74" t="e">
        <f t="shared" si="50"/>
        <v>#DIV/0!</v>
      </c>
      <c r="J965" s="62"/>
    </row>
    <row r="966" spans="1:10" ht="14.25" customHeight="1" x14ac:dyDescent="0.3">
      <c r="A966" s="78"/>
      <c r="B966" s="34"/>
      <c r="C966" s="35"/>
      <c r="D966" s="35"/>
      <c r="E966" s="35"/>
      <c r="F966" s="83"/>
      <c r="G966" s="96">
        <f t="shared" si="49"/>
        <v>0</v>
      </c>
      <c r="H966" s="74" t="e">
        <f t="shared" si="48"/>
        <v>#DIV/0!</v>
      </c>
      <c r="I966" s="74" t="e">
        <f t="shared" si="50"/>
        <v>#DIV/0!</v>
      </c>
      <c r="J966" s="62"/>
    </row>
    <row r="967" spans="1:10" ht="14.25" customHeight="1" x14ac:dyDescent="0.3">
      <c r="A967" s="78"/>
      <c r="B967" s="34"/>
      <c r="C967" s="35"/>
      <c r="D967" s="35"/>
      <c r="E967" s="35"/>
      <c r="F967" s="83"/>
      <c r="G967" s="96">
        <f t="shared" si="49"/>
        <v>0</v>
      </c>
      <c r="H967" s="74" t="e">
        <f t="shared" si="48"/>
        <v>#DIV/0!</v>
      </c>
      <c r="I967" s="74" t="e">
        <f t="shared" si="50"/>
        <v>#DIV/0!</v>
      </c>
      <c r="J967" s="62"/>
    </row>
    <row r="968" spans="1:10" ht="14.25" customHeight="1" x14ac:dyDescent="0.3">
      <c r="A968" s="78"/>
      <c r="B968" s="34"/>
      <c r="C968" s="35"/>
      <c r="D968" s="35"/>
      <c r="E968" s="35"/>
      <c r="F968" s="83"/>
      <c r="G968" s="96">
        <f t="shared" si="49"/>
        <v>0</v>
      </c>
      <c r="H968" s="74" t="e">
        <f t="shared" si="48"/>
        <v>#DIV/0!</v>
      </c>
      <c r="I968" s="74" t="e">
        <f t="shared" si="50"/>
        <v>#DIV/0!</v>
      </c>
      <c r="J968" s="62"/>
    </row>
    <row r="969" spans="1:10" ht="14.25" customHeight="1" x14ac:dyDescent="0.3">
      <c r="A969" s="78"/>
      <c r="B969" s="34"/>
      <c r="C969" s="35"/>
      <c r="D969" s="35"/>
      <c r="E969" s="35"/>
      <c r="F969" s="83"/>
      <c r="G969" s="96">
        <f t="shared" si="49"/>
        <v>0</v>
      </c>
      <c r="H969" s="74" t="e">
        <f t="shared" si="48"/>
        <v>#DIV/0!</v>
      </c>
      <c r="I969" s="74" t="e">
        <f t="shared" si="50"/>
        <v>#DIV/0!</v>
      </c>
      <c r="J969" s="62"/>
    </row>
    <row r="970" spans="1:10" ht="14.25" customHeight="1" x14ac:dyDescent="0.3">
      <c r="A970" s="78"/>
      <c r="B970" s="34"/>
      <c r="C970" s="35"/>
      <c r="D970" s="35"/>
      <c r="E970" s="35"/>
      <c r="F970" s="83"/>
      <c r="G970" s="96">
        <f t="shared" si="49"/>
        <v>0</v>
      </c>
      <c r="H970" s="74" t="e">
        <f t="shared" ref="H970:H1000" si="51">(C970-D970)/E970</f>
        <v>#DIV/0!</v>
      </c>
      <c r="I970" s="74" t="e">
        <f t="shared" si="50"/>
        <v>#DIV/0!</v>
      </c>
      <c r="J970" s="62"/>
    </row>
    <row r="971" spans="1:10" ht="14.25" customHeight="1" x14ac:dyDescent="0.3">
      <c r="A971" s="78"/>
      <c r="B971" s="34"/>
      <c r="C971" s="35"/>
      <c r="D971" s="35"/>
      <c r="E971" s="35"/>
      <c r="F971" s="83"/>
      <c r="G971" s="96">
        <f t="shared" si="49"/>
        <v>0</v>
      </c>
      <c r="H971" s="74" t="e">
        <f t="shared" si="51"/>
        <v>#DIV/0!</v>
      </c>
      <c r="I971" s="74" t="e">
        <f t="shared" si="50"/>
        <v>#DIV/0!</v>
      </c>
      <c r="J971" s="62"/>
    </row>
    <row r="972" spans="1:10" ht="14.25" customHeight="1" x14ac:dyDescent="0.3">
      <c r="A972" s="78"/>
      <c r="B972" s="34"/>
      <c r="C972" s="35"/>
      <c r="D972" s="35"/>
      <c r="E972" s="35"/>
      <c r="F972" s="83"/>
      <c r="G972" s="96">
        <f t="shared" si="49"/>
        <v>0</v>
      </c>
      <c r="H972" s="74" t="e">
        <f t="shared" si="51"/>
        <v>#DIV/0!</v>
      </c>
      <c r="I972" s="74" t="e">
        <f t="shared" si="50"/>
        <v>#DIV/0!</v>
      </c>
      <c r="J972" s="62"/>
    </row>
    <row r="973" spans="1:10" ht="14.25" customHeight="1" x14ac:dyDescent="0.3">
      <c r="A973" s="78"/>
      <c r="B973" s="34"/>
      <c r="C973" s="35"/>
      <c r="D973" s="35"/>
      <c r="E973" s="35"/>
      <c r="F973" s="83"/>
      <c r="G973" s="96">
        <f t="shared" si="49"/>
        <v>0</v>
      </c>
      <c r="H973" s="74" t="e">
        <f t="shared" si="51"/>
        <v>#DIV/0!</v>
      </c>
      <c r="I973" s="74" t="e">
        <f t="shared" si="50"/>
        <v>#DIV/0!</v>
      </c>
      <c r="J973" s="62"/>
    </row>
    <row r="974" spans="1:10" ht="14.25" customHeight="1" x14ac:dyDescent="0.3">
      <c r="A974" s="78"/>
      <c r="B974" s="34"/>
      <c r="C974" s="35"/>
      <c r="D974" s="35"/>
      <c r="E974" s="35"/>
      <c r="F974" s="83"/>
      <c r="G974" s="96">
        <f t="shared" si="49"/>
        <v>0</v>
      </c>
      <c r="H974" s="74" t="e">
        <f t="shared" si="51"/>
        <v>#DIV/0!</v>
      </c>
      <c r="I974" s="74" t="e">
        <f t="shared" si="50"/>
        <v>#DIV/0!</v>
      </c>
      <c r="J974" s="62"/>
    </row>
    <row r="975" spans="1:10" ht="14.25" customHeight="1" x14ac:dyDescent="0.3">
      <c r="A975" s="78"/>
      <c r="B975" s="34"/>
      <c r="C975" s="35"/>
      <c r="D975" s="35"/>
      <c r="E975" s="35"/>
      <c r="F975" s="83"/>
      <c r="G975" s="96">
        <f t="shared" si="49"/>
        <v>0</v>
      </c>
      <c r="H975" s="74" t="e">
        <f t="shared" si="51"/>
        <v>#DIV/0!</v>
      </c>
      <c r="I975" s="74" t="e">
        <f t="shared" si="50"/>
        <v>#DIV/0!</v>
      </c>
      <c r="J975" s="62"/>
    </row>
    <row r="976" spans="1:10" ht="14.25" customHeight="1" x14ac:dyDescent="0.3">
      <c r="A976" s="78"/>
      <c r="B976" s="34"/>
      <c r="C976" s="35"/>
      <c r="D976" s="35"/>
      <c r="E976" s="35"/>
      <c r="F976" s="83"/>
      <c r="G976" s="96">
        <f t="shared" si="49"/>
        <v>0</v>
      </c>
      <c r="H976" s="74" t="e">
        <f t="shared" si="51"/>
        <v>#DIV/0!</v>
      </c>
      <c r="I976" s="74" t="e">
        <f t="shared" si="50"/>
        <v>#DIV/0!</v>
      </c>
      <c r="J976" s="62"/>
    </row>
    <row r="977" spans="1:10" ht="14.25" customHeight="1" x14ac:dyDescent="0.3">
      <c r="A977" s="78"/>
      <c r="B977" s="34"/>
      <c r="C977" s="35"/>
      <c r="D977" s="35"/>
      <c r="E977" s="35"/>
      <c r="F977" s="83"/>
      <c r="G977" s="96">
        <f t="shared" si="49"/>
        <v>0</v>
      </c>
      <c r="H977" s="74" t="e">
        <f t="shared" si="51"/>
        <v>#DIV/0!</v>
      </c>
      <c r="I977" s="74" t="e">
        <f t="shared" si="50"/>
        <v>#DIV/0!</v>
      </c>
      <c r="J977" s="62"/>
    </row>
    <row r="978" spans="1:10" ht="14.25" customHeight="1" x14ac:dyDescent="0.3">
      <c r="A978" s="78"/>
      <c r="B978" s="34"/>
      <c r="C978" s="35"/>
      <c r="D978" s="35"/>
      <c r="E978" s="35"/>
      <c r="F978" s="83"/>
      <c r="G978" s="96">
        <f t="shared" si="49"/>
        <v>0</v>
      </c>
      <c r="H978" s="74" t="e">
        <f t="shared" si="51"/>
        <v>#DIV/0!</v>
      </c>
      <c r="I978" s="74" t="e">
        <f t="shared" si="50"/>
        <v>#DIV/0!</v>
      </c>
      <c r="J978" s="62"/>
    </row>
    <row r="979" spans="1:10" ht="14.25" customHeight="1" x14ac:dyDescent="0.3">
      <c r="A979" s="78"/>
      <c r="B979" s="34"/>
      <c r="C979" s="35"/>
      <c r="D979" s="35"/>
      <c r="E979" s="35"/>
      <c r="F979" s="83"/>
      <c r="G979" s="96">
        <f t="shared" si="49"/>
        <v>0</v>
      </c>
      <c r="H979" s="74" t="e">
        <f t="shared" si="51"/>
        <v>#DIV/0!</v>
      </c>
      <c r="I979" s="74" t="e">
        <f t="shared" si="50"/>
        <v>#DIV/0!</v>
      </c>
      <c r="J979" s="62"/>
    </row>
    <row r="980" spans="1:10" ht="14.25" customHeight="1" x14ac:dyDescent="0.3">
      <c r="A980" s="78"/>
      <c r="B980" s="34"/>
      <c r="C980" s="35"/>
      <c r="D980" s="35"/>
      <c r="E980" s="35"/>
      <c r="F980" s="83"/>
      <c r="G980" s="96">
        <f t="shared" si="49"/>
        <v>0</v>
      </c>
      <c r="H980" s="74" t="e">
        <f t="shared" si="51"/>
        <v>#DIV/0!</v>
      </c>
      <c r="I980" s="74" t="e">
        <f t="shared" si="50"/>
        <v>#DIV/0!</v>
      </c>
      <c r="J980" s="62"/>
    </row>
    <row r="981" spans="1:10" ht="14.25" customHeight="1" x14ac:dyDescent="0.3">
      <c r="A981" s="78"/>
      <c r="B981" s="34"/>
      <c r="C981" s="35"/>
      <c r="D981" s="35"/>
      <c r="E981" s="35"/>
      <c r="F981" s="83"/>
      <c r="G981" s="96">
        <f t="shared" si="49"/>
        <v>0</v>
      </c>
      <c r="H981" s="74" t="e">
        <f t="shared" si="51"/>
        <v>#DIV/0!</v>
      </c>
      <c r="I981" s="74" t="e">
        <f t="shared" si="50"/>
        <v>#DIV/0!</v>
      </c>
      <c r="J981" s="62"/>
    </row>
    <row r="982" spans="1:10" ht="14.25" customHeight="1" x14ac:dyDescent="0.3">
      <c r="A982" s="78"/>
      <c r="B982" s="34"/>
      <c r="C982" s="35"/>
      <c r="D982" s="35"/>
      <c r="E982" s="35"/>
      <c r="F982" s="83"/>
      <c r="G982" s="96">
        <f t="shared" si="49"/>
        <v>0</v>
      </c>
      <c r="H982" s="74" t="e">
        <f t="shared" si="51"/>
        <v>#DIV/0!</v>
      </c>
      <c r="I982" s="74" t="e">
        <f t="shared" si="50"/>
        <v>#DIV/0!</v>
      </c>
      <c r="J982" s="62"/>
    </row>
    <row r="983" spans="1:10" ht="14.25" customHeight="1" x14ac:dyDescent="0.3">
      <c r="A983" s="78"/>
      <c r="B983" s="34"/>
      <c r="C983" s="35"/>
      <c r="D983" s="35"/>
      <c r="E983" s="35"/>
      <c r="F983" s="83"/>
      <c r="G983" s="96">
        <f t="shared" si="49"/>
        <v>0</v>
      </c>
      <c r="H983" s="74" t="e">
        <f t="shared" si="51"/>
        <v>#DIV/0!</v>
      </c>
      <c r="I983" s="74" t="e">
        <f t="shared" si="50"/>
        <v>#DIV/0!</v>
      </c>
      <c r="J983" s="62"/>
    </row>
    <row r="984" spans="1:10" ht="14.25" customHeight="1" x14ac:dyDescent="0.3">
      <c r="A984" s="78"/>
      <c r="B984" s="34"/>
      <c r="C984" s="35"/>
      <c r="D984" s="35"/>
      <c r="E984" s="35"/>
      <c r="F984" s="83"/>
      <c r="G984" s="96">
        <f t="shared" si="49"/>
        <v>0</v>
      </c>
      <c r="H984" s="74" t="e">
        <f t="shared" si="51"/>
        <v>#DIV/0!</v>
      </c>
      <c r="I984" s="74" t="e">
        <f t="shared" si="50"/>
        <v>#DIV/0!</v>
      </c>
      <c r="J984" s="62"/>
    </row>
    <row r="985" spans="1:10" ht="14.25" customHeight="1" x14ac:dyDescent="0.3">
      <c r="A985" s="78"/>
      <c r="B985" s="34"/>
      <c r="C985" s="35"/>
      <c r="D985" s="35"/>
      <c r="E985" s="35"/>
      <c r="F985" s="83"/>
      <c r="G985" s="96">
        <f t="shared" si="49"/>
        <v>0</v>
      </c>
      <c r="H985" s="74" t="e">
        <f t="shared" si="51"/>
        <v>#DIV/0!</v>
      </c>
      <c r="I985" s="74" t="e">
        <f t="shared" si="50"/>
        <v>#DIV/0!</v>
      </c>
      <c r="J985" s="62"/>
    </row>
    <row r="986" spans="1:10" ht="14.25" customHeight="1" x14ac:dyDescent="0.3">
      <c r="A986" s="78"/>
      <c r="B986" s="34"/>
      <c r="C986" s="35"/>
      <c r="D986" s="35"/>
      <c r="E986" s="35"/>
      <c r="F986" s="83"/>
      <c r="G986" s="96">
        <f t="shared" si="49"/>
        <v>0</v>
      </c>
      <c r="H986" s="74" t="e">
        <f t="shared" si="51"/>
        <v>#DIV/0!</v>
      </c>
      <c r="I986" s="74" t="e">
        <f t="shared" si="50"/>
        <v>#DIV/0!</v>
      </c>
      <c r="J986" s="62"/>
    </row>
    <row r="987" spans="1:10" ht="14.25" customHeight="1" x14ac:dyDescent="0.3">
      <c r="A987" s="78"/>
      <c r="B987" s="34"/>
      <c r="C987" s="35"/>
      <c r="D987" s="35"/>
      <c r="E987" s="35"/>
      <c r="F987" s="83"/>
      <c r="G987" s="96">
        <f t="shared" si="49"/>
        <v>0</v>
      </c>
      <c r="H987" s="74" t="e">
        <f t="shared" si="51"/>
        <v>#DIV/0!</v>
      </c>
      <c r="I987" s="74" t="e">
        <f t="shared" si="50"/>
        <v>#DIV/0!</v>
      </c>
      <c r="J987" s="62"/>
    </row>
    <row r="988" spans="1:10" ht="14.25" customHeight="1" x14ac:dyDescent="0.3">
      <c r="A988" s="78"/>
      <c r="B988" s="34"/>
      <c r="C988" s="35"/>
      <c r="D988" s="35"/>
      <c r="E988" s="35"/>
      <c r="F988" s="83"/>
      <c r="G988" s="96">
        <f t="shared" si="49"/>
        <v>0</v>
      </c>
      <c r="H988" s="74" t="e">
        <f t="shared" si="51"/>
        <v>#DIV/0!</v>
      </c>
      <c r="I988" s="74" t="e">
        <f t="shared" si="50"/>
        <v>#DIV/0!</v>
      </c>
      <c r="J988" s="62"/>
    </row>
    <row r="989" spans="1:10" ht="14.25" customHeight="1" x14ac:dyDescent="0.3">
      <c r="A989" s="78"/>
      <c r="B989" s="34"/>
      <c r="C989" s="35"/>
      <c r="D989" s="35"/>
      <c r="E989" s="35"/>
      <c r="F989" s="83"/>
      <c r="G989" s="96">
        <f t="shared" si="49"/>
        <v>0</v>
      </c>
      <c r="H989" s="74" t="e">
        <f t="shared" si="51"/>
        <v>#DIV/0!</v>
      </c>
      <c r="I989" s="74" t="e">
        <f t="shared" si="50"/>
        <v>#DIV/0!</v>
      </c>
      <c r="J989" s="62"/>
    </row>
    <row r="990" spans="1:10" ht="14.25" customHeight="1" x14ac:dyDescent="0.3">
      <c r="A990" s="78"/>
      <c r="B990" s="34"/>
      <c r="C990" s="35"/>
      <c r="D990" s="35"/>
      <c r="E990" s="35"/>
      <c r="F990" s="83"/>
      <c r="G990" s="96">
        <f t="shared" si="49"/>
        <v>0</v>
      </c>
      <c r="H990" s="74" t="e">
        <f t="shared" si="51"/>
        <v>#DIV/0!</v>
      </c>
      <c r="I990" s="74" t="e">
        <f t="shared" si="50"/>
        <v>#DIV/0!</v>
      </c>
      <c r="J990" s="62"/>
    </row>
    <row r="991" spans="1:10" ht="14.25" customHeight="1" x14ac:dyDescent="0.3">
      <c r="A991" s="78"/>
      <c r="B991" s="34"/>
      <c r="C991" s="35"/>
      <c r="D991" s="35"/>
      <c r="E991" s="35"/>
      <c r="F991" s="83"/>
      <c r="G991" s="96">
        <f t="shared" si="49"/>
        <v>0</v>
      </c>
      <c r="H991" s="74" t="e">
        <f t="shared" si="51"/>
        <v>#DIV/0!</v>
      </c>
      <c r="I991" s="74" t="e">
        <f t="shared" si="50"/>
        <v>#DIV/0!</v>
      </c>
      <c r="J991" s="62"/>
    </row>
    <row r="992" spans="1:10" ht="14.25" customHeight="1" x14ac:dyDescent="0.3">
      <c r="A992" s="78"/>
      <c r="B992" s="34"/>
      <c r="C992" s="35"/>
      <c r="D992" s="35"/>
      <c r="E992" s="35"/>
      <c r="F992" s="83"/>
      <c r="G992" s="96">
        <f t="shared" si="49"/>
        <v>0</v>
      </c>
      <c r="H992" s="74" t="e">
        <f t="shared" si="51"/>
        <v>#DIV/0!</v>
      </c>
      <c r="I992" s="74" t="e">
        <f t="shared" si="50"/>
        <v>#DIV/0!</v>
      </c>
      <c r="J992" s="62"/>
    </row>
    <row r="993" spans="1:10" ht="14.25" customHeight="1" x14ac:dyDescent="0.3">
      <c r="A993" s="78"/>
      <c r="B993" s="34"/>
      <c r="C993" s="35"/>
      <c r="D993" s="35"/>
      <c r="E993" s="35"/>
      <c r="F993" s="83"/>
      <c r="G993" s="96">
        <f t="shared" si="49"/>
        <v>0</v>
      </c>
      <c r="H993" s="74" t="e">
        <f t="shared" si="51"/>
        <v>#DIV/0!</v>
      </c>
      <c r="I993" s="74" t="e">
        <f t="shared" si="50"/>
        <v>#DIV/0!</v>
      </c>
      <c r="J993" s="62"/>
    </row>
    <row r="994" spans="1:10" ht="14.25" customHeight="1" x14ac:dyDescent="0.3">
      <c r="A994" s="78"/>
      <c r="B994" s="34"/>
      <c r="C994" s="35"/>
      <c r="D994" s="35"/>
      <c r="E994" s="35"/>
      <c r="F994" s="83"/>
      <c r="G994" s="96">
        <f t="shared" si="49"/>
        <v>0</v>
      </c>
      <c r="H994" s="74" t="e">
        <f t="shared" si="51"/>
        <v>#DIV/0!</v>
      </c>
      <c r="I994" s="74" t="e">
        <f t="shared" si="50"/>
        <v>#DIV/0!</v>
      </c>
      <c r="J994" s="62"/>
    </row>
    <row r="995" spans="1:10" ht="14.25" customHeight="1" x14ac:dyDescent="0.3">
      <c r="A995" s="78"/>
      <c r="B995" s="34"/>
      <c r="C995" s="35"/>
      <c r="D995" s="35"/>
      <c r="E995" s="35"/>
      <c r="F995" s="83"/>
      <c r="G995" s="96">
        <f t="shared" si="49"/>
        <v>0</v>
      </c>
      <c r="H995" s="74" t="e">
        <f t="shared" si="51"/>
        <v>#DIV/0!</v>
      </c>
      <c r="I995" s="74" t="e">
        <f t="shared" si="50"/>
        <v>#DIV/0!</v>
      </c>
      <c r="J995" s="62"/>
    </row>
    <row r="996" spans="1:10" ht="14.25" customHeight="1" x14ac:dyDescent="0.3">
      <c r="A996" s="78"/>
      <c r="B996" s="34"/>
      <c r="C996" s="35"/>
      <c r="D996" s="35"/>
      <c r="E996" s="35"/>
      <c r="F996" s="83"/>
      <c r="G996" s="96">
        <f t="shared" si="49"/>
        <v>0</v>
      </c>
      <c r="H996" s="74" t="e">
        <f t="shared" si="51"/>
        <v>#DIV/0!</v>
      </c>
      <c r="I996" s="74" t="e">
        <f t="shared" si="50"/>
        <v>#DIV/0!</v>
      </c>
      <c r="J996" s="62"/>
    </row>
    <row r="997" spans="1:10" ht="14.25" customHeight="1" x14ac:dyDescent="0.3">
      <c r="A997" s="78"/>
      <c r="B997" s="34"/>
      <c r="C997" s="35"/>
      <c r="D997" s="35"/>
      <c r="E997" s="35"/>
      <c r="F997" s="83"/>
      <c r="G997" s="96">
        <f t="shared" si="49"/>
        <v>0</v>
      </c>
      <c r="H997" s="74" t="e">
        <f t="shared" si="51"/>
        <v>#DIV/0!</v>
      </c>
      <c r="I997" s="74" t="e">
        <f t="shared" si="50"/>
        <v>#DIV/0!</v>
      </c>
      <c r="J997" s="62"/>
    </row>
    <row r="998" spans="1:10" ht="14.25" customHeight="1" x14ac:dyDescent="0.3">
      <c r="A998" s="78"/>
      <c r="B998" s="34"/>
      <c r="C998" s="35"/>
      <c r="D998" s="35"/>
      <c r="E998" s="35"/>
      <c r="F998" s="83"/>
      <c r="G998" s="96">
        <f t="shared" si="49"/>
        <v>0</v>
      </c>
      <c r="H998" s="74" t="e">
        <f t="shared" si="51"/>
        <v>#DIV/0!</v>
      </c>
      <c r="I998" s="74" t="e">
        <f t="shared" si="50"/>
        <v>#DIV/0!</v>
      </c>
      <c r="J998" s="62"/>
    </row>
    <row r="999" spans="1:10" ht="14.25" customHeight="1" x14ac:dyDescent="0.3">
      <c r="A999" s="78"/>
      <c r="B999" s="34"/>
      <c r="C999" s="35"/>
      <c r="D999" s="35"/>
      <c r="E999" s="35"/>
      <c r="F999" s="83"/>
      <c r="G999" s="96">
        <f t="shared" si="49"/>
        <v>0</v>
      </c>
      <c r="H999" s="74" t="e">
        <f t="shared" si="51"/>
        <v>#DIV/0!</v>
      </c>
      <c r="I999" s="74" t="e">
        <f t="shared" si="50"/>
        <v>#DIV/0!</v>
      </c>
      <c r="J999" s="62"/>
    </row>
    <row r="1000" spans="1:10" ht="14.25" customHeight="1" x14ac:dyDescent="0.3">
      <c r="A1000" s="78"/>
      <c r="B1000" s="34"/>
      <c r="C1000" s="35"/>
      <c r="D1000" s="35"/>
      <c r="E1000" s="35"/>
      <c r="F1000" s="83"/>
      <c r="G1000" s="96">
        <f t="shared" si="49"/>
        <v>0</v>
      </c>
      <c r="H1000" s="74" t="e">
        <f t="shared" si="51"/>
        <v>#DIV/0!</v>
      </c>
      <c r="I1000" s="74" t="e">
        <f t="shared" si="50"/>
        <v>#DIV/0!</v>
      </c>
      <c r="J1000" s="62"/>
    </row>
  </sheetData>
  <pageMargins left="0.75" right="0.75" top="1" bottom="1" header="0" footer="0"/>
  <pageSetup orientation="landscape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B303-B2AD-42AD-BBDD-B7C6E0C62EE2}">
  <dimension ref="A1:G6"/>
  <sheetViews>
    <sheetView tabSelected="1" workbookViewId="0">
      <selection activeCell="C2" sqref="C2:C6"/>
    </sheetView>
  </sheetViews>
  <sheetFormatPr defaultRowHeight="14.4" x14ac:dyDescent="0.3"/>
  <cols>
    <col min="1" max="1" width="26" bestFit="1" customWidth="1"/>
    <col min="2" max="3" width="16.77734375" bestFit="1" customWidth="1"/>
    <col min="4" max="4" width="23.6640625" bestFit="1" customWidth="1"/>
    <col min="5" max="5" width="11.88671875" bestFit="1" customWidth="1"/>
    <col min="6" max="6" width="13.21875" bestFit="1" customWidth="1"/>
    <col min="7" max="7" width="19.6640625" bestFit="1" customWidth="1"/>
  </cols>
  <sheetData>
    <row r="1" spans="1:7" x14ac:dyDescent="0.3">
      <c r="A1" s="102" t="s">
        <v>333</v>
      </c>
      <c r="B1" s="103" t="s">
        <v>334</v>
      </c>
      <c r="C1" s="103" t="s">
        <v>335</v>
      </c>
      <c r="D1" s="103" t="s">
        <v>336</v>
      </c>
      <c r="E1" s="159" t="s">
        <v>332</v>
      </c>
      <c r="F1" s="159" t="s">
        <v>10</v>
      </c>
      <c r="G1" s="169" t="s">
        <v>337</v>
      </c>
    </row>
    <row r="2" spans="1:7" x14ac:dyDescent="0.3">
      <c r="A2" s="112" t="s">
        <v>25</v>
      </c>
      <c r="B2" s="184">
        <v>45458</v>
      </c>
      <c r="C2" s="184">
        <v>45488</v>
      </c>
      <c r="D2" s="106" t="s">
        <v>338</v>
      </c>
      <c r="E2" s="160">
        <v>85000</v>
      </c>
      <c r="F2" s="160">
        <v>950000</v>
      </c>
      <c r="G2" s="170">
        <v>0.45</v>
      </c>
    </row>
    <row r="3" spans="1:7" x14ac:dyDescent="0.3">
      <c r="A3" s="114" t="s">
        <v>38</v>
      </c>
      <c r="B3" s="185">
        <v>45566</v>
      </c>
      <c r="C3" s="185">
        <v>45596</v>
      </c>
      <c r="D3" s="109" t="s">
        <v>339</v>
      </c>
      <c r="E3" s="161">
        <v>60000</v>
      </c>
      <c r="F3" s="161">
        <v>780000</v>
      </c>
      <c r="G3" s="171">
        <v>0.38</v>
      </c>
    </row>
    <row r="4" spans="1:7" x14ac:dyDescent="0.3">
      <c r="A4" s="112" t="s">
        <v>15</v>
      </c>
      <c r="B4" s="184">
        <v>45651</v>
      </c>
      <c r="C4" s="184">
        <v>45667</v>
      </c>
      <c r="D4" s="106" t="s">
        <v>340</v>
      </c>
      <c r="E4" s="160">
        <v>55000</v>
      </c>
      <c r="F4" s="160">
        <v>700000</v>
      </c>
      <c r="G4" s="170">
        <v>0.41</v>
      </c>
    </row>
    <row r="5" spans="1:7" x14ac:dyDescent="0.3">
      <c r="A5" s="114" t="s">
        <v>22</v>
      </c>
      <c r="B5" s="185">
        <v>45717</v>
      </c>
      <c r="C5" s="185">
        <v>45747</v>
      </c>
      <c r="D5" s="109" t="s">
        <v>341</v>
      </c>
      <c r="E5" s="161">
        <v>40000</v>
      </c>
      <c r="F5" s="161">
        <v>550000</v>
      </c>
      <c r="G5" s="171">
        <v>0.32</v>
      </c>
    </row>
    <row r="6" spans="1:7" x14ac:dyDescent="0.3">
      <c r="A6" s="116" t="s">
        <v>18</v>
      </c>
      <c r="B6" s="186">
        <v>45901</v>
      </c>
      <c r="C6" s="186">
        <v>45930</v>
      </c>
      <c r="D6" s="99" t="s">
        <v>342</v>
      </c>
      <c r="E6" s="168">
        <v>75000</v>
      </c>
      <c r="F6" s="168">
        <v>880000</v>
      </c>
      <c r="G6" s="172">
        <v>0.47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6" sqref="A1:G6"/>
    </sheetView>
  </sheetViews>
  <sheetFormatPr defaultColWidth="14.44140625" defaultRowHeight="15" customHeight="1" x14ac:dyDescent="0.3"/>
  <cols>
    <col min="1" max="2" width="28" customWidth="1"/>
    <col min="3" max="3" width="28" style="73" customWidth="1"/>
    <col min="4" max="4" width="26.5546875" customWidth="1"/>
    <col min="5" max="5" width="12.44140625" customWidth="1"/>
    <col min="6" max="6" width="13.77734375" customWidth="1"/>
    <col min="7" max="7" width="21.88671875" bestFit="1" customWidth="1"/>
    <col min="8" max="28" width="8.6640625" customWidth="1"/>
  </cols>
  <sheetData>
    <row r="1" spans="1:7" ht="14.25" customHeight="1" x14ac:dyDescent="0.3">
      <c r="A1" s="2" t="s">
        <v>333</v>
      </c>
      <c r="B1" s="88" t="s">
        <v>334</v>
      </c>
      <c r="C1" s="91" t="s">
        <v>335</v>
      </c>
      <c r="D1" s="3" t="s">
        <v>336</v>
      </c>
      <c r="E1" s="19" t="s">
        <v>332</v>
      </c>
      <c r="F1" s="19" t="s">
        <v>10</v>
      </c>
      <c r="G1" s="5" t="s">
        <v>337</v>
      </c>
    </row>
    <row r="2" spans="1:7" ht="14.25" customHeight="1" x14ac:dyDescent="0.3">
      <c r="A2" s="6" t="s">
        <v>25</v>
      </c>
      <c r="B2" s="89">
        <v>45458</v>
      </c>
      <c r="C2" s="89">
        <v>45488</v>
      </c>
      <c r="D2" s="7" t="s">
        <v>338</v>
      </c>
      <c r="E2" s="20">
        <v>85000</v>
      </c>
      <c r="F2" s="20">
        <v>950000</v>
      </c>
      <c r="G2" s="9">
        <v>0.45</v>
      </c>
    </row>
    <row r="3" spans="1:7" ht="14.25" customHeight="1" x14ac:dyDescent="0.3">
      <c r="A3" s="6" t="s">
        <v>38</v>
      </c>
      <c r="B3" s="89">
        <v>45566</v>
      </c>
      <c r="C3" s="89">
        <v>45596</v>
      </c>
      <c r="D3" s="7" t="s">
        <v>339</v>
      </c>
      <c r="E3" s="20">
        <v>60000</v>
      </c>
      <c r="F3" s="20">
        <v>780000</v>
      </c>
      <c r="G3" s="9">
        <v>0.38</v>
      </c>
    </row>
    <row r="4" spans="1:7" ht="14.25" customHeight="1" x14ac:dyDescent="0.3">
      <c r="A4" s="6" t="s">
        <v>15</v>
      </c>
      <c r="B4" s="89">
        <v>45651</v>
      </c>
      <c r="C4" s="89">
        <v>45667</v>
      </c>
      <c r="D4" s="7" t="s">
        <v>340</v>
      </c>
      <c r="E4" s="20">
        <v>55000</v>
      </c>
      <c r="F4" s="20">
        <v>700000</v>
      </c>
      <c r="G4" s="9">
        <v>0.41</v>
      </c>
    </row>
    <row r="5" spans="1:7" ht="14.25" customHeight="1" x14ac:dyDescent="0.3">
      <c r="A5" s="6" t="s">
        <v>22</v>
      </c>
      <c r="B5" s="89">
        <v>45717</v>
      </c>
      <c r="C5" s="89">
        <v>45747</v>
      </c>
      <c r="D5" s="7" t="s">
        <v>341</v>
      </c>
      <c r="E5" s="20">
        <v>40000</v>
      </c>
      <c r="F5" s="20">
        <v>550000</v>
      </c>
      <c r="G5" s="9">
        <v>0.32</v>
      </c>
    </row>
    <row r="6" spans="1:7" ht="14.25" customHeight="1" x14ac:dyDescent="0.3">
      <c r="A6" s="10" t="s">
        <v>18</v>
      </c>
      <c r="B6" s="90">
        <v>45901</v>
      </c>
      <c r="C6" s="90">
        <v>45930</v>
      </c>
      <c r="D6" s="11" t="s">
        <v>342</v>
      </c>
      <c r="E6" s="21">
        <v>75000</v>
      </c>
      <c r="F6" s="21">
        <v>880000</v>
      </c>
      <c r="G6" s="13">
        <v>0.47</v>
      </c>
    </row>
    <row r="7" spans="1:7" ht="14.25" customHeight="1" x14ac:dyDescent="0.3">
      <c r="A7" s="85"/>
      <c r="B7" s="86"/>
      <c r="C7" s="92"/>
      <c r="D7" s="34"/>
      <c r="E7" s="36"/>
      <c r="F7" s="36"/>
      <c r="G7" s="87"/>
    </row>
    <row r="8" spans="1:7" ht="14.25" customHeight="1" x14ac:dyDescent="0.3">
      <c r="A8" s="85"/>
      <c r="B8" s="86"/>
      <c r="C8" s="92"/>
      <c r="D8" s="34"/>
      <c r="E8" s="36"/>
      <c r="F8" s="36"/>
      <c r="G8" s="87"/>
    </row>
    <row r="9" spans="1:7" ht="14.25" customHeight="1" x14ac:dyDescent="0.3">
      <c r="A9" s="85"/>
      <c r="B9" s="86"/>
      <c r="C9" s="92"/>
      <c r="D9" s="34"/>
      <c r="E9" s="36"/>
      <c r="F9" s="36"/>
      <c r="G9" s="87"/>
    </row>
    <row r="10" spans="1:7" ht="14.25" customHeight="1" x14ac:dyDescent="0.3">
      <c r="A10" s="85"/>
      <c r="B10" s="86"/>
      <c r="C10" s="92"/>
      <c r="D10" s="34"/>
      <c r="E10" s="36"/>
      <c r="F10" s="36"/>
      <c r="G10" s="87"/>
    </row>
    <row r="11" spans="1:7" ht="14.25" customHeight="1" x14ac:dyDescent="0.3">
      <c r="A11" s="85"/>
      <c r="B11" s="86"/>
      <c r="C11" s="92"/>
      <c r="D11" s="34"/>
      <c r="E11" s="36"/>
      <c r="F11" s="36"/>
      <c r="G11" s="87"/>
    </row>
    <row r="12" spans="1:7" ht="14.25" customHeight="1" x14ac:dyDescent="0.3">
      <c r="A12" s="85"/>
      <c r="B12" s="86"/>
      <c r="C12" s="92"/>
      <c r="D12" s="34"/>
      <c r="E12" s="36"/>
      <c r="F12" s="36"/>
      <c r="G12" s="87"/>
    </row>
    <row r="13" spans="1:7" ht="14.25" customHeight="1" x14ac:dyDescent="0.3">
      <c r="A13" s="85"/>
      <c r="B13" s="86"/>
      <c r="C13" s="92"/>
      <c r="D13" s="34"/>
      <c r="E13" s="36"/>
      <c r="F13" s="36"/>
      <c r="G13" s="87"/>
    </row>
    <row r="14" spans="1:7" ht="14.25" customHeight="1" x14ac:dyDescent="0.3">
      <c r="A14" s="85"/>
      <c r="B14" s="86"/>
      <c r="C14" s="92"/>
      <c r="D14" s="34"/>
      <c r="E14" s="36"/>
      <c r="F14" s="36"/>
      <c r="G14" s="87"/>
    </row>
    <row r="15" spans="1:7" ht="14.25" customHeight="1" x14ac:dyDescent="0.3">
      <c r="A15" s="85"/>
      <c r="B15" s="86"/>
      <c r="C15" s="92"/>
      <c r="D15" s="34"/>
      <c r="E15" s="36"/>
      <c r="F15" s="36"/>
      <c r="G15" s="87"/>
    </row>
    <row r="16" spans="1:7" ht="14.25" customHeight="1" x14ac:dyDescent="0.3">
      <c r="A16" s="85"/>
      <c r="B16" s="86"/>
      <c r="C16" s="92"/>
      <c r="D16" s="34"/>
      <c r="E16" s="36"/>
      <c r="F16" s="36"/>
      <c r="G16" s="87"/>
    </row>
    <row r="17" spans="1:7" ht="14.25" customHeight="1" x14ac:dyDescent="0.3">
      <c r="A17" s="85"/>
      <c r="B17" s="86"/>
      <c r="C17" s="92"/>
      <c r="D17" s="34"/>
      <c r="E17" s="36"/>
      <c r="F17" s="36"/>
      <c r="G17" s="87"/>
    </row>
    <row r="18" spans="1:7" ht="14.25" customHeight="1" x14ac:dyDescent="0.3">
      <c r="A18" s="85"/>
      <c r="B18" s="86"/>
      <c r="C18" s="92"/>
      <c r="D18" s="34"/>
      <c r="E18" s="36"/>
      <c r="F18" s="36"/>
      <c r="G18" s="87"/>
    </row>
    <row r="19" spans="1:7" ht="14.25" customHeight="1" x14ac:dyDescent="0.3">
      <c r="A19" s="85"/>
      <c r="B19" s="86"/>
      <c r="C19" s="92"/>
      <c r="D19" s="34"/>
      <c r="E19" s="36"/>
      <c r="F19" s="36"/>
      <c r="G19" s="87"/>
    </row>
    <row r="20" spans="1:7" ht="14.25" customHeight="1" x14ac:dyDescent="0.3">
      <c r="A20" s="85"/>
      <c r="B20" s="86"/>
      <c r="C20" s="92"/>
      <c r="D20" s="34"/>
      <c r="E20" s="36"/>
      <c r="F20" s="36"/>
      <c r="G20" s="87"/>
    </row>
    <row r="21" spans="1:7" ht="14.25" customHeight="1" x14ac:dyDescent="0.3">
      <c r="A21" s="85"/>
      <c r="B21" s="86"/>
      <c r="C21" s="92"/>
      <c r="D21" s="34"/>
      <c r="E21" s="36"/>
      <c r="F21" s="36"/>
      <c r="G21" s="87"/>
    </row>
    <row r="22" spans="1:7" ht="14.25" customHeight="1" x14ac:dyDescent="0.3">
      <c r="A22" s="85"/>
      <c r="B22" s="86"/>
      <c r="C22" s="92"/>
      <c r="D22" s="34"/>
      <c r="E22" s="36"/>
      <c r="F22" s="36"/>
      <c r="G22" s="87"/>
    </row>
    <row r="23" spans="1:7" ht="14.25" customHeight="1" x14ac:dyDescent="0.3">
      <c r="A23" s="85"/>
      <c r="B23" s="86"/>
      <c r="C23" s="92"/>
      <c r="D23" s="34"/>
      <c r="E23" s="36"/>
      <c r="F23" s="36"/>
      <c r="G23" s="87"/>
    </row>
    <row r="24" spans="1:7" ht="14.25" customHeight="1" x14ac:dyDescent="0.3">
      <c r="A24" s="85"/>
      <c r="B24" s="86"/>
      <c r="C24" s="92"/>
      <c r="D24" s="34"/>
      <c r="E24" s="36"/>
      <c r="F24" s="36"/>
      <c r="G24" s="87"/>
    </row>
    <row r="25" spans="1:7" ht="14.25" customHeight="1" x14ac:dyDescent="0.3">
      <c r="A25" s="85"/>
      <c r="B25" s="86"/>
      <c r="C25" s="92"/>
      <c r="D25" s="34"/>
      <c r="E25" s="36"/>
      <c r="F25" s="36"/>
      <c r="G25" s="87"/>
    </row>
    <row r="26" spans="1:7" ht="14.25" customHeight="1" x14ac:dyDescent="0.3">
      <c r="A26" s="85"/>
      <c r="B26" s="86"/>
      <c r="C26" s="92"/>
      <c r="D26" s="34"/>
      <c r="E26" s="36"/>
      <c r="F26" s="36"/>
      <c r="G26" s="87"/>
    </row>
    <row r="27" spans="1:7" ht="14.25" customHeight="1" x14ac:dyDescent="0.3">
      <c r="A27" s="85"/>
      <c r="B27" s="86"/>
      <c r="C27" s="92"/>
      <c r="D27" s="34"/>
      <c r="E27" s="36"/>
      <c r="F27" s="36"/>
      <c r="G27" s="87"/>
    </row>
    <row r="28" spans="1:7" ht="14.25" customHeight="1" x14ac:dyDescent="0.3">
      <c r="A28" s="85"/>
      <c r="B28" s="86"/>
      <c r="C28" s="92"/>
      <c r="D28" s="34"/>
      <c r="E28" s="36"/>
      <c r="F28" s="36"/>
      <c r="G28" s="87"/>
    </row>
    <row r="29" spans="1:7" ht="14.25" customHeight="1" x14ac:dyDescent="0.3">
      <c r="A29" s="85"/>
      <c r="B29" s="86"/>
      <c r="C29" s="92"/>
      <c r="D29" s="34"/>
      <c r="E29" s="36"/>
      <c r="F29" s="36"/>
      <c r="G29" s="87"/>
    </row>
    <row r="30" spans="1:7" ht="14.25" customHeight="1" x14ac:dyDescent="0.3">
      <c r="A30" s="85"/>
      <c r="B30" s="86"/>
      <c r="C30" s="92"/>
      <c r="D30" s="34"/>
      <c r="E30" s="36"/>
      <c r="F30" s="36"/>
      <c r="G30" s="87"/>
    </row>
    <row r="31" spans="1:7" ht="14.25" customHeight="1" x14ac:dyDescent="0.3">
      <c r="A31" s="85"/>
      <c r="B31" s="86"/>
      <c r="C31" s="92"/>
      <c r="D31" s="34"/>
      <c r="E31" s="36"/>
      <c r="F31" s="36"/>
      <c r="G31" s="87"/>
    </row>
    <row r="32" spans="1:7" ht="14.25" customHeight="1" x14ac:dyDescent="0.3">
      <c r="A32" s="85"/>
      <c r="B32" s="86"/>
      <c r="C32" s="92"/>
      <c r="D32" s="34"/>
      <c r="E32" s="36"/>
      <c r="F32" s="36"/>
      <c r="G32" s="87"/>
    </row>
    <row r="33" spans="1:7" ht="14.25" customHeight="1" x14ac:dyDescent="0.3">
      <c r="A33" s="85"/>
      <c r="B33" s="86"/>
      <c r="C33" s="92"/>
      <c r="D33" s="34"/>
      <c r="E33" s="36"/>
      <c r="F33" s="36"/>
      <c r="G33" s="87"/>
    </row>
    <row r="34" spans="1:7" ht="14.25" customHeight="1" x14ac:dyDescent="0.3">
      <c r="A34" s="85"/>
      <c r="B34" s="86"/>
      <c r="C34" s="92"/>
      <c r="D34" s="34"/>
      <c r="E34" s="36"/>
      <c r="F34" s="36"/>
      <c r="G34" s="87"/>
    </row>
    <row r="35" spans="1:7" ht="14.25" customHeight="1" x14ac:dyDescent="0.3">
      <c r="A35" s="85"/>
      <c r="B35" s="86"/>
      <c r="C35" s="92"/>
      <c r="D35" s="34"/>
      <c r="E35" s="36"/>
      <c r="F35" s="36"/>
      <c r="G35" s="87"/>
    </row>
    <row r="36" spans="1:7" ht="14.25" customHeight="1" x14ac:dyDescent="0.3">
      <c r="A36" s="85"/>
      <c r="B36" s="86"/>
      <c r="C36" s="92"/>
      <c r="D36" s="34"/>
      <c r="E36" s="36"/>
      <c r="F36" s="36"/>
      <c r="G36" s="87"/>
    </row>
    <row r="37" spans="1:7" ht="14.25" customHeight="1" x14ac:dyDescent="0.3">
      <c r="A37" s="85"/>
      <c r="B37" s="86"/>
      <c r="C37" s="92"/>
      <c r="D37" s="34"/>
      <c r="E37" s="36"/>
      <c r="F37" s="36"/>
      <c r="G37" s="87"/>
    </row>
    <row r="38" spans="1:7" ht="14.25" customHeight="1" x14ac:dyDescent="0.3">
      <c r="A38" s="85"/>
      <c r="B38" s="86"/>
      <c r="C38" s="92"/>
      <c r="D38" s="34"/>
      <c r="E38" s="36"/>
      <c r="F38" s="36"/>
      <c r="G38" s="87"/>
    </row>
    <row r="39" spans="1:7" ht="14.25" customHeight="1" x14ac:dyDescent="0.3">
      <c r="A39" s="85"/>
      <c r="B39" s="86"/>
      <c r="C39" s="92"/>
      <c r="D39" s="34"/>
      <c r="E39" s="36"/>
      <c r="F39" s="36"/>
      <c r="G39" s="87"/>
    </row>
    <row r="40" spans="1:7" ht="14.25" customHeight="1" x14ac:dyDescent="0.3">
      <c r="A40" s="85"/>
      <c r="B40" s="86"/>
      <c r="C40" s="92"/>
      <c r="D40" s="34"/>
      <c r="E40" s="36"/>
      <c r="F40" s="36"/>
      <c r="G40" s="87"/>
    </row>
    <row r="41" spans="1:7" ht="14.25" customHeight="1" x14ac:dyDescent="0.3">
      <c r="A41" s="85"/>
      <c r="B41" s="86"/>
      <c r="C41" s="92"/>
      <c r="D41" s="34"/>
      <c r="E41" s="36"/>
      <c r="F41" s="36"/>
      <c r="G41" s="87"/>
    </row>
    <row r="42" spans="1:7" ht="14.25" customHeight="1" x14ac:dyDescent="0.3">
      <c r="A42" s="85"/>
      <c r="B42" s="86"/>
      <c r="C42" s="92"/>
      <c r="D42" s="34"/>
      <c r="E42" s="36"/>
      <c r="F42" s="36"/>
      <c r="G42" s="87"/>
    </row>
    <row r="43" spans="1:7" ht="14.25" customHeight="1" x14ac:dyDescent="0.3">
      <c r="A43" s="85"/>
      <c r="B43" s="86"/>
      <c r="C43" s="92"/>
      <c r="D43" s="34"/>
      <c r="E43" s="36"/>
      <c r="F43" s="36"/>
      <c r="G43" s="87"/>
    </row>
    <row r="44" spans="1:7" ht="14.25" customHeight="1" x14ac:dyDescent="0.3">
      <c r="A44" s="85"/>
      <c r="B44" s="86"/>
      <c r="C44" s="92"/>
      <c r="D44" s="34"/>
      <c r="E44" s="36"/>
      <c r="F44" s="36"/>
      <c r="G44" s="87"/>
    </row>
    <row r="45" spans="1:7" ht="14.25" customHeight="1" x14ac:dyDescent="0.3">
      <c r="A45" s="85"/>
      <c r="B45" s="86"/>
      <c r="C45" s="92"/>
      <c r="D45" s="34"/>
      <c r="E45" s="36"/>
      <c r="F45" s="36"/>
      <c r="G45" s="87"/>
    </row>
    <row r="46" spans="1:7" ht="14.25" customHeight="1" x14ac:dyDescent="0.3">
      <c r="A46" s="85"/>
      <c r="B46" s="86"/>
      <c r="C46" s="92"/>
      <c r="D46" s="34"/>
      <c r="E46" s="36"/>
      <c r="F46" s="36"/>
      <c r="G46" s="87"/>
    </row>
    <row r="47" spans="1:7" ht="14.25" customHeight="1" x14ac:dyDescent="0.3">
      <c r="A47" s="85"/>
      <c r="B47" s="86"/>
      <c r="C47" s="92"/>
      <c r="D47" s="34"/>
      <c r="E47" s="36"/>
      <c r="F47" s="36"/>
      <c r="G47" s="87"/>
    </row>
    <row r="48" spans="1:7" ht="14.25" customHeight="1" x14ac:dyDescent="0.3">
      <c r="A48" s="85"/>
      <c r="B48" s="86"/>
      <c r="C48" s="92"/>
      <c r="D48" s="34"/>
      <c r="E48" s="36"/>
      <c r="F48" s="36"/>
      <c r="G48" s="87"/>
    </row>
    <row r="49" spans="1:7" ht="14.25" customHeight="1" x14ac:dyDescent="0.3">
      <c r="A49" s="85"/>
      <c r="B49" s="86"/>
      <c r="C49" s="92"/>
      <c r="D49" s="34"/>
      <c r="E49" s="36"/>
      <c r="F49" s="36"/>
      <c r="G49" s="87"/>
    </row>
    <row r="50" spans="1:7" ht="14.25" customHeight="1" x14ac:dyDescent="0.3">
      <c r="A50" s="85"/>
      <c r="B50" s="86"/>
      <c r="C50" s="92"/>
      <c r="D50" s="34"/>
      <c r="E50" s="36"/>
      <c r="F50" s="36"/>
      <c r="G50" s="87"/>
    </row>
    <row r="51" spans="1:7" ht="14.25" customHeight="1" x14ac:dyDescent="0.3">
      <c r="A51" s="85"/>
      <c r="B51" s="86"/>
      <c r="C51" s="92"/>
      <c r="D51" s="34"/>
      <c r="E51" s="36"/>
      <c r="F51" s="36"/>
      <c r="G51" s="87"/>
    </row>
    <row r="52" spans="1:7" ht="14.25" customHeight="1" x14ac:dyDescent="0.3">
      <c r="A52" s="85"/>
      <c r="B52" s="86"/>
      <c r="C52" s="92"/>
      <c r="D52" s="34"/>
      <c r="E52" s="36"/>
      <c r="F52" s="36"/>
      <c r="G52" s="87"/>
    </row>
    <row r="53" spans="1:7" ht="14.25" customHeight="1" x14ac:dyDescent="0.3">
      <c r="A53" s="85"/>
      <c r="B53" s="86"/>
      <c r="C53" s="92"/>
      <c r="D53" s="34"/>
      <c r="E53" s="36"/>
      <c r="F53" s="36"/>
      <c r="G53" s="87"/>
    </row>
    <row r="54" spans="1:7" ht="14.25" customHeight="1" x14ac:dyDescent="0.3">
      <c r="A54" s="85"/>
      <c r="B54" s="86"/>
      <c r="C54" s="92"/>
      <c r="D54" s="34"/>
      <c r="E54" s="36"/>
      <c r="F54" s="36"/>
      <c r="G54" s="87"/>
    </row>
    <row r="55" spans="1:7" ht="14.25" customHeight="1" x14ac:dyDescent="0.3">
      <c r="A55" s="85"/>
      <c r="B55" s="86"/>
      <c r="C55" s="92"/>
      <c r="D55" s="34"/>
      <c r="E55" s="36"/>
      <c r="F55" s="36"/>
      <c r="G55" s="87"/>
    </row>
    <row r="56" spans="1:7" ht="14.25" customHeight="1" x14ac:dyDescent="0.3">
      <c r="A56" s="85"/>
      <c r="B56" s="86"/>
      <c r="C56" s="92"/>
      <c r="D56" s="34"/>
      <c r="E56" s="36"/>
      <c r="F56" s="36"/>
      <c r="G56" s="87"/>
    </row>
    <row r="57" spans="1:7" ht="14.25" customHeight="1" x14ac:dyDescent="0.3">
      <c r="A57" s="85"/>
      <c r="B57" s="86"/>
      <c r="C57" s="92"/>
      <c r="D57" s="34"/>
      <c r="E57" s="36"/>
      <c r="F57" s="36"/>
      <c r="G57" s="87"/>
    </row>
    <row r="58" spans="1:7" ht="14.25" customHeight="1" x14ac:dyDescent="0.3">
      <c r="A58" s="85"/>
      <c r="B58" s="86"/>
      <c r="C58" s="92"/>
      <c r="D58" s="34"/>
      <c r="E58" s="36"/>
      <c r="F58" s="36"/>
      <c r="G58" s="87"/>
    </row>
    <row r="59" spans="1:7" ht="14.25" customHeight="1" x14ac:dyDescent="0.3">
      <c r="A59" s="85"/>
      <c r="B59" s="86"/>
      <c r="C59" s="92"/>
      <c r="D59" s="34"/>
      <c r="E59" s="36"/>
      <c r="F59" s="36"/>
      <c r="G59" s="87"/>
    </row>
    <row r="60" spans="1:7" ht="14.25" customHeight="1" x14ac:dyDescent="0.3">
      <c r="A60" s="85"/>
      <c r="B60" s="86"/>
      <c r="C60" s="92"/>
      <c r="D60" s="34"/>
      <c r="E60" s="36"/>
      <c r="F60" s="36"/>
      <c r="G60" s="87"/>
    </row>
    <row r="61" spans="1:7" ht="14.25" customHeight="1" x14ac:dyDescent="0.3">
      <c r="A61" s="85"/>
      <c r="B61" s="86"/>
      <c r="C61" s="92"/>
      <c r="D61" s="34"/>
      <c r="E61" s="36"/>
      <c r="F61" s="36"/>
      <c r="G61" s="87"/>
    </row>
    <row r="62" spans="1:7" ht="14.25" customHeight="1" x14ac:dyDescent="0.3">
      <c r="A62" s="85"/>
      <c r="B62" s="86"/>
      <c r="C62" s="92"/>
      <c r="D62" s="34"/>
      <c r="E62" s="36"/>
      <c r="F62" s="36"/>
      <c r="G62" s="87"/>
    </row>
    <row r="63" spans="1:7" ht="14.25" customHeight="1" x14ac:dyDescent="0.3">
      <c r="A63" s="85"/>
      <c r="B63" s="86"/>
      <c r="C63" s="92"/>
      <c r="D63" s="34"/>
      <c r="E63" s="36"/>
      <c r="F63" s="36"/>
      <c r="G63" s="87"/>
    </row>
    <row r="64" spans="1:7" ht="14.25" customHeight="1" x14ac:dyDescent="0.3">
      <c r="A64" s="85"/>
      <c r="B64" s="86"/>
      <c r="C64" s="92"/>
      <c r="D64" s="34"/>
      <c r="E64" s="36"/>
      <c r="F64" s="36"/>
      <c r="G64" s="87"/>
    </row>
    <row r="65" spans="1:7" ht="14.25" customHeight="1" x14ac:dyDescent="0.3">
      <c r="A65" s="85"/>
      <c r="B65" s="86"/>
      <c r="C65" s="92"/>
      <c r="D65" s="34"/>
      <c r="E65" s="36"/>
      <c r="F65" s="36"/>
      <c r="G65" s="87"/>
    </row>
    <row r="66" spans="1:7" ht="14.25" customHeight="1" x14ac:dyDescent="0.3">
      <c r="A66" s="85"/>
      <c r="B66" s="86"/>
      <c r="C66" s="92"/>
      <c r="D66" s="34"/>
      <c r="E66" s="36"/>
      <c r="F66" s="36"/>
      <c r="G66" s="87"/>
    </row>
    <row r="67" spans="1:7" ht="14.25" customHeight="1" x14ac:dyDescent="0.3">
      <c r="A67" s="85"/>
      <c r="B67" s="86"/>
      <c r="C67" s="92"/>
      <c r="D67" s="34"/>
      <c r="E67" s="36"/>
      <c r="F67" s="36"/>
      <c r="G67" s="87"/>
    </row>
    <row r="68" spans="1:7" ht="14.25" customHeight="1" x14ac:dyDescent="0.3">
      <c r="A68" s="85"/>
      <c r="B68" s="86"/>
      <c r="C68" s="92"/>
      <c r="D68" s="34"/>
      <c r="E68" s="36"/>
      <c r="F68" s="36"/>
      <c r="G68" s="87"/>
    </row>
    <row r="69" spans="1:7" ht="14.25" customHeight="1" x14ac:dyDescent="0.3">
      <c r="A69" s="85"/>
      <c r="B69" s="86"/>
      <c r="C69" s="92"/>
      <c r="D69" s="34"/>
      <c r="E69" s="36"/>
      <c r="F69" s="36"/>
      <c r="G69" s="87"/>
    </row>
    <row r="70" spans="1:7" ht="14.25" customHeight="1" x14ac:dyDescent="0.3">
      <c r="A70" s="85"/>
      <c r="B70" s="86"/>
      <c r="C70" s="92"/>
      <c r="D70" s="34"/>
      <c r="E70" s="36"/>
      <c r="F70" s="36"/>
      <c r="G70" s="87"/>
    </row>
    <row r="71" spans="1:7" ht="14.25" customHeight="1" x14ac:dyDescent="0.3">
      <c r="A71" s="85"/>
      <c r="B71" s="86"/>
      <c r="C71" s="92"/>
      <c r="D71" s="34"/>
      <c r="E71" s="36"/>
      <c r="F71" s="36"/>
      <c r="G71" s="87"/>
    </row>
    <row r="72" spans="1:7" ht="14.25" customHeight="1" x14ac:dyDescent="0.3">
      <c r="A72" s="85"/>
      <c r="B72" s="86"/>
      <c r="C72" s="92"/>
      <c r="D72" s="34"/>
      <c r="E72" s="36"/>
      <c r="F72" s="36"/>
      <c r="G72" s="87"/>
    </row>
    <row r="73" spans="1:7" ht="14.25" customHeight="1" x14ac:dyDescent="0.3">
      <c r="A73" s="85"/>
      <c r="B73" s="86"/>
      <c r="C73" s="92"/>
      <c r="D73" s="34"/>
      <c r="E73" s="36"/>
      <c r="F73" s="36"/>
      <c r="G73" s="87"/>
    </row>
    <row r="74" spans="1:7" ht="14.25" customHeight="1" x14ac:dyDescent="0.3">
      <c r="A74" s="85"/>
      <c r="B74" s="86"/>
      <c r="C74" s="92"/>
      <c r="D74" s="34"/>
      <c r="E74" s="36"/>
      <c r="F74" s="36"/>
      <c r="G74" s="87"/>
    </row>
    <row r="75" spans="1:7" ht="14.25" customHeight="1" x14ac:dyDescent="0.3">
      <c r="A75" s="85"/>
      <c r="B75" s="86"/>
      <c r="C75" s="92"/>
      <c r="D75" s="34"/>
      <c r="E75" s="36"/>
      <c r="F75" s="36"/>
      <c r="G75" s="87"/>
    </row>
    <row r="76" spans="1:7" ht="14.25" customHeight="1" x14ac:dyDescent="0.3">
      <c r="A76" s="85"/>
      <c r="B76" s="86"/>
      <c r="C76" s="92"/>
      <c r="D76" s="34"/>
      <c r="E76" s="36"/>
      <c r="F76" s="36"/>
      <c r="G76" s="87"/>
    </row>
    <row r="77" spans="1:7" ht="14.25" customHeight="1" x14ac:dyDescent="0.3">
      <c r="A77" s="85"/>
      <c r="B77" s="86"/>
      <c r="C77" s="92"/>
      <c r="D77" s="34"/>
      <c r="E77" s="36"/>
      <c r="F77" s="36"/>
      <c r="G77" s="87"/>
    </row>
    <row r="78" spans="1:7" ht="14.25" customHeight="1" x14ac:dyDescent="0.3">
      <c r="A78" s="85"/>
      <c r="B78" s="86"/>
      <c r="C78" s="92"/>
      <c r="D78" s="34"/>
      <c r="E78" s="36"/>
      <c r="F78" s="36"/>
      <c r="G78" s="87"/>
    </row>
    <row r="79" spans="1:7" ht="14.25" customHeight="1" x14ac:dyDescent="0.3">
      <c r="A79" s="85"/>
      <c r="B79" s="86"/>
      <c r="C79" s="92"/>
      <c r="D79" s="34"/>
      <c r="E79" s="36"/>
      <c r="F79" s="36"/>
      <c r="G79" s="87"/>
    </row>
    <row r="80" spans="1:7" ht="14.25" customHeight="1" x14ac:dyDescent="0.3">
      <c r="A80" s="85"/>
      <c r="B80" s="86"/>
      <c r="C80" s="92"/>
      <c r="D80" s="34"/>
      <c r="E80" s="36"/>
      <c r="F80" s="36"/>
      <c r="G80" s="87"/>
    </row>
    <row r="81" spans="1:7" ht="14.25" customHeight="1" x14ac:dyDescent="0.3">
      <c r="A81" s="85"/>
      <c r="B81" s="86"/>
      <c r="C81" s="92"/>
      <c r="D81" s="34"/>
      <c r="E81" s="36"/>
      <c r="F81" s="36"/>
      <c r="G81" s="87"/>
    </row>
    <row r="82" spans="1:7" ht="14.25" customHeight="1" x14ac:dyDescent="0.3">
      <c r="A82" s="85"/>
      <c r="B82" s="86"/>
      <c r="C82" s="92"/>
      <c r="D82" s="34"/>
      <c r="E82" s="36"/>
      <c r="F82" s="36"/>
      <c r="G82" s="87"/>
    </row>
    <row r="83" spans="1:7" ht="14.25" customHeight="1" x14ac:dyDescent="0.3">
      <c r="A83" s="85"/>
      <c r="B83" s="86"/>
      <c r="C83" s="92"/>
      <c r="D83" s="34"/>
      <c r="E83" s="36"/>
      <c r="F83" s="36"/>
      <c r="G83" s="87"/>
    </row>
    <row r="84" spans="1:7" ht="14.25" customHeight="1" x14ac:dyDescent="0.3">
      <c r="A84" s="85"/>
      <c r="B84" s="86"/>
      <c r="C84" s="92"/>
      <c r="D84" s="34"/>
      <c r="E84" s="36"/>
      <c r="F84" s="36"/>
      <c r="G84" s="87"/>
    </row>
    <row r="85" spans="1:7" ht="14.25" customHeight="1" x14ac:dyDescent="0.3">
      <c r="A85" s="85"/>
      <c r="B85" s="86"/>
      <c r="C85" s="92"/>
      <c r="D85" s="34"/>
      <c r="E85" s="36"/>
      <c r="F85" s="36"/>
      <c r="G85" s="87"/>
    </row>
    <row r="86" spans="1:7" ht="14.25" customHeight="1" x14ac:dyDescent="0.3">
      <c r="A86" s="85"/>
      <c r="B86" s="86"/>
      <c r="C86" s="92"/>
      <c r="D86" s="34"/>
      <c r="E86" s="36"/>
      <c r="F86" s="36"/>
      <c r="G86" s="87"/>
    </row>
    <row r="87" spans="1:7" ht="14.25" customHeight="1" x14ac:dyDescent="0.3">
      <c r="A87" s="85"/>
      <c r="B87" s="86"/>
      <c r="C87" s="92"/>
      <c r="D87" s="34"/>
      <c r="E87" s="36"/>
      <c r="F87" s="36"/>
      <c r="G87" s="87"/>
    </row>
    <row r="88" spans="1:7" ht="14.25" customHeight="1" x14ac:dyDescent="0.3">
      <c r="A88" s="85"/>
      <c r="B88" s="86"/>
      <c r="C88" s="92"/>
      <c r="D88" s="34"/>
      <c r="E88" s="36"/>
      <c r="F88" s="36"/>
      <c r="G88" s="87"/>
    </row>
    <row r="89" spans="1:7" ht="14.25" customHeight="1" x14ac:dyDescent="0.3">
      <c r="A89" s="85"/>
      <c r="B89" s="86"/>
      <c r="C89" s="92"/>
      <c r="D89" s="34"/>
      <c r="E89" s="36"/>
      <c r="F89" s="36"/>
      <c r="G89" s="87"/>
    </row>
    <row r="90" spans="1:7" ht="14.25" customHeight="1" x14ac:dyDescent="0.3">
      <c r="A90" s="85"/>
      <c r="B90" s="86"/>
      <c r="C90" s="92"/>
      <c r="D90" s="34"/>
      <c r="E90" s="36"/>
      <c r="F90" s="36"/>
      <c r="G90" s="87"/>
    </row>
    <row r="91" spans="1:7" ht="14.25" customHeight="1" x14ac:dyDescent="0.3">
      <c r="A91" s="85"/>
      <c r="B91" s="86"/>
      <c r="C91" s="92"/>
      <c r="D91" s="34"/>
      <c r="E91" s="36"/>
      <c r="F91" s="36"/>
      <c r="G91" s="87"/>
    </row>
    <row r="92" spans="1:7" ht="14.25" customHeight="1" x14ac:dyDescent="0.3">
      <c r="A92" s="85"/>
      <c r="B92" s="86"/>
      <c r="C92" s="92"/>
      <c r="D92" s="34"/>
      <c r="E92" s="36"/>
      <c r="F92" s="36"/>
      <c r="G92" s="87"/>
    </row>
    <row r="93" spans="1:7" ht="14.25" customHeight="1" x14ac:dyDescent="0.3">
      <c r="A93" s="85"/>
      <c r="B93" s="86"/>
      <c r="C93" s="92"/>
      <c r="D93" s="34"/>
      <c r="E93" s="36"/>
      <c r="F93" s="36"/>
      <c r="G93" s="87"/>
    </row>
    <row r="94" spans="1:7" ht="14.25" customHeight="1" x14ac:dyDescent="0.3">
      <c r="A94" s="85"/>
      <c r="B94" s="86"/>
      <c r="C94" s="92"/>
      <c r="D94" s="34"/>
      <c r="E94" s="36"/>
      <c r="F94" s="36"/>
      <c r="G94" s="87"/>
    </row>
    <row r="95" spans="1:7" ht="14.25" customHeight="1" x14ac:dyDescent="0.3">
      <c r="A95" s="85"/>
      <c r="B95" s="86"/>
      <c r="C95" s="92"/>
      <c r="D95" s="34"/>
      <c r="E95" s="36"/>
      <c r="F95" s="36"/>
      <c r="G95" s="87"/>
    </row>
    <row r="96" spans="1:7" ht="14.25" customHeight="1" x14ac:dyDescent="0.3">
      <c r="A96" s="85"/>
      <c r="B96" s="86"/>
      <c r="C96" s="92"/>
      <c r="D96" s="34"/>
      <c r="E96" s="36"/>
      <c r="F96" s="36"/>
      <c r="G96" s="87"/>
    </row>
    <row r="97" spans="1:7" ht="14.25" customHeight="1" x14ac:dyDescent="0.3">
      <c r="A97" s="85"/>
      <c r="B97" s="86"/>
      <c r="C97" s="92"/>
      <c r="D97" s="34"/>
      <c r="E97" s="36"/>
      <c r="F97" s="36"/>
      <c r="G97" s="87"/>
    </row>
    <row r="98" spans="1:7" ht="14.25" customHeight="1" x14ac:dyDescent="0.3">
      <c r="A98" s="85"/>
      <c r="B98" s="86"/>
      <c r="C98" s="92"/>
      <c r="D98" s="34"/>
      <c r="E98" s="36"/>
      <c r="F98" s="36"/>
      <c r="G98" s="87"/>
    </row>
    <row r="99" spans="1:7" ht="14.25" customHeight="1" x14ac:dyDescent="0.3">
      <c r="A99" s="85"/>
      <c r="B99" s="86"/>
      <c r="C99" s="92"/>
      <c r="D99" s="34"/>
      <c r="E99" s="36"/>
      <c r="F99" s="36"/>
      <c r="G99" s="87"/>
    </row>
    <row r="100" spans="1:7" ht="14.25" customHeight="1" x14ac:dyDescent="0.3">
      <c r="A100" s="85"/>
      <c r="B100" s="86"/>
      <c r="C100" s="92"/>
      <c r="D100" s="34"/>
      <c r="E100" s="36"/>
      <c r="F100" s="36"/>
      <c r="G100" s="87"/>
    </row>
    <row r="101" spans="1:7" ht="14.25" customHeight="1" x14ac:dyDescent="0.3">
      <c r="A101" s="85"/>
      <c r="B101" s="86"/>
      <c r="C101" s="92"/>
      <c r="D101" s="34"/>
      <c r="E101" s="36"/>
      <c r="F101" s="36"/>
      <c r="G101" s="87"/>
    </row>
    <row r="102" spans="1:7" ht="14.25" customHeight="1" x14ac:dyDescent="0.3">
      <c r="A102" s="85"/>
      <c r="B102" s="86"/>
      <c r="C102" s="92"/>
      <c r="D102" s="34"/>
      <c r="E102" s="36"/>
      <c r="F102" s="36"/>
      <c r="G102" s="87"/>
    </row>
    <row r="103" spans="1:7" ht="14.25" customHeight="1" x14ac:dyDescent="0.3">
      <c r="A103" s="85"/>
      <c r="B103" s="86"/>
      <c r="C103" s="92"/>
      <c r="D103" s="34"/>
      <c r="E103" s="36"/>
      <c r="F103" s="36"/>
      <c r="G103" s="87"/>
    </row>
    <row r="104" spans="1:7" ht="14.25" customHeight="1" x14ac:dyDescent="0.3">
      <c r="A104" s="85"/>
      <c r="B104" s="86"/>
      <c r="C104" s="92"/>
      <c r="D104" s="34"/>
      <c r="E104" s="36"/>
      <c r="F104" s="36"/>
      <c r="G104" s="87"/>
    </row>
    <row r="105" spans="1:7" ht="14.25" customHeight="1" x14ac:dyDescent="0.3">
      <c r="A105" s="85"/>
      <c r="B105" s="86"/>
      <c r="C105" s="92"/>
      <c r="D105" s="34"/>
      <c r="E105" s="36"/>
      <c r="F105" s="36"/>
      <c r="G105" s="87"/>
    </row>
    <row r="106" spans="1:7" ht="14.25" customHeight="1" x14ac:dyDescent="0.3">
      <c r="A106" s="85"/>
      <c r="B106" s="86"/>
      <c r="C106" s="92"/>
      <c r="D106" s="34"/>
      <c r="E106" s="36"/>
      <c r="F106" s="36"/>
      <c r="G106" s="87"/>
    </row>
    <row r="107" spans="1:7" ht="14.25" customHeight="1" x14ac:dyDescent="0.3">
      <c r="A107" s="85"/>
      <c r="B107" s="86"/>
      <c r="C107" s="92"/>
      <c r="D107" s="34"/>
      <c r="E107" s="36"/>
      <c r="F107" s="36"/>
      <c r="G107" s="87"/>
    </row>
    <row r="108" spans="1:7" ht="14.25" customHeight="1" x14ac:dyDescent="0.3">
      <c r="A108" s="85"/>
      <c r="B108" s="86"/>
      <c r="C108" s="92"/>
      <c r="D108" s="34"/>
      <c r="E108" s="36"/>
      <c r="F108" s="36"/>
      <c r="G108" s="87"/>
    </row>
    <row r="109" spans="1:7" ht="14.25" customHeight="1" x14ac:dyDescent="0.3">
      <c r="A109" s="85"/>
      <c r="B109" s="86"/>
      <c r="C109" s="92"/>
      <c r="D109" s="34"/>
      <c r="E109" s="36"/>
      <c r="F109" s="36"/>
      <c r="G109" s="87"/>
    </row>
    <row r="110" spans="1:7" ht="14.25" customHeight="1" x14ac:dyDescent="0.3">
      <c r="A110" s="85"/>
      <c r="B110" s="86"/>
      <c r="C110" s="92"/>
      <c r="D110" s="34"/>
      <c r="E110" s="36"/>
      <c r="F110" s="36"/>
      <c r="G110" s="87"/>
    </row>
    <row r="111" spans="1:7" ht="14.25" customHeight="1" x14ac:dyDescent="0.3">
      <c r="A111" s="85"/>
      <c r="B111" s="86"/>
      <c r="C111" s="92"/>
      <c r="D111" s="34"/>
      <c r="E111" s="36"/>
      <c r="F111" s="36"/>
      <c r="G111" s="87"/>
    </row>
    <row r="112" spans="1:7" ht="14.25" customHeight="1" x14ac:dyDescent="0.3">
      <c r="A112" s="85"/>
      <c r="B112" s="86"/>
      <c r="C112" s="92"/>
      <c r="D112" s="34"/>
      <c r="E112" s="36"/>
      <c r="F112" s="36"/>
      <c r="G112" s="87"/>
    </row>
    <row r="113" spans="1:7" ht="14.25" customHeight="1" x14ac:dyDescent="0.3">
      <c r="A113" s="85"/>
      <c r="B113" s="86"/>
      <c r="C113" s="92"/>
      <c r="D113" s="34"/>
      <c r="E113" s="36"/>
      <c r="F113" s="36"/>
      <c r="G113" s="87"/>
    </row>
    <row r="114" spans="1:7" ht="14.25" customHeight="1" x14ac:dyDescent="0.3">
      <c r="A114" s="85"/>
      <c r="B114" s="86"/>
      <c r="C114" s="92"/>
      <c r="D114" s="34"/>
      <c r="E114" s="36"/>
      <c r="F114" s="36"/>
      <c r="G114" s="87"/>
    </row>
    <row r="115" spans="1:7" ht="14.25" customHeight="1" x14ac:dyDescent="0.3">
      <c r="A115" s="85"/>
      <c r="B115" s="86"/>
      <c r="C115" s="92"/>
      <c r="D115" s="34"/>
      <c r="E115" s="36"/>
      <c r="F115" s="36"/>
      <c r="G115" s="87"/>
    </row>
    <row r="116" spans="1:7" ht="14.25" customHeight="1" x14ac:dyDescent="0.3">
      <c r="A116" s="85"/>
      <c r="B116" s="86"/>
      <c r="C116" s="92"/>
      <c r="D116" s="34"/>
      <c r="E116" s="36"/>
      <c r="F116" s="36"/>
      <c r="G116" s="87"/>
    </row>
    <row r="117" spans="1:7" ht="14.25" customHeight="1" x14ac:dyDescent="0.3">
      <c r="A117" s="85"/>
      <c r="B117" s="86"/>
      <c r="C117" s="92"/>
      <c r="D117" s="34"/>
      <c r="E117" s="36"/>
      <c r="F117" s="36"/>
      <c r="G117" s="87"/>
    </row>
    <row r="118" spans="1:7" ht="14.25" customHeight="1" x14ac:dyDescent="0.3">
      <c r="A118" s="85"/>
      <c r="B118" s="86"/>
      <c r="C118" s="92"/>
      <c r="D118" s="34"/>
      <c r="E118" s="36"/>
      <c r="F118" s="36"/>
      <c r="G118" s="87"/>
    </row>
    <row r="119" spans="1:7" ht="14.25" customHeight="1" x14ac:dyDescent="0.3">
      <c r="A119" s="85"/>
      <c r="B119" s="86"/>
      <c r="C119" s="92"/>
      <c r="D119" s="34"/>
      <c r="E119" s="36"/>
      <c r="F119" s="36"/>
      <c r="G119" s="87"/>
    </row>
    <row r="120" spans="1:7" ht="14.25" customHeight="1" x14ac:dyDescent="0.3">
      <c r="A120" s="85"/>
      <c r="B120" s="86"/>
      <c r="C120" s="92"/>
      <c r="D120" s="34"/>
      <c r="E120" s="36"/>
      <c r="F120" s="36"/>
      <c r="G120" s="87"/>
    </row>
    <row r="121" spans="1:7" ht="14.25" customHeight="1" x14ac:dyDescent="0.3">
      <c r="A121" s="85"/>
      <c r="B121" s="86"/>
      <c r="C121" s="92"/>
      <c r="D121" s="34"/>
      <c r="E121" s="36"/>
      <c r="F121" s="36"/>
      <c r="G121" s="87"/>
    </row>
    <row r="122" spans="1:7" ht="14.25" customHeight="1" x14ac:dyDescent="0.3">
      <c r="A122" s="85"/>
      <c r="B122" s="86"/>
      <c r="C122" s="92"/>
      <c r="D122" s="34"/>
      <c r="E122" s="36"/>
      <c r="F122" s="36"/>
      <c r="G122" s="87"/>
    </row>
    <row r="123" spans="1:7" ht="14.25" customHeight="1" x14ac:dyDescent="0.3">
      <c r="A123" s="85"/>
      <c r="B123" s="86"/>
      <c r="C123" s="92"/>
      <c r="D123" s="34"/>
      <c r="E123" s="36"/>
      <c r="F123" s="36"/>
      <c r="G123" s="87"/>
    </row>
    <row r="124" spans="1:7" ht="14.25" customHeight="1" x14ac:dyDescent="0.3">
      <c r="A124" s="85"/>
      <c r="B124" s="86"/>
      <c r="C124" s="92"/>
      <c r="D124" s="34"/>
      <c r="E124" s="36"/>
      <c r="F124" s="36"/>
      <c r="G124" s="87"/>
    </row>
    <row r="125" spans="1:7" ht="14.25" customHeight="1" x14ac:dyDescent="0.3">
      <c r="A125" s="85"/>
      <c r="B125" s="86"/>
      <c r="C125" s="92"/>
      <c r="D125" s="34"/>
      <c r="E125" s="36"/>
      <c r="F125" s="36"/>
      <c r="G125" s="87"/>
    </row>
    <row r="126" spans="1:7" ht="14.25" customHeight="1" x14ac:dyDescent="0.3">
      <c r="A126" s="85"/>
      <c r="B126" s="86"/>
      <c r="C126" s="92"/>
      <c r="D126" s="34"/>
      <c r="E126" s="36"/>
      <c r="F126" s="36"/>
      <c r="G126" s="87"/>
    </row>
    <row r="127" spans="1:7" ht="14.25" customHeight="1" x14ac:dyDescent="0.3">
      <c r="A127" s="85"/>
      <c r="B127" s="86"/>
      <c r="C127" s="92"/>
      <c r="D127" s="34"/>
      <c r="E127" s="36"/>
      <c r="F127" s="36"/>
      <c r="G127" s="87"/>
    </row>
    <row r="128" spans="1:7" ht="14.25" customHeight="1" x14ac:dyDescent="0.3">
      <c r="A128" s="85"/>
      <c r="B128" s="86"/>
      <c r="C128" s="92"/>
      <c r="D128" s="34"/>
      <c r="E128" s="36"/>
      <c r="F128" s="36"/>
      <c r="G128" s="87"/>
    </row>
    <row r="129" spans="1:7" ht="14.25" customHeight="1" x14ac:dyDescent="0.3">
      <c r="A129" s="85"/>
      <c r="B129" s="86"/>
      <c r="C129" s="92"/>
      <c r="D129" s="34"/>
      <c r="E129" s="36"/>
      <c r="F129" s="36"/>
      <c r="G129" s="87"/>
    </row>
    <row r="130" spans="1:7" ht="14.25" customHeight="1" x14ac:dyDescent="0.3">
      <c r="A130" s="85"/>
      <c r="B130" s="86"/>
      <c r="C130" s="92"/>
      <c r="D130" s="34"/>
      <c r="E130" s="36"/>
      <c r="F130" s="36"/>
      <c r="G130" s="87"/>
    </row>
    <row r="131" spans="1:7" ht="14.25" customHeight="1" x14ac:dyDescent="0.3">
      <c r="A131" s="85"/>
      <c r="B131" s="86"/>
      <c r="C131" s="92"/>
      <c r="D131" s="34"/>
      <c r="E131" s="36"/>
      <c r="F131" s="36"/>
      <c r="G131" s="87"/>
    </row>
    <row r="132" spans="1:7" ht="14.25" customHeight="1" x14ac:dyDescent="0.3">
      <c r="A132" s="85"/>
      <c r="B132" s="86"/>
      <c r="C132" s="92"/>
      <c r="D132" s="34"/>
      <c r="E132" s="36"/>
      <c r="F132" s="36"/>
      <c r="G132" s="87"/>
    </row>
    <row r="133" spans="1:7" ht="14.25" customHeight="1" x14ac:dyDescent="0.3">
      <c r="A133" s="85"/>
      <c r="B133" s="86"/>
      <c r="C133" s="92"/>
      <c r="D133" s="34"/>
      <c r="E133" s="36"/>
      <c r="F133" s="36"/>
      <c r="G133" s="87"/>
    </row>
    <row r="134" spans="1:7" ht="14.25" customHeight="1" x14ac:dyDescent="0.3">
      <c r="A134" s="85"/>
      <c r="B134" s="86"/>
      <c r="C134" s="92"/>
      <c r="D134" s="34"/>
      <c r="E134" s="36"/>
      <c r="F134" s="36"/>
      <c r="G134" s="87"/>
    </row>
    <row r="135" spans="1:7" ht="14.25" customHeight="1" x14ac:dyDescent="0.3">
      <c r="A135" s="85"/>
      <c r="B135" s="86"/>
      <c r="C135" s="92"/>
      <c r="D135" s="34"/>
      <c r="E135" s="36"/>
      <c r="F135" s="36"/>
      <c r="G135" s="87"/>
    </row>
    <row r="136" spans="1:7" ht="14.25" customHeight="1" x14ac:dyDescent="0.3">
      <c r="A136" s="85"/>
      <c r="B136" s="86"/>
      <c r="C136" s="92"/>
      <c r="D136" s="34"/>
      <c r="E136" s="36"/>
      <c r="F136" s="36"/>
      <c r="G136" s="87"/>
    </row>
    <row r="137" spans="1:7" ht="14.25" customHeight="1" x14ac:dyDescent="0.3">
      <c r="A137" s="85"/>
      <c r="B137" s="86"/>
      <c r="C137" s="92"/>
      <c r="D137" s="34"/>
      <c r="E137" s="36"/>
      <c r="F137" s="36"/>
      <c r="G137" s="87"/>
    </row>
    <row r="138" spans="1:7" ht="14.25" customHeight="1" x14ac:dyDescent="0.3">
      <c r="A138" s="85"/>
      <c r="B138" s="86"/>
      <c r="C138" s="92"/>
      <c r="D138" s="34"/>
      <c r="E138" s="36"/>
      <c r="F138" s="36"/>
      <c r="G138" s="87"/>
    </row>
    <row r="139" spans="1:7" ht="14.25" customHeight="1" x14ac:dyDescent="0.3">
      <c r="A139" s="85"/>
      <c r="B139" s="86"/>
      <c r="C139" s="92"/>
      <c r="D139" s="34"/>
      <c r="E139" s="36"/>
      <c r="F139" s="36"/>
      <c r="G139" s="87"/>
    </row>
    <row r="140" spans="1:7" ht="14.25" customHeight="1" x14ac:dyDescent="0.3">
      <c r="A140" s="85"/>
      <c r="B140" s="86"/>
      <c r="C140" s="92"/>
      <c r="D140" s="34"/>
      <c r="E140" s="36"/>
      <c r="F140" s="36"/>
      <c r="G140" s="87"/>
    </row>
    <row r="141" spans="1:7" ht="14.25" customHeight="1" x14ac:dyDescent="0.3">
      <c r="A141" s="85"/>
      <c r="B141" s="86"/>
      <c r="C141" s="92"/>
      <c r="D141" s="34"/>
      <c r="E141" s="36"/>
      <c r="F141" s="36"/>
      <c r="G141" s="87"/>
    </row>
    <row r="142" spans="1:7" ht="14.25" customHeight="1" x14ac:dyDescent="0.3">
      <c r="A142" s="85"/>
      <c r="B142" s="86"/>
      <c r="C142" s="92"/>
      <c r="D142" s="34"/>
      <c r="E142" s="36"/>
      <c r="F142" s="36"/>
      <c r="G142" s="87"/>
    </row>
    <row r="143" spans="1:7" ht="14.25" customHeight="1" x14ac:dyDescent="0.3">
      <c r="A143" s="85"/>
      <c r="B143" s="86"/>
      <c r="C143" s="92"/>
      <c r="D143" s="34"/>
      <c r="E143" s="36"/>
      <c r="F143" s="36"/>
      <c r="G143" s="87"/>
    </row>
    <row r="144" spans="1:7" ht="14.25" customHeight="1" x14ac:dyDescent="0.3">
      <c r="A144" s="85"/>
      <c r="B144" s="86"/>
      <c r="C144" s="92"/>
      <c r="D144" s="34"/>
      <c r="E144" s="36"/>
      <c r="F144" s="36"/>
      <c r="G144" s="87"/>
    </row>
    <row r="145" spans="1:7" ht="14.25" customHeight="1" x14ac:dyDescent="0.3">
      <c r="A145" s="85"/>
      <c r="B145" s="86"/>
      <c r="C145" s="92"/>
      <c r="D145" s="34"/>
      <c r="E145" s="36"/>
      <c r="F145" s="36"/>
      <c r="G145" s="87"/>
    </row>
    <row r="146" spans="1:7" ht="14.25" customHeight="1" x14ac:dyDescent="0.3">
      <c r="A146" s="85"/>
      <c r="B146" s="86"/>
      <c r="C146" s="92"/>
      <c r="D146" s="34"/>
      <c r="E146" s="36"/>
      <c r="F146" s="36"/>
      <c r="G146" s="87"/>
    </row>
    <row r="147" spans="1:7" ht="14.25" customHeight="1" x14ac:dyDescent="0.3">
      <c r="A147" s="85"/>
      <c r="B147" s="86"/>
      <c r="C147" s="92"/>
      <c r="D147" s="34"/>
      <c r="E147" s="36"/>
      <c r="F147" s="36"/>
      <c r="G147" s="87"/>
    </row>
    <row r="148" spans="1:7" ht="14.25" customHeight="1" x14ac:dyDescent="0.3">
      <c r="A148" s="85"/>
      <c r="B148" s="86"/>
      <c r="C148" s="92"/>
      <c r="D148" s="34"/>
      <c r="E148" s="36"/>
      <c r="F148" s="36"/>
      <c r="G148" s="87"/>
    </row>
    <row r="149" spans="1:7" ht="14.25" customHeight="1" x14ac:dyDescent="0.3">
      <c r="A149" s="85"/>
      <c r="B149" s="86"/>
      <c r="C149" s="92"/>
      <c r="D149" s="34"/>
      <c r="E149" s="36"/>
      <c r="F149" s="36"/>
      <c r="G149" s="87"/>
    </row>
    <row r="150" spans="1:7" ht="14.25" customHeight="1" x14ac:dyDescent="0.3">
      <c r="A150" s="85"/>
      <c r="B150" s="86"/>
      <c r="C150" s="92"/>
      <c r="D150" s="34"/>
      <c r="E150" s="36"/>
      <c r="F150" s="36"/>
      <c r="G150" s="87"/>
    </row>
    <row r="151" spans="1:7" ht="14.25" customHeight="1" x14ac:dyDescent="0.3">
      <c r="A151" s="85"/>
      <c r="B151" s="86"/>
      <c r="C151" s="92"/>
      <c r="D151" s="34"/>
      <c r="E151" s="36"/>
      <c r="F151" s="36"/>
      <c r="G151" s="87"/>
    </row>
    <row r="152" spans="1:7" ht="14.25" customHeight="1" x14ac:dyDescent="0.3">
      <c r="A152" s="85"/>
      <c r="B152" s="86"/>
      <c r="C152" s="92"/>
      <c r="D152" s="34"/>
      <c r="E152" s="36"/>
      <c r="F152" s="36"/>
      <c r="G152" s="87"/>
    </row>
    <row r="153" spans="1:7" ht="14.25" customHeight="1" x14ac:dyDescent="0.3">
      <c r="A153" s="85"/>
      <c r="B153" s="86"/>
      <c r="C153" s="92"/>
      <c r="D153" s="34"/>
      <c r="E153" s="36"/>
      <c r="F153" s="36"/>
      <c r="G153" s="87"/>
    </row>
    <row r="154" spans="1:7" ht="14.25" customHeight="1" x14ac:dyDescent="0.3">
      <c r="A154" s="85"/>
      <c r="B154" s="86"/>
      <c r="C154" s="92"/>
      <c r="D154" s="34"/>
      <c r="E154" s="36"/>
      <c r="F154" s="36"/>
      <c r="G154" s="87"/>
    </row>
    <row r="155" spans="1:7" ht="14.25" customHeight="1" x14ac:dyDescent="0.3">
      <c r="A155" s="85"/>
      <c r="B155" s="86"/>
      <c r="C155" s="92"/>
      <c r="D155" s="34"/>
      <c r="E155" s="36"/>
      <c r="F155" s="36"/>
      <c r="G155" s="87"/>
    </row>
    <row r="156" spans="1:7" ht="14.25" customHeight="1" x14ac:dyDescent="0.3">
      <c r="A156" s="85"/>
      <c r="B156" s="86"/>
      <c r="C156" s="92"/>
      <c r="D156" s="34"/>
      <c r="E156" s="36"/>
      <c r="F156" s="36"/>
      <c r="G156" s="87"/>
    </row>
    <row r="157" spans="1:7" ht="14.25" customHeight="1" x14ac:dyDescent="0.3">
      <c r="A157" s="85"/>
      <c r="B157" s="86"/>
      <c r="C157" s="92"/>
      <c r="D157" s="34"/>
      <c r="E157" s="36"/>
      <c r="F157" s="36"/>
      <c r="G157" s="87"/>
    </row>
    <row r="158" spans="1:7" ht="14.25" customHeight="1" x14ac:dyDescent="0.3">
      <c r="A158" s="85"/>
      <c r="B158" s="86"/>
      <c r="C158" s="92"/>
      <c r="D158" s="34"/>
      <c r="E158" s="36"/>
      <c r="F158" s="36"/>
      <c r="G158" s="87"/>
    </row>
    <row r="159" spans="1:7" ht="14.25" customHeight="1" x14ac:dyDescent="0.3">
      <c r="A159" s="85"/>
      <c r="B159" s="86"/>
      <c r="C159" s="92"/>
      <c r="D159" s="34"/>
      <c r="E159" s="36"/>
      <c r="F159" s="36"/>
      <c r="G159" s="87"/>
    </row>
    <row r="160" spans="1:7" ht="14.25" customHeight="1" x14ac:dyDescent="0.3">
      <c r="A160" s="85"/>
      <c r="B160" s="86"/>
      <c r="C160" s="92"/>
      <c r="D160" s="34"/>
      <c r="E160" s="36"/>
      <c r="F160" s="36"/>
      <c r="G160" s="87"/>
    </row>
    <row r="161" spans="1:7" ht="14.25" customHeight="1" x14ac:dyDescent="0.3">
      <c r="A161" s="85"/>
      <c r="B161" s="86"/>
      <c r="C161" s="92"/>
      <c r="D161" s="34"/>
      <c r="E161" s="36"/>
      <c r="F161" s="36"/>
      <c r="G161" s="87"/>
    </row>
    <row r="162" spans="1:7" ht="14.25" customHeight="1" x14ac:dyDescent="0.3">
      <c r="A162" s="85"/>
      <c r="B162" s="86"/>
      <c r="C162" s="92"/>
      <c r="D162" s="34"/>
      <c r="E162" s="36"/>
      <c r="F162" s="36"/>
      <c r="G162" s="87"/>
    </row>
    <row r="163" spans="1:7" ht="14.25" customHeight="1" x14ac:dyDescent="0.3">
      <c r="A163" s="85"/>
      <c r="B163" s="86"/>
      <c r="C163" s="92"/>
      <c r="D163" s="34"/>
      <c r="E163" s="36"/>
      <c r="F163" s="36"/>
      <c r="G163" s="87"/>
    </row>
    <row r="164" spans="1:7" ht="14.25" customHeight="1" x14ac:dyDescent="0.3">
      <c r="A164" s="85"/>
      <c r="B164" s="86"/>
      <c r="C164" s="92"/>
      <c r="D164" s="34"/>
      <c r="E164" s="36"/>
      <c r="F164" s="36"/>
      <c r="G164" s="87"/>
    </row>
    <row r="165" spans="1:7" ht="14.25" customHeight="1" x14ac:dyDescent="0.3">
      <c r="A165" s="85"/>
      <c r="B165" s="86"/>
      <c r="C165" s="92"/>
      <c r="D165" s="34"/>
      <c r="E165" s="36"/>
      <c r="F165" s="36"/>
      <c r="G165" s="87"/>
    </row>
    <row r="166" spans="1:7" ht="14.25" customHeight="1" x14ac:dyDescent="0.3">
      <c r="A166" s="85"/>
      <c r="B166" s="86"/>
      <c r="C166" s="92"/>
      <c r="D166" s="34"/>
      <c r="E166" s="36"/>
      <c r="F166" s="36"/>
      <c r="G166" s="87"/>
    </row>
    <row r="167" spans="1:7" ht="14.25" customHeight="1" x14ac:dyDescent="0.3">
      <c r="A167" s="85"/>
      <c r="B167" s="86"/>
      <c r="C167" s="92"/>
      <c r="D167" s="34"/>
      <c r="E167" s="36"/>
      <c r="F167" s="36"/>
      <c r="G167" s="87"/>
    </row>
    <row r="168" spans="1:7" ht="14.25" customHeight="1" x14ac:dyDescent="0.3">
      <c r="A168" s="85"/>
      <c r="B168" s="86"/>
      <c r="C168" s="92"/>
      <c r="D168" s="34"/>
      <c r="E168" s="36"/>
      <c r="F168" s="36"/>
      <c r="G168" s="87"/>
    </row>
    <row r="169" spans="1:7" ht="14.25" customHeight="1" x14ac:dyDescent="0.3">
      <c r="A169" s="85"/>
      <c r="B169" s="86"/>
      <c r="C169" s="92"/>
      <c r="D169" s="34"/>
      <c r="E169" s="36"/>
      <c r="F169" s="36"/>
      <c r="G169" s="87"/>
    </row>
    <row r="170" spans="1:7" ht="14.25" customHeight="1" x14ac:dyDescent="0.3">
      <c r="A170" s="85"/>
      <c r="B170" s="86"/>
      <c r="C170" s="92"/>
      <c r="D170" s="34"/>
      <c r="E170" s="36"/>
      <c r="F170" s="36"/>
      <c r="G170" s="87"/>
    </row>
    <row r="171" spans="1:7" ht="14.25" customHeight="1" x14ac:dyDescent="0.3">
      <c r="A171" s="85"/>
      <c r="B171" s="86"/>
      <c r="C171" s="92"/>
      <c r="D171" s="34"/>
      <c r="E171" s="36"/>
      <c r="F171" s="36"/>
      <c r="G171" s="87"/>
    </row>
    <row r="172" spans="1:7" ht="14.25" customHeight="1" x14ac:dyDescent="0.3">
      <c r="A172" s="85"/>
      <c r="B172" s="86"/>
      <c r="C172" s="92"/>
      <c r="D172" s="34"/>
      <c r="E172" s="36"/>
      <c r="F172" s="36"/>
      <c r="G172" s="87"/>
    </row>
    <row r="173" spans="1:7" ht="14.25" customHeight="1" x14ac:dyDescent="0.3">
      <c r="A173" s="85"/>
      <c r="B173" s="86"/>
      <c r="C173" s="92"/>
      <c r="D173" s="34"/>
      <c r="E173" s="36"/>
      <c r="F173" s="36"/>
      <c r="G173" s="87"/>
    </row>
    <row r="174" spans="1:7" ht="14.25" customHeight="1" x14ac:dyDescent="0.3">
      <c r="A174" s="85"/>
      <c r="B174" s="86"/>
      <c r="C174" s="92"/>
      <c r="D174" s="34"/>
      <c r="E174" s="36"/>
      <c r="F174" s="36"/>
      <c r="G174" s="87"/>
    </row>
    <row r="175" spans="1:7" ht="14.25" customHeight="1" x14ac:dyDescent="0.3">
      <c r="A175" s="85"/>
      <c r="B175" s="86"/>
      <c r="C175" s="92"/>
      <c r="D175" s="34"/>
      <c r="E175" s="36"/>
      <c r="F175" s="36"/>
      <c r="G175" s="87"/>
    </row>
    <row r="176" spans="1:7" ht="14.25" customHeight="1" x14ac:dyDescent="0.3">
      <c r="A176" s="85"/>
      <c r="B176" s="86"/>
      <c r="C176" s="92"/>
      <c r="D176" s="34"/>
      <c r="E176" s="36"/>
      <c r="F176" s="36"/>
      <c r="G176" s="87"/>
    </row>
    <row r="177" spans="1:7" ht="14.25" customHeight="1" x14ac:dyDescent="0.3">
      <c r="A177" s="85"/>
      <c r="B177" s="86"/>
      <c r="C177" s="92"/>
      <c r="D177" s="34"/>
      <c r="E177" s="36"/>
      <c r="F177" s="36"/>
      <c r="G177" s="87"/>
    </row>
    <row r="178" spans="1:7" ht="14.25" customHeight="1" x14ac:dyDescent="0.3">
      <c r="A178" s="85"/>
      <c r="B178" s="86"/>
      <c r="C178" s="92"/>
      <c r="D178" s="34"/>
      <c r="E178" s="36"/>
      <c r="F178" s="36"/>
      <c r="G178" s="87"/>
    </row>
    <row r="179" spans="1:7" ht="14.25" customHeight="1" x14ac:dyDescent="0.3">
      <c r="A179" s="85"/>
      <c r="B179" s="86"/>
      <c r="C179" s="92"/>
      <c r="D179" s="34"/>
      <c r="E179" s="36"/>
      <c r="F179" s="36"/>
      <c r="G179" s="87"/>
    </row>
    <row r="180" spans="1:7" ht="14.25" customHeight="1" x14ac:dyDescent="0.3">
      <c r="A180" s="85"/>
      <c r="B180" s="86"/>
      <c r="C180" s="92"/>
      <c r="D180" s="34"/>
      <c r="E180" s="36"/>
      <c r="F180" s="36"/>
      <c r="G180" s="87"/>
    </row>
    <row r="181" spans="1:7" ht="14.25" customHeight="1" x14ac:dyDescent="0.3">
      <c r="A181" s="85"/>
      <c r="B181" s="86"/>
      <c r="C181" s="92"/>
      <c r="D181" s="34"/>
      <c r="E181" s="36"/>
      <c r="F181" s="36"/>
      <c r="G181" s="87"/>
    </row>
    <row r="182" spans="1:7" ht="14.25" customHeight="1" x14ac:dyDescent="0.3">
      <c r="A182" s="85"/>
      <c r="B182" s="86"/>
      <c r="C182" s="92"/>
      <c r="D182" s="34"/>
      <c r="E182" s="36"/>
      <c r="F182" s="36"/>
      <c r="G182" s="87"/>
    </row>
    <row r="183" spans="1:7" ht="14.25" customHeight="1" x14ac:dyDescent="0.3">
      <c r="A183" s="85"/>
      <c r="B183" s="86"/>
      <c r="C183" s="92"/>
      <c r="D183" s="34"/>
      <c r="E183" s="36"/>
      <c r="F183" s="36"/>
      <c r="G183" s="87"/>
    </row>
    <row r="184" spans="1:7" ht="14.25" customHeight="1" x14ac:dyDescent="0.3">
      <c r="A184" s="85"/>
      <c r="B184" s="86"/>
      <c r="C184" s="92"/>
      <c r="D184" s="34"/>
      <c r="E184" s="36"/>
      <c r="F184" s="36"/>
      <c r="G184" s="87"/>
    </row>
    <row r="185" spans="1:7" ht="14.25" customHeight="1" x14ac:dyDescent="0.3">
      <c r="A185" s="85"/>
      <c r="B185" s="86"/>
      <c r="C185" s="92"/>
      <c r="D185" s="34"/>
      <c r="E185" s="36"/>
      <c r="F185" s="36"/>
      <c r="G185" s="87"/>
    </row>
    <row r="186" spans="1:7" ht="14.25" customHeight="1" x14ac:dyDescent="0.3">
      <c r="A186" s="85"/>
      <c r="B186" s="86"/>
      <c r="C186" s="92"/>
      <c r="D186" s="34"/>
      <c r="E186" s="36"/>
      <c r="F186" s="36"/>
      <c r="G186" s="87"/>
    </row>
    <row r="187" spans="1:7" ht="14.25" customHeight="1" x14ac:dyDescent="0.3">
      <c r="A187" s="85"/>
      <c r="B187" s="86"/>
      <c r="C187" s="92"/>
      <c r="D187" s="34"/>
      <c r="E187" s="36"/>
      <c r="F187" s="36"/>
      <c r="G187" s="87"/>
    </row>
    <row r="188" spans="1:7" ht="14.25" customHeight="1" x14ac:dyDescent="0.3">
      <c r="A188" s="85"/>
      <c r="B188" s="86"/>
      <c r="C188" s="92"/>
      <c r="D188" s="34"/>
      <c r="E188" s="36"/>
      <c r="F188" s="36"/>
      <c r="G188" s="87"/>
    </row>
    <row r="189" spans="1:7" ht="14.25" customHeight="1" x14ac:dyDescent="0.3">
      <c r="A189" s="85"/>
      <c r="B189" s="86"/>
      <c r="C189" s="92"/>
      <c r="D189" s="34"/>
      <c r="E189" s="36"/>
      <c r="F189" s="36"/>
      <c r="G189" s="87"/>
    </row>
    <row r="190" spans="1:7" ht="14.25" customHeight="1" x14ac:dyDescent="0.3">
      <c r="A190" s="85"/>
      <c r="B190" s="86"/>
      <c r="C190" s="92"/>
      <c r="D190" s="34"/>
      <c r="E190" s="36"/>
      <c r="F190" s="36"/>
      <c r="G190" s="87"/>
    </row>
    <row r="191" spans="1:7" ht="14.25" customHeight="1" x14ac:dyDescent="0.3">
      <c r="A191" s="85"/>
      <c r="B191" s="86"/>
      <c r="C191" s="92"/>
      <c r="D191" s="34"/>
      <c r="E191" s="36"/>
      <c r="F191" s="36"/>
      <c r="G191" s="87"/>
    </row>
    <row r="192" spans="1:7" ht="14.25" customHeight="1" x14ac:dyDescent="0.3">
      <c r="A192" s="85"/>
      <c r="B192" s="86"/>
      <c r="C192" s="92"/>
      <c r="D192" s="34"/>
      <c r="E192" s="36"/>
      <c r="F192" s="36"/>
      <c r="G192" s="87"/>
    </row>
    <row r="193" spans="1:7" ht="14.25" customHeight="1" x14ac:dyDescent="0.3">
      <c r="A193" s="85"/>
      <c r="B193" s="86"/>
      <c r="C193" s="92"/>
      <c r="D193" s="34"/>
      <c r="E193" s="36"/>
      <c r="F193" s="36"/>
      <c r="G193" s="87"/>
    </row>
    <row r="194" spans="1:7" ht="14.25" customHeight="1" x14ac:dyDescent="0.3">
      <c r="A194" s="85"/>
      <c r="B194" s="86"/>
      <c r="C194" s="92"/>
      <c r="D194" s="34"/>
      <c r="E194" s="36"/>
      <c r="F194" s="36"/>
      <c r="G194" s="87"/>
    </row>
    <row r="195" spans="1:7" ht="14.25" customHeight="1" x14ac:dyDescent="0.3">
      <c r="A195" s="85"/>
      <c r="B195" s="86"/>
      <c r="C195" s="92"/>
      <c r="D195" s="34"/>
      <c r="E195" s="36"/>
      <c r="F195" s="36"/>
      <c r="G195" s="87"/>
    </row>
    <row r="196" spans="1:7" ht="14.25" customHeight="1" x14ac:dyDescent="0.3">
      <c r="A196" s="85"/>
      <c r="B196" s="86"/>
      <c r="C196" s="92"/>
      <c r="D196" s="34"/>
      <c r="E196" s="36"/>
      <c r="F196" s="36"/>
      <c r="G196" s="87"/>
    </row>
    <row r="197" spans="1:7" ht="14.25" customHeight="1" x14ac:dyDescent="0.3">
      <c r="A197" s="85"/>
      <c r="B197" s="86"/>
      <c r="C197" s="92"/>
      <c r="D197" s="34"/>
      <c r="E197" s="36"/>
      <c r="F197" s="36"/>
      <c r="G197" s="87"/>
    </row>
    <row r="198" spans="1:7" ht="14.25" customHeight="1" x14ac:dyDescent="0.3">
      <c r="A198" s="85"/>
      <c r="B198" s="86"/>
      <c r="C198" s="92"/>
      <c r="D198" s="34"/>
      <c r="E198" s="36"/>
      <c r="F198" s="36"/>
      <c r="G198" s="87"/>
    </row>
    <row r="199" spans="1:7" ht="14.25" customHeight="1" x14ac:dyDescent="0.3">
      <c r="A199" s="85"/>
      <c r="B199" s="86"/>
      <c r="C199" s="92"/>
      <c r="D199" s="34"/>
      <c r="E199" s="36"/>
      <c r="F199" s="36"/>
      <c r="G199" s="87"/>
    </row>
    <row r="200" spans="1:7" ht="14.25" customHeight="1" x14ac:dyDescent="0.3">
      <c r="A200" s="85"/>
      <c r="B200" s="86"/>
      <c r="C200" s="92"/>
      <c r="D200" s="34"/>
      <c r="E200" s="36"/>
      <c r="F200" s="36"/>
      <c r="G200" s="87"/>
    </row>
    <row r="201" spans="1:7" ht="14.25" customHeight="1" x14ac:dyDescent="0.3">
      <c r="A201" s="85"/>
      <c r="B201" s="86"/>
      <c r="C201" s="92"/>
      <c r="D201" s="34"/>
      <c r="E201" s="36"/>
      <c r="F201" s="36"/>
      <c r="G201" s="87"/>
    </row>
    <row r="202" spans="1:7" ht="14.25" customHeight="1" x14ac:dyDescent="0.3">
      <c r="A202" s="85"/>
      <c r="B202" s="86"/>
      <c r="C202" s="92"/>
      <c r="D202" s="34"/>
      <c r="E202" s="36"/>
      <c r="F202" s="36"/>
      <c r="G202" s="87"/>
    </row>
    <row r="203" spans="1:7" ht="14.25" customHeight="1" x14ac:dyDescent="0.3">
      <c r="A203" s="85"/>
      <c r="B203" s="86"/>
      <c r="C203" s="92"/>
      <c r="D203" s="34"/>
      <c r="E203" s="36"/>
      <c r="F203" s="36"/>
      <c r="G203" s="87"/>
    </row>
    <row r="204" spans="1:7" ht="14.25" customHeight="1" x14ac:dyDescent="0.3">
      <c r="A204" s="85"/>
      <c r="B204" s="86"/>
      <c r="C204" s="92"/>
      <c r="D204" s="34"/>
      <c r="E204" s="36"/>
      <c r="F204" s="36"/>
      <c r="G204" s="87"/>
    </row>
    <row r="205" spans="1:7" ht="14.25" customHeight="1" x14ac:dyDescent="0.3">
      <c r="A205" s="85"/>
      <c r="B205" s="86"/>
      <c r="C205" s="92"/>
      <c r="D205" s="34"/>
      <c r="E205" s="36"/>
      <c r="F205" s="36"/>
      <c r="G205" s="87"/>
    </row>
    <row r="206" spans="1:7" ht="14.25" customHeight="1" x14ac:dyDescent="0.3">
      <c r="A206" s="85"/>
      <c r="B206" s="86"/>
      <c r="C206" s="92"/>
      <c r="D206" s="34"/>
      <c r="E206" s="36"/>
      <c r="F206" s="36"/>
      <c r="G206" s="87"/>
    </row>
    <row r="207" spans="1:7" ht="14.25" customHeight="1" x14ac:dyDescent="0.3">
      <c r="A207" s="85"/>
      <c r="B207" s="86"/>
      <c r="C207" s="92"/>
      <c r="D207" s="34"/>
      <c r="E207" s="36"/>
      <c r="F207" s="36"/>
      <c r="G207" s="87"/>
    </row>
    <row r="208" spans="1:7" ht="14.25" customHeight="1" x14ac:dyDescent="0.3">
      <c r="A208" s="85"/>
      <c r="B208" s="86"/>
      <c r="C208" s="92"/>
      <c r="D208" s="34"/>
      <c r="E208" s="36"/>
      <c r="F208" s="36"/>
      <c r="G208" s="87"/>
    </row>
    <row r="209" spans="1:7" ht="14.25" customHeight="1" x14ac:dyDescent="0.3">
      <c r="A209" s="85"/>
      <c r="B209" s="86"/>
      <c r="C209" s="92"/>
      <c r="D209" s="34"/>
      <c r="E209" s="36"/>
      <c r="F209" s="36"/>
      <c r="G209" s="87"/>
    </row>
    <row r="210" spans="1:7" ht="14.25" customHeight="1" x14ac:dyDescent="0.3">
      <c r="A210" s="85"/>
      <c r="B210" s="86"/>
      <c r="C210" s="92"/>
      <c r="D210" s="34"/>
      <c r="E210" s="36"/>
      <c r="F210" s="36"/>
      <c r="G210" s="87"/>
    </row>
    <row r="211" spans="1:7" ht="14.25" customHeight="1" x14ac:dyDescent="0.3">
      <c r="A211" s="85"/>
      <c r="B211" s="86"/>
      <c r="C211" s="92"/>
      <c r="D211" s="34"/>
      <c r="E211" s="36"/>
      <c r="F211" s="36"/>
      <c r="G211" s="87"/>
    </row>
    <row r="212" spans="1:7" ht="14.25" customHeight="1" x14ac:dyDescent="0.3">
      <c r="A212" s="85"/>
      <c r="B212" s="86"/>
      <c r="C212" s="92"/>
      <c r="D212" s="34"/>
      <c r="E212" s="36"/>
      <c r="F212" s="36"/>
      <c r="G212" s="87"/>
    </row>
    <row r="213" spans="1:7" ht="14.25" customHeight="1" x14ac:dyDescent="0.3">
      <c r="A213" s="85"/>
      <c r="B213" s="86"/>
      <c r="C213" s="92"/>
      <c r="D213" s="34"/>
      <c r="E213" s="36"/>
      <c r="F213" s="36"/>
      <c r="G213" s="87"/>
    </row>
    <row r="214" spans="1:7" ht="14.25" customHeight="1" x14ac:dyDescent="0.3">
      <c r="A214" s="85"/>
      <c r="B214" s="86"/>
      <c r="C214" s="92"/>
      <c r="D214" s="34"/>
      <c r="E214" s="36"/>
      <c r="F214" s="36"/>
      <c r="G214" s="87"/>
    </row>
    <row r="215" spans="1:7" ht="14.25" customHeight="1" x14ac:dyDescent="0.3">
      <c r="A215" s="85"/>
      <c r="B215" s="86"/>
      <c r="C215" s="92"/>
      <c r="D215" s="34"/>
      <c r="E215" s="36"/>
      <c r="F215" s="36"/>
      <c r="G215" s="87"/>
    </row>
    <row r="216" spans="1:7" ht="14.25" customHeight="1" x14ac:dyDescent="0.3">
      <c r="A216" s="85"/>
      <c r="B216" s="86"/>
      <c r="C216" s="92"/>
      <c r="D216" s="34"/>
      <c r="E216" s="36"/>
      <c r="F216" s="36"/>
      <c r="G216" s="87"/>
    </row>
    <row r="217" spans="1:7" ht="14.25" customHeight="1" x14ac:dyDescent="0.3">
      <c r="A217" s="85"/>
      <c r="B217" s="86"/>
      <c r="C217" s="92"/>
      <c r="D217" s="34"/>
      <c r="E217" s="36"/>
      <c r="F217" s="36"/>
      <c r="G217" s="87"/>
    </row>
    <row r="218" spans="1:7" ht="14.25" customHeight="1" x14ac:dyDescent="0.3">
      <c r="A218" s="85"/>
      <c r="B218" s="86"/>
      <c r="C218" s="92"/>
      <c r="D218" s="34"/>
      <c r="E218" s="36"/>
      <c r="F218" s="36"/>
      <c r="G218" s="87"/>
    </row>
    <row r="219" spans="1:7" ht="14.25" customHeight="1" x14ac:dyDescent="0.3">
      <c r="A219" s="85"/>
      <c r="B219" s="86"/>
      <c r="C219" s="92"/>
      <c r="D219" s="34"/>
      <c r="E219" s="36"/>
      <c r="F219" s="36"/>
      <c r="G219" s="87"/>
    </row>
    <row r="220" spans="1:7" ht="14.25" customHeight="1" x14ac:dyDescent="0.3">
      <c r="A220" s="85"/>
      <c r="B220" s="86"/>
      <c r="C220" s="92"/>
      <c r="D220" s="34"/>
      <c r="E220" s="36"/>
      <c r="F220" s="36"/>
      <c r="G220" s="87"/>
    </row>
    <row r="221" spans="1:7" ht="14.25" customHeight="1" x14ac:dyDescent="0.3">
      <c r="A221" s="85"/>
      <c r="B221" s="86"/>
      <c r="C221" s="92"/>
      <c r="D221" s="34"/>
      <c r="E221" s="36"/>
      <c r="F221" s="36"/>
      <c r="G221" s="87"/>
    </row>
    <row r="222" spans="1:7" ht="14.25" customHeight="1" x14ac:dyDescent="0.3">
      <c r="A222" s="85"/>
      <c r="B222" s="86"/>
      <c r="C222" s="92"/>
      <c r="D222" s="34"/>
      <c r="E222" s="36"/>
      <c r="F222" s="36"/>
      <c r="G222" s="87"/>
    </row>
    <row r="223" spans="1:7" ht="14.25" customHeight="1" x14ac:dyDescent="0.3">
      <c r="A223" s="85"/>
      <c r="B223" s="86"/>
      <c r="C223" s="92"/>
      <c r="D223" s="34"/>
      <c r="E223" s="36"/>
      <c r="F223" s="36"/>
      <c r="G223" s="87"/>
    </row>
    <row r="224" spans="1:7" ht="14.25" customHeight="1" x14ac:dyDescent="0.3">
      <c r="A224" s="85"/>
      <c r="B224" s="86"/>
      <c r="C224" s="92"/>
      <c r="D224" s="34"/>
      <c r="E224" s="36"/>
      <c r="F224" s="36"/>
      <c r="G224" s="87"/>
    </row>
    <row r="225" spans="1:7" ht="14.25" customHeight="1" x14ac:dyDescent="0.3">
      <c r="A225" s="85"/>
      <c r="B225" s="86"/>
      <c r="C225" s="92"/>
      <c r="D225" s="34"/>
      <c r="E225" s="36"/>
      <c r="F225" s="36"/>
      <c r="G225" s="87"/>
    </row>
    <row r="226" spans="1:7" ht="14.25" customHeight="1" x14ac:dyDescent="0.3">
      <c r="A226" s="85"/>
      <c r="B226" s="86"/>
      <c r="C226" s="92"/>
      <c r="D226" s="34"/>
      <c r="E226" s="36"/>
      <c r="F226" s="36"/>
      <c r="G226" s="87"/>
    </row>
    <row r="227" spans="1:7" ht="14.25" customHeight="1" x14ac:dyDescent="0.3">
      <c r="A227" s="85"/>
      <c r="B227" s="86"/>
      <c r="C227" s="92"/>
      <c r="D227" s="34"/>
      <c r="E227" s="36"/>
      <c r="F227" s="36"/>
      <c r="G227" s="87"/>
    </row>
    <row r="228" spans="1:7" ht="14.25" customHeight="1" x14ac:dyDescent="0.3">
      <c r="A228" s="85"/>
      <c r="B228" s="86"/>
      <c r="C228" s="92"/>
      <c r="D228" s="34"/>
      <c r="E228" s="36"/>
      <c r="F228" s="36"/>
      <c r="G228" s="87"/>
    </row>
    <row r="229" spans="1:7" ht="14.25" customHeight="1" x14ac:dyDescent="0.3">
      <c r="A229" s="85"/>
      <c r="B229" s="86"/>
      <c r="C229" s="92"/>
      <c r="D229" s="34"/>
      <c r="E229" s="36"/>
      <c r="F229" s="36"/>
      <c r="G229" s="87"/>
    </row>
    <row r="230" spans="1:7" ht="14.25" customHeight="1" x14ac:dyDescent="0.3">
      <c r="A230" s="85"/>
      <c r="B230" s="86"/>
      <c r="C230" s="92"/>
      <c r="D230" s="34"/>
      <c r="E230" s="36"/>
      <c r="F230" s="36"/>
      <c r="G230" s="87"/>
    </row>
    <row r="231" spans="1:7" ht="14.25" customHeight="1" x14ac:dyDescent="0.3">
      <c r="A231" s="85"/>
      <c r="B231" s="86"/>
      <c r="C231" s="92"/>
      <c r="D231" s="34"/>
      <c r="E231" s="36"/>
      <c r="F231" s="36"/>
      <c r="G231" s="87"/>
    </row>
    <row r="232" spans="1:7" ht="14.25" customHeight="1" x14ac:dyDescent="0.3">
      <c r="A232" s="85"/>
      <c r="B232" s="86"/>
      <c r="C232" s="92"/>
      <c r="D232" s="34"/>
      <c r="E232" s="36"/>
      <c r="F232" s="36"/>
      <c r="G232" s="87"/>
    </row>
    <row r="233" spans="1:7" ht="14.25" customHeight="1" x14ac:dyDescent="0.3">
      <c r="A233" s="85"/>
      <c r="B233" s="86"/>
      <c r="C233" s="92"/>
      <c r="D233" s="34"/>
      <c r="E233" s="36"/>
      <c r="F233" s="36"/>
      <c r="G233" s="87"/>
    </row>
    <row r="234" spans="1:7" ht="14.25" customHeight="1" x14ac:dyDescent="0.3">
      <c r="A234" s="85"/>
      <c r="B234" s="86"/>
      <c r="C234" s="92"/>
      <c r="D234" s="34"/>
      <c r="E234" s="36"/>
      <c r="F234" s="36"/>
      <c r="G234" s="87"/>
    </row>
    <row r="235" spans="1:7" ht="14.25" customHeight="1" x14ac:dyDescent="0.3">
      <c r="A235" s="85"/>
      <c r="B235" s="86"/>
      <c r="C235" s="92"/>
      <c r="D235" s="34"/>
      <c r="E235" s="36"/>
      <c r="F235" s="36"/>
      <c r="G235" s="87"/>
    </row>
    <row r="236" spans="1:7" ht="14.25" customHeight="1" x14ac:dyDescent="0.3">
      <c r="A236" s="85"/>
      <c r="B236" s="86"/>
      <c r="C236" s="92"/>
      <c r="D236" s="34"/>
      <c r="E236" s="36"/>
      <c r="F236" s="36"/>
      <c r="G236" s="87"/>
    </row>
    <row r="237" spans="1:7" ht="14.25" customHeight="1" x14ac:dyDescent="0.3">
      <c r="A237" s="85"/>
      <c r="B237" s="86"/>
      <c r="C237" s="92"/>
      <c r="D237" s="34"/>
      <c r="E237" s="36"/>
      <c r="F237" s="36"/>
      <c r="G237" s="87"/>
    </row>
    <row r="238" spans="1:7" ht="14.25" customHeight="1" x14ac:dyDescent="0.3">
      <c r="A238" s="85"/>
      <c r="B238" s="86"/>
      <c r="C238" s="92"/>
      <c r="D238" s="34"/>
      <c r="E238" s="36"/>
      <c r="F238" s="36"/>
      <c r="G238" s="87"/>
    </row>
    <row r="239" spans="1:7" ht="14.25" customHeight="1" x14ac:dyDescent="0.3">
      <c r="A239" s="85"/>
      <c r="B239" s="86"/>
      <c r="C239" s="92"/>
      <c r="D239" s="34"/>
      <c r="E239" s="36"/>
      <c r="F239" s="36"/>
      <c r="G239" s="87"/>
    </row>
    <row r="240" spans="1:7" ht="14.25" customHeight="1" x14ac:dyDescent="0.3">
      <c r="A240" s="85"/>
      <c r="B240" s="86"/>
      <c r="C240" s="92"/>
      <c r="D240" s="34"/>
      <c r="E240" s="36"/>
      <c r="F240" s="36"/>
      <c r="G240" s="87"/>
    </row>
    <row r="241" spans="1:7" ht="14.25" customHeight="1" x14ac:dyDescent="0.3">
      <c r="A241" s="85"/>
      <c r="B241" s="86"/>
      <c r="C241" s="92"/>
      <c r="D241" s="34"/>
      <c r="E241" s="36"/>
      <c r="F241" s="36"/>
      <c r="G241" s="87"/>
    </row>
    <row r="242" spans="1:7" ht="14.25" customHeight="1" x14ac:dyDescent="0.3">
      <c r="A242" s="85"/>
      <c r="B242" s="86"/>
      <c r="C242" s="92"/>
      <c r="D242" s="34"/>
      <c r="E242" s="36"/>
      <c r="F242" s="36"/>
      <c r="G242" s="87"/>
    </row>
    <row r="243" spans="1:7" ht="14.25" customHeight="1" x14ac:dyDescent="0.3">
      <c r="A243" s="85"/>
      <c r="B243" s="86"/>
      <c r="C243" s="92"/>
      <c r="D243" s="34"/>
      <c r="E243" s="36"/>
      <c r="F243" s="36"/>
      <c r="G243" s="87"/>
    </row>
    <row r="244" spans="1:7" ht="14.25" customHeight="1" x14ac:dyDescent="0.3">
      <c r="A244" s="85"/>
      <c r="B244" s="86"/>
      <c r="C244" s="92"/>
      <c r="D244" s="34"/>
      <c r="E244" s="36"/>
      <c r="F244" s="36"/>
      <c r="G244" s="87"/>
    </row>
    <row r="245" spans="1:7" ht="14.25" customHeight="1" x14ac:dyDescent="0.3">
      <c r="A245" s="85"/>
      <c r="B245" s="86"/>
      <c r="C245" s="92"/>
      <c r="D245" s="34"/>
      <c r="E245" s="36"/>
      <c r="F245" s="36"/>
      <c r="G245" s="87"/>
    </row>
    <row r="246" spans="1:7" ht="14.25" customHeight="1" x14ac:dyDescent="0.3">
      <c r="A246" s="85"/>
      <c r="B246" s="86"/>
      <c r="C246" s="92"/>
      <c r="D246" s="34"/>
      <c r="E246" s="36"/>
      <c r="F246" s="36"/>
      <c r="G246" s="87"/>
    </row>
    <row r="247" spans="1:7" ht="14.25" customHeight="1" x14ac:dyDescent="0.3">
      <c r="A247" s="85"/>
      <c r="B247" s="86"/>
      <c r="C247" s="92"/>
      <c r="D247" s="34"/>
      <c r="E247" s="36"/>
      <c r="F247" s="36"/>
      <c r="G247" s="87"/>
    </row>
    <row r="248" spans="1:7" ht="14.25" customHeight="1" x14ac:dyDescent="0.3">
      <c r="A248" s="85"/>
      <c r="B248" s="86"/>
      <c r="C248" s="92"/>
      <c r="D248" s="34"/>
      <c r="E248" s="36"/>
      <c r="F248" s="36"/>
      <c r="G248" s="87"/>
    </row>
    <row r="249" spans="1:7" ht="14.25" customHeight="1" x14ac:dyDescent="0.3">
      <c r="A249" s="85"/>
      <c r="B249" s="86"/>
      <c r="C249" s="92"/>
      <c r="D249" s="34"/>
      <c r="E249" s="36"/>
      <c r="F249" s="36"/>
      <c r="G249" s="87"/>
    </row>
    <row r="250" spans="1:7" ht="14.25" customHeight="1" x14ac:dyDescent="0.3">
      <c r="A250" s="85"/>
      <c r="B250" s="86"/>
      <c r="C250" s="92"/>
      <c r="D250" s="34"/>
      <c r="E250" s="36"/>
      <c r="F250" s="36"/>
      <c r="G250" s="87"/>
    </row>
    <row r="251" spans="1:7" ht="14.25" customHeight="1" x14ac:dyDescent="0.3">
      <c r="A251" s="85"/>
      <c r="B251" s="86"/>
      <c r="C251" s="92"/>
      <c r="D251" s="34"/>
      <c r="E251" s="36"/>
      <c r="F251" s="36"/>
      <c r="G251" s="87"/>
    </row>
    <row r="252" spans="1:7" ht="14.25" customHeight="1" x14ac:dyDescent="0.3">
      <c r="A252" s="85"/>
      <c r="B252" s="86"/>
      <c r="C252" s="92"/>
      <c r="D252" s="34"/>
      <c r="E252" s="36"/>
      <c r="F252" s="36"/>
      <c r="G252" s="87"/>
    </row>
    <row r="253" spans="1:7" ht="14.25" customHeight="1" x14ac:dyDescent="0.3">
      <c r="A253" s="85"/>
      <c r="B253" s="86"/>
      <c r="C253" s="92"/>
      <c r="D253" s="34"/>
      <c r="E253" s="36"/>
      <c r="F253" s="36"/>
      <c r="G253" s="87"/>
    </row>
    <row r="254" spans="1:7" ht="14.25" customHeight="1" x14ac:dyDescent="0.3">
      <c r="A254" s="85"/>
      <c r="B254" s="86"/>
      <c r="C254" s="92"/>
      <c r="D254" s="34"/>
      <c r="E254" s="36"/>
      <c r="F254" s="36"/>
      <c r="G254" s="87"/>
    </row>
    <row r="255" spans="1:7" ht="14.25" customHeight="1" x14ac:dyDescent="0.3">
      <c r="A255" s="85"/>
      <c r="B255" s="86"/>
      <c r="C255" s="92"/>
      <c r="D255" s="34"/>
      <c r="E255" s="36"/>
      <c r="F255" s="36"/>
      <c r="G255" s="87"/>
    </row>
    <row r="256" spans="1:7" ht="14.25" customHeight="1" x14ac:dyDescent="0.3">
      <c r="A256" s="85"/>
      <c r="B256" s="86"/>
      <c r="C256" s="92"/>
      <c r="D256" s="34"/>
      <c r="E256" s="36"/>
      <c r="F256" s="36"/>
      <c r="G256" s="87"/>
    </row>
    <row r="257" spans="1:7" ht="14.25" customHeight="1" x14ac:dyDescent="0.3">
      <c r="A257" s="85"/>
      <c r="B257" s="86"/>
      <c r="C257" s="92"/>
      <c r="D257" s="34"/>
      <c r="E257" s="36"/>
      <c r="F257" s="36"/>
      <c r="G257" s="87"/>
    </row>
    <row r="258" spans="1:7" ht="14.25" customHeight="1" x14ac:dyDescent="0.3">
      <c r="A258" s="85"/>
      <c r="B258" s="86"/>
      <c r="C258" s="92"/>
      <c r="D258" s="34"/>
      <c r="E258" s="36"/>
      <c r="F258" s="36"/>
      <c r="G258" s="87"/>
    </row>
    <row r="259" spans="1:7" ht="14.25" customHeight="1" x14ac:dyDescent="0.3">
      <c r="A259" s="85"/>
      <c r="B259" s="86"/>
      <c r="C259" s="92"/>
      <c r="D259" s="34"/>
      <c r="E259" s="36"/>
      <c r="F259" s="36"/>
      <c r="G259" s="87"/>
    </row>
    <row r="260" spans="1:7" ht="14.25" customHeight="1" x14ac:dyDescent="0.3">
      <c r="A260" s="85"/>
      <c r="B260" s="86"/>
      <c r="C260" s="92"/>
      <c r="D260" s="34"/>
      <c r="E260" s="36"/>
      <c r="F260" s="36"/>
      <c r="G260" s="87"/>
    </row>
    <row r="261" spans="1:7" ht="14.25" customHeight="1" x14ac:dyDescent="0.3">
      <c r="A261" s="85"/>
      <c r="B261" s="86"/>
      <c r="C261" s="92"/>
      <c r="D261" s="34"/>
      <c r="E261" s="36"/>
      <c r="F261" s="36"/>
      <c r="G261" s="87"/>
    </row>
    <row r="262" spans="1:7" ht="14.25" customHeight="1" x14ac:dyDescent="0.3">
      <c r="A262" s="85"/>
      <c r="B262" s="86"/>
      <c r="C262" s="92"/>
      <c r="D262" s="34"/>
      <c r="E262" s="36"/>
      <c r="F262" s="36"/>
      <c r="G262" s="87"/>
    </row>
    <row r="263" spans="1:7" ht="14.25" customHeight="1" x14ac:dyDescent="0.3">
      <c r="A263" s="85"/>
      <c r="B263" s="86"/>
      <c r="C263" s="92"/>
      <c r="D263" s="34"/>
      <c r="E263" s="36"/>
      <c r="F263" s="36"/>
      <c r="G263" s="87"/>
    </row>
    <row r="264" spans="1:7" ht="14.25" customHeight="1" x14ac:dyDescent="0.3">
      <c r="A264" s="85"/>
      <c r="B264" s="86"/>
      <c r="C264" s="92"/>
      <c r="D264" s="34"/>
      <c r="E264" s="36"/>
      <c r="F264" s="36"/>
      <c r="G264" s="87"/>
    </row>
    <row r="265" spans="1:7" ht="14.25" customHeight="1" x14ac:dyDescent="0.3">
      <c r="A265" s="85"/>
      <c r="B265" s="86"/>
      <c r="C265" s="92"/>
      <c r="D265" s="34"/>
      <c r="E265" s="36"/>
      <c r="F265" s="36"/>
      <c r="G265" s="87"/>
    </row>
    <row r="266" spans="1:7" ht="14.25" customHeight="1" x14ac:dyDescent="0.3">
      <c r="A266" s="85"/>
      <c r="B266" s="86"/>
      <c r="C266" s="92"/>
      <c r="D266" s="34"/>
      <c r="E266" s="36"/>
      <c r="F266" s="36"/>
      <c r="G266" s="87"/>
    </row>
    <row r="267" spans="1:7" ht="14.25" customHeight="1" x14ac:dyDescent="0.3">
      <c r="A267" s="85"/>
      <c r="B267" s="86"/>
      <c r="C267" s="92"/>
      <c r="D267" s="34"/>
      <c r="E267" s="36"/>
      <c r="F267" s="36"/>
      <c r="G267" s="87"/>
    </row>
    <row r="268" spans="1:7" ht="14.25" customHeight="1" x14ac:dyDescent="0.3">
      <c r="A268" s="85"/>
      <c r="B268" s="86"/>
      <c r="C268" s="92"/>
      <c r="D268" s="34"/>
      <c r="E268" s="36"/>
      <c r="F268" s="36"/>
      <c r="G268" s="87"/>
    </row>
    <row r="269" spans="1:7" ht="14.25" customHeight="1" x14ac:dyDescent="0.3">
      <c r="A269" s="85"/>
      <c r="B269" s="86"/>
      <c r="C269" s="92"/>
      <c r="D269" s="34"/>
      <c r="E269" s="36"/>
      <c r="F269" s="36"/>
      <c r="G269" s="87"/>
    </row>
    <row r="270" spans="1:7" ht="14.25" customHeight="1" x14ac:dyDescent="0.3">
      <c r="A270" s="85"/>
      <c r="B270" s="86"/>
      <c r="C270" s="92"/>
      <c r="D270" s="34"/>
      <c r="E270" s="36"/>
      <c r="F270" s="36"/>
      <c r="G270" s="87"/>
    </row>
    <row r="271" spans="1:7" ht="14.25" customHeight="1" x14ac:dyDescent="0.3">
      <c r="A271" s="85"/>
      <c r="B271" s="86"/>
      <c r="C271" s="92"/>
      <c r="D271" s="34"/>
      <c r="E271" s="36"/>
      <c r="F271" s="36"/>
      <c r="G271" s="87"/>
    </row>
    <row r="272" spans="1:7" ht="14.25" customHeight="1" x14ac:dyDescent="0.3">
      <c r="A272" s="85"/>
      <c r="B272" s="86"/>
      <c r="C272" s="92"/>
      <c r="D272" s="34"/>
      <c r="E272" s="36"/>
      <c r="F272" s="36"/>
      <c r="G272" s="87"/>
    </row>
    <row r="273" spans="1:7" ht="14.25" customHeight="1" x14ac:dyDescent="0.3">
      <c r="A273" s="85"/>
      <c r="B273" s="86"/>
      <c r="C273" s="92"/>
      <c r="D273" s="34"/>
      <c r="E273" s="36"/>
      <c r="F273" s="36"/>
      <c r="G273" s="87"/>
    </row>
    <row r="274" spans="1:7" ht="14.25" customHeight="1" x14ac:dyDescent="0.3">
      <c r="A274" s="85"/>
      <c r="B274" s="86"/>
      <c r="C274" s="92"/>
      <c r="D274" s="34"/>
      <c r="E274" s="36"/>
      <c r="F274" s="36"/>
      <c r="G274" s="87"/>
    </row>
    <row r="275" spans="1:7" ht="14.25" customHeight="1" x14ac:dyDescent="0.3">
      <c r="A275" s="85"/>
      <c r="B275" s="86"/>
      <c r="C275" s="92"/>
      <c r="D275" s="34"/>
      <c r="E275" s="36"/>
      <c r="F275" s="36"/>
      <c r="G275" s="87"/>
    </row>
    <row r="276" spans="1:7" ht="14.25" customHeight="1" x14ac:dyDescent="0.3">
      <c r="A276" s="85"/>
      <c r="B276" s="86"/>
      <c r="C276" s="92"/>
      <c r="D276" s="34"/>
      <c r="E276" s="36"/>
      <c r="F276" s="36"/>
      <c r="G276" s="87"/>
    </row>
    <row r="277" spans="1:7" ht="14.25" customHeight="1" x14ac:dyDescent="0.3">
      <c r="A277" s="85"/>
      <c r="B277" s="86"/>
      <c r="C277" s="92"/>
      <c r="D277" s="34"/>
      <c r="E277" s="36"/>
      <c r="F277" s="36"/>
      <c r="G277" s="87"/>
    </row>
    <row r="278" spans="1:7" ht="14.25" customHeight="1" x14ac:dyDescent="0.3">
      <c r="A278" s="85"/>
      <c r="B278" s="86"/>
      <c r="C278" s="92"/>
      <c r="D278" s="34"/>
      <c r="E278" s="36"/>
      <c r="F278" s="36"/>
      <c r="G278" s="87"/>
    </row>
    <row r="279" spans="1:7" ht="14.25" customHeight="1" x14ac:dyDescent="0.3">
      <c r="A279" s="85"/>
      <c r="B279" s="86"/>
      <c r="C279" s="92"/>
      <c r="D279" s="34"/>
      <c r="E279" s="36"/>
      <c r="F279" s="36"/>
      <c r="G279" s="87"/>
    </row>
    <row r="280" spans="1:7" ht="14.25" customHeight="1" x14ac:dyDescent="0.3">
      <c r="A280" s="85"/>
      <c r="B280" s="86"/>
      <c r="C280" s="92"/>
      <c r="D280" s="34"/>
      <c r="E280" s="36"/>
      <c r="F280" s="36"/>
      <c r="G280" s="87"/>
    </row>
    <row r="281" spans="1:7" ht="14.25" customHeight="1" x14ac:dyDescent="0.3">
      <c r="A281" s="85"/>
      <c r="B281" s="86"/>
      <c r="C281" s="92"/>
      <c r="D281" s="34"/>
      <c r="E281" s="36"/>
      <c r="F281" s="36"/>
      <c r="G281" s="87"/>
    </row>
    <row r="282" spans="1:7" ht="14.25" customHeight="1" x14ac:dyDescent="0.3">
      <c r="A282" s="85"/>
      <c r="B282" s="86"/>
      <c r="C282" s="92"/>
      <c r="D282" s="34"/>
      <c r="E282" s="36"/>
      <c r="F282" s="36"/>
      <c r="G282" s="87"/>
    </row>
    <row r="283" spans="1:7" ht="14.25" customHeight="1" x14ac:dyDescent="0.3">
      <c r="A283" s="85"/>
      <c r="B283" s="86"/>
      <c r="C283" s="92"/>
      <c r="D283" s="34"/>
      <c r="E283" s="36"/>
      <c r="F283" s="36"/>
      <c r="G283" s="87"/>
    </row>
    <row r="284" spans="1:7" ht="14.25" customHeight="1" x14ac:dyDescent="0.3">
      <c r="A284" s="85"/>
      <c r="B284" s="86"/>
      <c r="C284" s="92"/>
      <c r="D284" s="34"/>
      <c r="E284" s="36"/>
      <c r="F284" s="36"/>
      <c r="G284" s="87"/>
    </row>
    <row r="285" spans="1:7" ht="14.25" customHeight="1" x14ac:dyDescent="0.3">
      <c r="A285" s="85"/>
      <c r="B285" s="86"/>
      <c r="C285" s="92"/>
      <c r="D285" s="34"/>
      <c r="E285" s="36"/>
      <c r="F285" s="36"/>
      <c r="G285" s="87"/>
    </row>
    <row r="286" spans="1:7" ht="14.25" customHeight="1" x14ac:dyDescent="0.3">
      <c r="A286" s="85"/>
      <c r="B286" s="86"/>
      <c r="C286" s="92"/>
      <c r="D286" s="34"/>
      <c r="E286" s="36"/>
      <c r="F286" s="36"/>
      <c r="G286" s="87"/>
    </row>
    <row r="287" spans="1:7" ht="14.25" customHeight="1" x14ac:dyDescent="0.3">
      <c r="A287" s="85"/>
      <c r="B287" s="86"/>
      <c r="C287" s="92"/>
      <c r="D287" s="34"/>
      <c r="E287" s="36"/>
      <c r="F287" s="36"/>
      <c r="G287" s="87"/>
    </row>
    <row r="288" spans="1:7" ht="14.25" customHeight="1" x14ac:dyDescent="0.3">
      <c r="A288" s="85"/>
      <c r="B288" s="86"/>
      <c r="C288" s="92"/>
      <c r="D288" s="34"/>
      <c r="E288" s="36"/>
      <c r="F288" s="36"/>
      <c r="G288" s="87"/>
    </row>
    <row r="289" spans="1:7" ht="14.25" customHeight="1" x14ac:dyDescent="0.3">
      <c r="A289" s="85"/>
      <c r="B289" s="86"/>
      <c r="C289" s="92"/>
      <c r="D289" s="34"/>
      <c r="E289" s="36"/>
      <c r="F289" s="36"/>
      <c r="G289" s="87"/>
    </row>
    <row r="290" spans="1:7" ht="14.25" customHeight="1" x14ac:dyDescent="0.3">
      <c r="A290" s="85"/>
      <c r="B290" s="86"/>
      <c r="C290" s="92"/>
      <c r="D290" s="34"/>
      <c r="E290" s="36"/>
      <c r="F290" s="36"/>
      <c r="G290" s="87"/>
    </row>
    <row r="291" spans="1:7" ht="14.25" customHeight="1" x14ac:dyDescent="0.3">
      <c r="A291" s="85"/>
      <c r="B291" s="86"/>
      <c r="C291" s="92"/>
      <c r="D291" s="34"/>
      <c r="E291" s="36"/>
      <c r="F291" s="36"/>
      <c r="G291" s="87"/>
    </row>
    <row r="292" spans="1:7" ht="14.25" customHeight="1" x14ac:dyDescent="0.3">
      <c r="A292" s="85"/>
      <c r="B292" s="86"/>
      <c r="C292" s="92"/>
      <c r="D292" s="34"/>
      <c r="E292" s="36"/>
      <c r="F292" s="36"/>
      <c r="G292" s="87"/>
    </row>
    <row r="293" spans="1:7" ht="14.25" customHeight="1" x14ac:dyDescent="0.3">
      <c r="A293" s="85"/>
      <c r="B293" s="86"/>
      <c r="C293" s="92"/>
      <c r="D293" s="34"/>
      <c r="E293" s="36"/>
      <c r="F293" s="36"/>
      <c r="G293" s="87"/>
    </row>
    <row r="294" spans="1:7" ht="14.25" customHeight="1" x14ac:dyDescent="0.3">
      <c r="A294" s="85"/>
      <c r="B294" s="86"/>
      <c r="C294" s="92"/>
      <c r="D294" s="34"/>
      <c r="E294" s="36"/>
      <c r="F294" s="36"/>
      <c r="G294" s="87"/>
    </row>
    <row r="295" spans="1:7" ht="14.25" customHeight="1" x14ac:dyDescent="0.3">
      <c r="A295" s="85"/>
      <c r="B295" s="86"/>
      <c r="C295" s="92"/>
      <c r="D295" s="34"/>
      <c r="E295" s="36"/>
      <c r="F295" s="36"/>
      <c r="G295" s="87"/>
    </row>
    <row r="296" spans="1:7" ht="14.25" customHeight="1" x14ac:dyDescent="0.3">
      <c r="A296" s="85"/>
      <c r="B296" s="86"/>
      <c r="C296" s="92"/>
      <c r="D296" s="34"/>
      <c r="E296" s="36"/>
      <c r="F296" s="36"/>
      <c r="G296" s="87"/>
    </row>
    <row r="297" spans="1:7" ht="14.25" customHeight="1" x14ac:dyDescent="0.3">
      <c r="A297" s="85"/>
      <c r="B297" s="86"/>
      <c r="C297" s="92"/>
      <c r="D297" s="34"/>
      <c r="E297" s="36"/>
      <c r="F297" s="36"/>
      <c r="G297" s="87"/>
    </row>
    <row r="298" spans="1:7" ht="14.25" customHeight="1" x14ac:dyDescent="0.3">
      <c r="A298" s="85"/>
      <c r="B298" s="86"/>
      <c r="C298" s="92"/>
      <c r="D298" s="34"/>
      <c r="E298" s="36"/>
      <c r="F298" s="36"/>
      <c r="G298" s="87"/>
    </row>
    <row r="299" spans="1:7" ht="14.25" customHeight="1" x14ac:dyDescent="0.3">
      <c r="A299" s="85"/>
      <c r="B299" s="86"/>
      <c r="C299" s="92"/>
      <c r="D299" s="34"/>
      <c r="E299" s="36"/>
      <c r="F299" s="36"/>
      <c r="G299" s="87"/>
    </row>
    <row r="300" spans="1:7" ht="14.25" customHeight="1" x14ac:dyDescent="0.3">
      <c r="A300" s="85"/>
      <c r="B300" s="86"/>
      <c r="C300" s="92"/>
      <c r="D300" s="34"/>
      <c r="E300" s="36"/>
      <c r="F300" s="36"/>
      <c r="G300" s="87"/>
    </row>
    <row r="301" spans="1:7" ht="14.25" customHeight="1" x14ac:dyDescent="0.3">
      <c r="A301" s="85"/>
      <c r="B301" s="86"/>
      <c r="C301" s="92"/>
      <c r="D301" s="34"/>
      <c r="E301" s="36"/>
      <c r="F301" s="36"/>
      <c r="G301" s="87"/>
    </row>
    <row r="302" spans="1:7" ht="14.25" customHeight="1" x14ac:dyDescent="0.3">
      <c r="A302" s="85"/>
      <c r="B302" s="86"/>
      <c r="C302" s="92"/>
      <c r="D302" s="34"/>
      <c r="E302" s="36"/>
      <c r="F302" s="36"/>
      <c r="G302" s="87"/>
    </row>
    <row r="303" spans="1:7" ht="14.25" customHeight="1" x14ac:dyDescent="0.3">
      <c r="A303" s="85"/>
      <c r="B303" s="86"/>
      <c r="C303" s="92"/>
      <c r="D303" s="34"/>
      <c r="E303" s="36"/>
      <c r="F303" s="36"/>
      <c r="G303" s="87"/>
    </row>
    <row r="304" spans="1:7" ht="14.25" customHeight="1" x14ac:dyDescent="0.3">
      <c r="A304" s="85"/>
      <c r="B304" s="86"/>
      <c r="C304" s="92"/>
      <c r="D304" s="34"/>
      <c r="E304" s="36"/>
      <c r="F304" s="36"/>
      <c r="G304" s="87"/>
    </row>
    <row r="305" spans="1:7" ht="14.25" customHeight="1" x14ac:dyDescent="0.3">
      <c r="A305" s="85"/>
      <c r="B305" s="86"/>
      <c r="C305" s="92"/>
      <c r="D305" s="34"/>
      <c r="E305" s="36"/>
      <c r="F305" s="36"/>
      <c r="G305" s="87"/>
    </row>
    <row r="306" spans="1:7" ht="14.25" customHeight="1" x14ac:dyDescent="0.3">
      <c r="A306" s="85"/>
      <c r="B306" s="86"/>
      <c r="C306" s="92"/>
      <c r="D306" s="34"/>
      <c r="E306" s="36"/>
      <c r="F306" s="36"/>
      <c r="G306" s="87"/>
    </row>
    <row r="307" spans="1:7" ht="14.25" customHeight="1" x14ac:dyDescent="0.3">
      <c r="A307" s="85"/>
      <c r="B307" s="86"/>
      <c r="C307" s="92"/>
      <c r="D307" s="34"/>
      <c r="E307" s="36"/>
      <c r="F307" s="36"/>
      <c r="G307" s="87"/>
    </row>
    <row r="308" spans="1:7" ht="14.25" customHeight="1" x14ac:dyDescent="0.3">
      <c r="A308" s="85"/>
      <c r="B308" s="86"/>
      <c r="C308" s="92"/>
      <c r="D308" s="34"/>
      <c r="E308" s="36"/>
      <c r="F308" s="36"/>
      <c r="G308" s="87"/>
    </row>
    <row r="309" spans="1:7" ht="14.25" customHeight="1" x14ac:dyDescent="0.3">
      <c r="A309" s="85"/>
      <c r="B309" s="86"/>
      <c r="C309" s="92"/>
      <c r="D309" s="34"/>
      <c r="E309" s="36"/>
      <c r="F309" s="36"/>
      <c r="G309" s="87"/>
    </row>
    <row r="310" spans="1:7" ht="14.25" customHeight="1" x14ac:dyDescent="0.3">
      <c r="A310" s="85"/>
      <c r="B310" s="86"/>
      <c r="C310" s="92"/>
      <c r="D310" s="34"/>
      <c r="E310" s="36"/>
      <c r="F310" s="36"/>
      <c r="G310" s="87"/>
    </row>
    <row r="311" spans="1:7" ht="14.25" customHeight="1" x14ac:dyDescent="0.3">
      <c r="A311" s="85"/>
      <c r="B311" s="86"/>
      <c r="C311" s="92"/>
      <c r="D311" s="34"/>
      <c r="E311" s="36"/>
      <c r="F311" s="36"/>
      <c r="G311" s="87"/>
    </row>
    <row r="312" spans="1:7" ht="14.25" customHeight="1" x14ac:dyDescent="0.3">
      <c r="A312" s="85"/>
      <c r="B312" s="86"/>
      <c r="C312" s="92"/>
      <c r="D312" s="34"/>
      <c r="E312" s="36"/>
      <c r="F312" s="36"/>
      <c r="G312" s="87"/>
    </row>
    <row r="313" spans="1:7" ht="14.25" customHeight="1" x14ac:dyDescent="0.3">
      <c r="A313" s="85"/>
      <c r="B313" s="86"/>
      <c r="C313" s="92"/>
      <c r="D313" s="34"/>
      <c r="E313" s="36"/>
      <c r="F313" s="36"/>
      <c r="G313" s="87"/>
    </row>
    <row r="314" spans="1:7" ht="14.25" customHeight="1" x14ac:dyDescent="0.3">
      <c r="A314" s="85"/>
      <c r="B314" s="86"/>
      <c r="C314" s="92"/>
      <c r="D314" s="34"/>
      <c r="E314" s="36"/>
      <c r="F314" s="36"/>
      <c r="G314" s="87"/>
    </row>
    <row r="315" spans="1:7" ht="14.25" customHeight="1" x14ac:dyDescent="0.3">
      <c r="A315" s="85"/>
      <c r="B315" s="86"/>
      <c r="C315" s="92"/>
      <c r="D315" s="34"/>
      <c r="E315" s="36"/>
      <c r="F315" s="36"/>
      <c r="G315" s="87"/>
    </row>
    <row r="316" spans="1:7" ht="14.25" customHeight="1" x14ac:dyDescent="0.3">
      <c r="A316" s="85"/>
      <c r="B316" s="86"/>
      <c r="C316" s="92"/>
      <c r="D316" s="34"/>
      <c r="E316" s="36"/>
      <c r="F316" s="36"/>
      <c r="G316" s="87"/>
    </row>
    <row r="317" spans="1:7" ht="14.25" customHeight="1" x14ac:dyDescent="0.3">
      <c r="A317" s="85"/>
      <c r="B317" s="86"/>
      <c r="C317" s="92"/>
      <c r="D317" s="34"/>
      <c r="E317" s="36"/>
      <c r="F317" s="36"/>
      <c r="G317" s="87"/>
    </row>
    <row r="318" spans="1:7" ht="14.25" customHeight="1" x14ac:dyDescent="0.3">
      <c r="A318" s="85"/>
      <c r="B318" s="86"/>
      <c r="C318" s="92"/>
      <c r="D318" s="34"/>
      <c r="E318" s="36"/>
      <c r="F318" s="36"/>
      <c r="G318" s="87"/>
    </row>
    <row r="319" spans="1:7" ht="14.25" customHeight="1" x14ac:dyDescent="0.3">
      <c r="A319" s="85"/>
      <c r="B319" s="86"/>
      <c r="C319" s="92"/>
      <c r="D319" s="34"/>
      <c r="E319" s="36"/>
      <c r="F319" s="36"/>
      <c r="G319" s="87"/>
    </row>
    <row r="320" spans="1:7" ht="14.25" customHeight="1" x14ac:dyDescent="0.3">
      <c r="A320" s="85"/>
      <c r="B320" s="86"/>
      <c r="C320" s="92"/>
      <c r="D320" s="34"/>
      <c r="E320" s="36"/>
      <c r="F320" s="36"/>
      <c r="G320" s="87"/>
    </row>
    <row r="321" spans="1:7" ht="14.25" customHeight="1" x14ac:dyDescent="0.3">
      <c r="A321" s="85"/>
      <c r="B321" s="86"/>
      <c r="C321" s="92"/>
      <c r="D321" s="34"/>
      <c r="E321" s="36"/>
      <c r="F321" s="36"/>
      <c r="G321" s="87"/>
    </row>
    <row r="322" spans="1:7" ht="14.25" customHeight="1" x14ac:dyDescent="0.3">
      <c r="A322" s="85"/>
      <c r="B322" s="86"/>
      <c r="C322" s="92"/>
      <c r="D322" s="34"/>
      <c r="E322" s="36"/>
      <c r="F322" s="36"/>
      <c r="G322" s="87"/>
    </row>
    <row r="323" spans="1:7" ht="14.25" customHeight="1" x14ac:dyDescent="0.3">
      <c r="A323" s="85"/>
      <c r="B323" s="86"/>
      <c r="C323" s="92"/>
      <c r="D323" s="34"/>
      <c r="E323" s="36"/>
      <c r="F323" s="36"/>
      <c r="G323" s="87"/>
    </row>
    <row r="324" spans="1:7" ht="14.25" customHeight="1" x14ac:dyDescent="0.3">
      <c r="A324" s="85"/>
      <c r="B324" s="86"/>
      <c r="C324" s="92"/>
      <c r="D324" s="34"/>
      <c r="E324" s="36"/>
      <c r="F324" s="36"/>
      <c r="G324" s="87"/>
    </row>
    <row r="325" spans="1:7" ht="14.25" customHeight="1" x14ac:dyDescent="0.3">
      <c r="A325" s="85"/>
      <c r="B325" s="86"/>
      <c r="C325" s="92"/>
      <c r="D325" s="34"/>
      <c r="E325" s="36"/>
      <c r="F325" s="36"/>
      <c r="G325" s="87"/>
    </row>
    <row r="326" spans="1:7" ht="14.25" customHeight="1" x14ac:dyDescent="0.3">
      <c r="A326" s="85"/>
      <c r="B326" s="86"/>
      <c r="C326" s="92"/>
      <c r="D326" s="34"/>
      <c r="E326" s="36"/>
      <c r="F326" s="36"/>
      <c r="G326" s="87"/>
    </row>
    <row r="327" spans="1:7" ht="14.25" customHeight="1" x14ac:dyDescent="0.3">
      <c r="A327" s="85"/>
      <c r="B327" s="86"/>
      <c r="C327" s="92"/>
      <c r="D327" s="34"/>
      <c r="E327" s="36"/>
      <c r="F327" s="36"/>
      <c r="G327" s="87"/>
    </row>
    <row r="328" spans="1:7" ht="14.25" customHeight="1" x14ac:dyDescent="0.3">
      <c r="A328" s="85"/>
      <c r="B328" s="86"/>
      <c r="C328" s="92"/>
      <c r="D328" s="34"/>
      <c r="E328" s="36"/>
      <c r="F328" s="36"/>
      <c r="G328" s="87"/>
    </row>
    <row r="329" spans="1:7" ht="14.25" customHeight="1" x14ac:dyDescent="0.3">
      <c r="A329" s="85"/>
      <c r="B329" s="86"/>
      <c r="C329" s="92"/>
      <c r="D329" s="34"/>
      <c r="E329" s="36"/>
      <c r="F329" s="36"/>
      <c r="G329" s="87"/>
    </row>
    <row r="330" spans="1:7" ht="14.25" customHeight="1" x14ac:dyDescent="0.3">
      <c r="A330" s="85"/>
      <c r="B330" s="86"/>
      <c r="C330" s="92"/>
      <c r="D330" s="34"/>
      <c r="E330" s="36"/>
      <c r="F330" s="36"/>
      <c r="G330" s="87"/>
    </row>
    <row r="331" spans="1:7" ht="14.25" customHeight="1" x14ac:dyDescent="0.3">
      <c r="A331" s="85"/>
      <c r="B331" s="86"/>
      <c r="C331" s="92"/>
      <c r="D331" s="34"/>
      <c r="E331" s="36"/>
      <c r="F331" s="36"/>
      <c r="G331" s="87"/>
    </row>
    <row r="332" spans="1:7" ht="14.25" customHeight="1" x14ac:dyDescent="0.3">
      <c r="A332" s="85"/>
      <c r="B332" s="86"/>
      <c r="C332" s="92"/>
      <c r="D332" s="34"/>
      <c r="E332" s="36"/>
      <c r="F332" s="36"/>
      <c r="G332" s="87"/>
    </row>
    <row r="333" spans="1:7" ht="14.25" customHeight="1" x14ac:dyDescent="0.3">
      <c r="A333" s="85"/>
      <c r="B333" s="86"/>
      <c r="C333" s="92"/>
      <c r="D333" s="34"/>
      <c r="E333" s="36"/>
      <c r="F333" s="36"/>
      <c r="G333" s="87"/>
    </row>
    <row r="334" spans="1:7" ht="14.25" customHeight="1" x14ac:dyDescent="0.3">
      <c r="A334" s="85"/>
      <c r="B334" s="86"/>
      <c r="C334" s="92"/>
      <c r="D334" s="34"/>
      <c r="E334" s="36"/>
      <c r="F334" s="36"/>
      <c r="G334" s="87"/>
    </row>
    <row r="335" spans="1:7" ht="14.25" customHeight="1" x14ac:dyDescent="0.3">
      <c r="A335" s="85"/>
      <c r="B335" s="86"/>
      <c r="C335" s="92"/>
      <c r="D335" s="34"/>
      <c r="E335" s="36"/>
      <c r="F335" s="36"/>
      <c r="G335" s="87"/>
    </row>
    <row r="336" spans="1:7" ht="14.25" customHeight="1" x14ac:dyDescent="0.3">
      <c r="A336" s="85"/>
      <c r="B336" s="86"/>
      <c r="C336" s="92"/>
      <c r="D336" s="34"/>
      <c r="E336" s="36"/>
      <c r="F336" s="36"/>
      <c r="G336" s="87"/>
    </row>
    <row r="337" spans="1:7" ht="14.25" customHeight="1" x14ac:dyDescent="0.3">
      <c r="A337" s="85"/>
      <c r="B337" s="86"/>
      <c r="C337" s="92"/>
      <c r="D337" s="34"/>
      <c r="E337" s="36"/>
      <c r="F337" s="36"/>
      <c r="G337" s="87"/>
    </row>
    <row r="338" spans="1:7" ht="14.25" customHeight="1" x14ac:dyDescent="0.3">
      <c r="A338" s="85"/>
      <c r="B338" s="86"/>
      <c r="C338" s="92"/>
      <c r="D338" s="34"/>
      <c r="E338" s="36"/>
      <c r="F338" s="36"/>
      <c r="G338" s="87"/>
    </row>
    <row r="339" spans="1:7" ht="14.25" customHeight="1" x14ac:dyDescent="0.3">
      <c r="A339" s="85"/>
      <c r="B339" s="86"/>
      <c r="C339" s="92"/>
      <c r="D339" s="34"/>
      <c r="E339" s="36"/>
      <c r="F339" s="36"/>
      <c r="G339" s="87"/>
    </row>
    <row r="340" spans="1:7" ht="14.25" customHeight="1" x14ac:dyDescent="0.3">
      <c r="A340" s="85"/>
      <c r="B340" s="86"/>
      <c r="C340" s="92"/>
      <c r="D340" s="34"/>
      <c r="E340" s="36"/>
      <c r="F340" s="36"/>
      <c r="G340" s="87"/>
    </row>
    <row r="341" spans="1:7" ht="14.25" customHeight="1" x14ac:dyDescent="0.3">
      <c r="A341" s="85"/>
      <c r="B341" s="86"/>
      <c r="C341" s="92"/>
      <c r="D341" s="34"/>
      <c r="E341" s="36"/>
      <c r="F341" s="36"/>
      <c r="G341" s="87"/>
    </row>
    <row r="342" spans="1:7" ht="14.25" customHeight="1" x14ac:dyDescent="0.3">
      <c r="A342" s="85"/>
      <c r="B342" s="86"/>
      <c r="C342" s="92"/>
      <c r="D342" s="34"/>
      <c r="E342" s="36"/>
      <c r="F342" s="36"/>
      <c r="G342" s="87"/>
    </row>
    <row r="343" spans="1:7" ht="14.25" customHeight="1" x14ac:dyDescent="0.3">
      <c r="A343" s="85"/>
      <c r="B343" s="86"/>
      <c r="C343" s="92"/>
      <c r="D343" s="34"/>
      <c r="E343" s="36"/>
      <c r="F343" s="36"/>
      <c r="G343" s="87"/>
    </row>
    <row r="344" spans="1:7" ht="14.25" customHeight="1" x14ac:dyDescent="0.3">
      <c r="A344" s="85"/>
      <c r="B344" s="86"/>
      <c r="C344" s="92"/>
      <c r="D344" s="34"/>
      <c r="E344" s="36"/>
      <c r="F344" s="36"/>
      <c r="G344" s="87"/>
    </row>
    <row r="345" spans="1:7" ht="14.25" customHeight="1" x14ac:dyDescent="0.3">
      <c r="A345" s="85"/>
      <c r="B345" s="86"/>
      <c r="C345" s="92"/>
      <c r="D345" s="34"/>
      <c r="E345" s="36"/>
      <c r="F345" s="36"/>
      <c r="G345" s="87"/>
    </row>
    <row r="346" spans="1:7" ht="14.25" customHeight="1" x14ac:dyDescent="0.3">
      <c r="A346" s="85"/>
      <c r="B346" s="86"/>
      <c r="C346" s="92"/>
      <c r="D346" s="34"/>
      <c r="E346" s="36"/>
      <c r="F346" s="36"/>
      <c r="G346" s="87"/>
    </row>
    <row r="347" spans="1:7" ht="14.25" customHeight="1" x14ac:dyDescent="0.3">
      <c r="A347" s="85"/>
      <c r="B347" s="86"/>
      <c r="C347" s="92"/>
      <c r="D347" s="34"/>
      <c r="E347" s="36"/>
      <c r="F347" s="36"/>
      <c r="G347" s="87"/>
    </row>
    <row r="348" spans="1:7" ht="14.25" customHeight="1" x14ac:dyDescent="0.3">
      <c r="A348" s="85"/>
      <c r="B348" s="86"/>
      <c r="C348" s="92"/>
      <c r="D348" s="34"/>
      <c r="E348" s="36"/>
      <c r="F348" s="36"/>
      <c r="G348" s="87"/>
    </row>
    <row r="349" spans="1:7" ht="14.25" customHeight="1" x14ac:dyDescent="0.3">
      <c r="A349" s="85"/>
      <c r="B349" s="86"/>
      <c r="C349" s="92"/>
      <c r="D349" s="34"/>
      <c r="E349" s="36"/>
      <c r="F349" s="36"/>
      <c r="G349" s="87"/>
    </row>
    <row r="350" spans="1:7" ht="14.25" customHeight="1" x14ac:dyDescent="0.3">
      <c r="A350" s="85"/>
      <c r="B350" s="86"/>
      <c r="C350" s="92"/>
      <c r="D350" s="34"/>
      <c r="E350" s="36"/>
      <c r="F350" s="36"/>
      <c r="G350" s="87"/>
    </row>
    <row r="351" spans="1:7" ht="14.25" customHeight="1" x14ac:dyDescent="0.3">
      <c r="A351" s="85"/>
      <c r="B351" s="86"/>
      <c r="C351" s="92"/>
      <c r="D351" s="34"/>
      <c r="E351" s="36"/>
      <c r="F351" s="36"/>
      <c r="G351" s="87"/>
    </row>
    <row r="352" spans="1:7" ht="14.25" customHeight="1" x14ac:dyDescent="0.3">
      <c r="A352" s="85"/>
      <c r="B352" s="86"/>
      <c r="C352" s="92"/>
      <c r="D352" s="34"/>
      <c r="E352" s="36"/>
      <c r="F352" s="36"/>
      <c r="G352" s="87"/>
    </row>
    <row r="353" spans="1:7" ht="14.25" customHeight="1" x14ac:dyDescent="0.3">
      <c r="A353" s="85"/>
      <c r="B353" s="86"/>
      <c r="C353" s="92"/>
      <c r="D353" s="34"/>
      <c r="E353" s="36"/>
      <c r="F353" s="36"/>
      <c r="G353" s="87"/>
    </row>
    <row r="354" spans="1:7" ht="14.25" customHeight="1" x14ac:dyDescent="0.3">
      <c r="A354" s="85"/>
      <c r="B354" s="86"/>
      <c r="C354" s="92"/>
      <c r="D354" s="34"/>
      <c r="E354" s="36"/>
      <c r="F354" s="36"/>
      <c r="G354" s="87"/>
    </row>
    <row r="355" spans="1:7" ht="14.25" customHeight="1" x14ac:dyDescent="0.3">
      <c r="A355" s="85"/>
      <c r="B355" s="86"/>
      <c r="C355" s="92"/>
      <c r="D355" s="34"/>
      <c r="E355" s="36"/>
      <c r="F355" s="36"/>
      <c r="G355" s="87"/>
    </row>
    <row r="356" spans="1:7" ht="14.25" customHeight="1" x14ac:dyDescent="0.3">
      <c r="A356" s="85"/>
      <c r="B356" s="86"/>
      <c r="C356" s="92"/>
      <c r="D356" s="34"/>
      <c r="E356" s="36"/>
      <c r="F356" s="36"/>
      <c r="G356" s="87"/>
    </row>
    <row r="357" spans="1:7" ht="14.25" customHeight="1" x14ac:dyDescent="0.3">
      <c r="A357" s="85"/>
      <c r="B357" s="86"/>
      <c r="C357" s="92"/>
      <c r="D357" s="34"/>
      <c r="E357" s="36"/>
      <c r="F357" s="36"/>
      <c r="G357" s="87"/>
    </row>
    <row r="358" spans="1:7" ht="14.25" customHeight="1" x14ac:dyDescent="0.3">
      <c r="A358" s="85"/>
      <c r="B358" s="86"/>
      <c r="C358" s="92"/>
      <c r="D358" s="34"/>
      <c r="E358" s="36"/>
      <c r="F358" s="36"/>
      <c r="G358" s="87"/>
    </row>
    <row r="359" spans="1:7" ht="14.25" customHeight="1" x14ac:dyDescent="0.3">
      <c r="A359" s="85"/>
      <c r="B359" s="86"/>
      <c r="C359" s="92"/>
      <c r="D359" s="34"/>
      <c r="E359" s="36"/>
      <c r="F359" s="36"/>
      <c r="G359" s="87"/>
    </row>
    <row r="360" spans="1:7" ht="14.25" customHeight="1" x14ac:dyDescent="0.3">
      <c r="A360" s="85"/>
      <c r="B360" s="86"/>
      <c r="C360" s="92"/>
      <c r="D360" s="34"/>
      <c r="E360" s="36"/>
      <c r="F360" s="36"/>
      <c r="G360" s="87"/>
    </row>
    <row r="361" spans="1:7" ht="14.25" customHeight="1" x14ac:dyDescent="0.3">
      <c r="A361" s="85"/>
      <c r="B361" s="86"/>
      <c r="C361" s="92"/>
      <c r="D361" s="34"/>
      <c r="E361" s="36"/>
      <c r="F361" s="36"/>
      <c r="G361" s="87"/>
    </row>
    <row r="362" spans="1:7" ht="14.25" customHeight="1" x14ac:dyDescent="0.3">
      <c r="A362" s="85"/>
      <c r="B362" s="86"/>
      <c r="C362" s="92"/>
      <c r="D362" s="34"/>
      <c r="E362" s="36"/>
      <c r="F362" s="36"/>
      <c r="G362" s="87"/>
    </row>
    <row r="363" spans="1:7" ht="14.25" customHeight="1" x14ac:dyDescent="0.3">
      <c r="A363" s="85"/>
      <c r="B363" s="86"/>
      <c r="C363" s="92"/>
      <c r="D363" s="34"/>
      <c r="E363" s="36"/>
      <c r="F363" s="36"/>
      <c r="G363" s="87"/>
    </row>
    <row r="364" spans="1:7" ht="14.25" customHeight="1" x14ac:dyDescent="0.3">
      <c r="A364" s="85"/>
      <c r="B364" s="86"/>
      <c r="C364" s="92"/>
      <c r="D364" s="34"/>
      <c r="E364" s="36"/>
      <c r="F364" s="36"/>
      <c r="G364" s="87"/>
    </row>
    <row r="365" spans="1:7" ht="14.25" customHeight="1" x14ac:dyDescent="0.3">
      <c r="A365" s="85"/>
      <c r="B365" s="86"/>
      <c r="C365" s="92"/>
      <c r="D365" s="34"/>
      <c r="E365" s="36"/>
      <c r="F365" s="36"/>
      <c r="G365" s="87"/>
    </row>
    <row r="366" spans="1:7" ht="14.25" customHeight="1" x14ac:dyDescent="0.3">
      <c r="A366" s="85"/>
      <c r="B366" s="86"/>
      <c r="C366" s="92"/>
      <c r="D366" s="34"/>
      <c r="E366" s="36"/>
      <c r="F366" s="36"/>
      <c r="G366" s="87"/>
    </row>
    <row r="367" spans="1:7" ht="14.25" customHeight="1" x14ac:dyDescent="0.3">
      <c r="A367" s="85"/>
      <c r="B367" s="86"/>
      <c r="C367" s="92"/>
      <c r="D367" s="34"/>
      <c r="E367" s="36"/>
      <c r="F367" s="36"/>
      <c r="G367" s="87"/>
    </row>
    <row r="368" spans="1:7" ht="14.25" customHeight="1" x14ac:dyDescent="0.3">
      <c r="A368" s="85"/>
      <c r="B368" s="86"/>
      <c r="C368" s="92"/>
      <c r="D368" s="34"/>
      <c r="E368" s="36"/>
      <c r="F368" s="36"/>
      <c r="G368" s="87"/>
    </row>
    <row r="369" spans="1:7" ht="14.25" customHeight="1" x14ac:dyDescent="0.3">
      <c r="A369" s="85"/>
      <c r="B369" s="86"/>
      <c r="C369" s="92"/>
      <c r="D369" s="34"/>
      <c r="E369" s="36"/>
      <c r="F369" s="36"/>
      <c r="G369" s="87"/>
    </row>
    <row r="370" spans="1:7" ht="14.25" customHeight="1" x14ac:dyDescent="0.3">
      <c r="A370" s="85"/>
      <c r="B370" s="86"/>
      <c r="C370" s="92"/>
      <c r="D370" s="34"/>
      <c r="E370" s="36"/>
      <c r="F370" s="36"/>
      <c r="G370" s="87"/>
    </row>
    <row r="371" spans="1:7" ht="14.25" customHeight="1" x14ac:dyDescent="0.3">
      <c r="A371" s="85"/>
      <c r="B371" s="86"/>
      <c r="C371" s="92"/>
      <c r="D371" s="34"/>
      <c r="E371" s="36"/>
      <c r="F371" s="36"/>
      <c r="G371" s="87"/>
    </row>
    <row r="372" spans="1:7" ht="14.25" customHeight="1" x14ac:dyDescent="0.3">
      <c r="A372" s="85"/>
      <c r="B372" s="86"/>
      <c r="C372" s="92"/>
      <c r="D372" s="34"/>
      <c r="E372" s="36"/>
      <c r="F372" s="36"/>
      <c r="G372" s="87"/>
    </row>
    <row r="373" spans="1:7" ht="14.25" customHeight="1" x14ac:dyDescent="0.3">
      <c r="A373" s="85"/>
      <c r="B373" s="86"/>
      <c r="C373" s="92"/>
      <c r="D373" s="34"/>
      <c r="E373" s="36"/>
      <c r="F373" s="36"/>
      <c r="G373" s="87"/>
    </row>
    <row r="374" spans="1:7" ht="14.25" customHeight="1" x14ac:dyDescent="0.3">
      <c r="A374" s="85"/>
      <c r="B374" s="86"/>
      <c r="C374" s="92"/>
      <c r="D374" s="34"/>
      <c r="E374" s="36"/>
      <c r="F374" s="36"/>
      <c r="G374" s="87"/>
    </row>
    <row r="375" spans="1:7" ht="14.25" customHeight="1" x14ac:dyDescent="0.3">
      <c r="A375" s="85"/>
      <c r="B375" s="86"/>
      <c r="C375" s="92"/>
      <c r="D375" s="34"/>
      <c r="E375" s="36"/>
      <c r="F375" s="36"/>
      <c r="G375" s="87"/>
    </row>
    <row r="376" spans="1:7" ht="14.25" customHeight="1" x14ac:dyDescent="0.3">
      <c r="A376" s="85"/>
      <c r="B376" s="86"/>
      <c r="C376" s="92"/>
      <c r="D376" s="34"/>
      <c r="E376" s="36"/>
      <c r="F376" s="36"/>
      <c r="G376" s="87"/>
    </row>
    <row r="377" spans="1:7" ht="14.25" customHeight="1" x14ac:dyDescent="0.3">
      <c r="A377" s="85"/>
      <c r="B377" s="86"/>
      <c r="C377" s="92"/>
      <c r="D377" s="34"/>
      <c r="E377" s="36"/>
      <c r="F377" s="36"/>
      <c r="G377" s="87"/>
    </row>
    <row r="378" spans="1:7" ht="14.25" customHeight="1" x14ac:dyDescent="0.3">
      <c r="A378" s="85"/>
      <c r="B378" s="86"/>
      <c r="C378" s="92"/>
      <c r="D378" s="34"/>
      <c r="E378" s="36"/>
      <c r="F378" s="36"/>
      <c r="G378" s="87"/>
    </row>
    <row r="379" spans="1:7" ht="14.25" customHeight="1" x14ac:dyDescent="0.3">
      <c r="A379" s="85"/>
      <c r="B379" s="86"/>
      <c r="C379" s="92"/>
      <c r="D379" s="34"/>
      <c r="E379" s="36"/>
      <c r="F379" s="36"/>
      <c r="G379" s="87"/>
    </row>
    <row r="380" spans="1:7" ht="14.25" customHeight="1" x14ac:dyDescent="0.3">
      <c r="A380" s="85"/>
      <c r="B380" s="86"/>
      <c r="C380" s="92"/>
      <c r="D380" s="34"/>
      <c r="E380" s="36"/>
      <c r="F380" s="36"/>
      <c r="G380" s="87"/>
    </row>
    <row r="381" spans="1:7" ht="14.25" customHeight="1" x14ac:dyDescent="0.3">
      <c r="A381" s="85"/>
      <c r="B381" s="86"/>
      <c r="C381" s="92"/>
      <c r="D381" s="34"/>
      <c r="E381" s="36"/>
      <c r="F381" s="36"/>
      <c r="G381" s="87"/>
    </row>
    <row r="382" spans="1:7" ht="14.25" customHeight="1" x14ac:dyDescent="0.3">
      <c r="A382" s="85"/>
      <c r="B382" s="86"/>
      <c r="C382" s="92"/>
      <c r="D382" s="34"/>
      <c r="E382" s="36"/>
      <c r="F382" s="36"/>
      <c r="G382" s="87"/>
    </row>
    <row r="383" spans="1:7" ht="14.25" customHeight="1" x14ac:dyDescent="0.3">
      <c r="A383" s="85"/>
      <c r="B383" s="86"/>
      <c r="C383" s="92"/>
      <c r="D383" s="34"/>
      <c r="E383" s="36"/>
      <c r="F383" s="36"/>
      <c r="G383" s="87"/>
    </row>
    <row r="384" spans="1:7" ht="14.25" customHeight="1" x14ac:dyDescent="0.3">
      <c r="A384" s="85"/>
      <c r="B384" s="86"/>
      <c r="C384" s="92"/>
      <c r="D384" s="34"/>
      <c r="E384" s="36"/>
      <c r="F384" s="36"/>
      <c r="G384" s="87"/>
    </row>
    <row r="385" spans="1:7" ht="14.25" customHeight="1" x14ac:dyDescent="0.3">
      <c r="A385" s="85"/>
      <c r="B385" s="86"/>
      <c r="C385" s="92"/>
      <c r="D385" s="34"/>
      <c r="E385" s="36"/>
      <c r="F385" s="36"/>
      <c r="G385" s="87"/>
    </row>
    <row r="386" spans="1:7" ht="14.25" customHeight="1" x14ac:dyDescent="0.3">
      <c r="A386" s="85"/>
      <c r="B386" s="86"/>
      <c r="C386" s="92"/>
      <c r="D386" s="34"/>
      <c r="E386" s="36"/>
      <c r="F386" s="36"/>
      <c r="G386" s="87"/>
    </row>
    <row r="387" spans="1:7" ht="14.25" customHeight="1" x14ac:dyDescent="0.3">
      <c r="A387" s="85"/>
      <c r="B387" s="86"/>
      <c r="C387" s="92"/>
      <c r="D387" s="34"/>
      <c r="E387" s="36"/>
      <c r="F387" s="36"/>
      <c r="G387" s="87"/>
    </row>
    <row r="388" spans="1:7" ht="14.25" customHeight="1" x14ac:dyDescent="0.3">
      <c r="A388" s="85"/>
      <c r="B388" s="86"/>
      <c r="C388" s="92"/>
      <c r="D388" s="34"/>
      <c r="E388" s="36"/>
      <c r="F388" s="36"/>
      <c r="G388" s="87"/>
    </row>
    <row r="389" spans="1:7" ht="14.25" customHeight="1" x14ac:dyDescent="0.3">
      <c r="A389" s="85"/>
      <c r="B389" s="86"/>
      <c r="C389" s="92"/>
      <c r="D389" s="34"/>
      <c r="E389" s="36"/>
      <c r="F389" s="36"/>
      <c r="G389" s="87"/>
    </row>
    <row r="390" spans="1:7" ht="14.25" customHeight="1" x14ac:dyDescent="0.3">
      <c r="A390" s="85"/>
      <c r="B390" s="86"/>
      <c r="C390" s="92"/>
      <c r="D390" s="34"/>
      <c r="E390" s="36"/>
      <c r="F390" s="36"/>
      <c r="G390" s="87"/>
    </row>
    <row r="391" spans="1:7" ht="14.25" customHeight="1" x14ac:dyDescent="0.3">
      <c r="A391" s="85"/>
      <c r="B391" s="86"/>
      <c r="C391" s="92"/>
      <c r="D391" s="34"/>
      <c r="E391" s="36"/>
      <c r="F391" s="36"/>
      <c r="G391" s="87"/>
    </row>
    <row r="392" spans="1:7" ht="14.25" customHeight="1" x14ac:dyDescent="0.3">
      <c r="A392" s="85"/>
      <c r="B392" s="86"/>
      <c r="C392" s="92"/>
      <c r="D392" s="34"/>
      <c r="E392" s="36"/>
      <c r="F392" s="36"/>
      <c r="G392" s="87"/>
    </row>
    <row r="393" spans="1:7" ht="14.25" customHeight="1" x14ac:dyDescent="0.3">
      <c r="A393" s="85"/>
      <c r="B393" s="86"/>
      <c r="C393" s="92"/>
      <c r="D393" s="34"/>
      <c r="E393" s="36"/>
      <c r="F393" s="36"/>
      <c r="G393" s="87"/>
    </row>
    <row r="394" spans="1:7" ht="14.25" customHeight="1" x14ac:dyDescent="0.3">
      <c r="A394" s="85"/>
      <c r="B394" s="86"/>
      <c r="C394" s="92"/>
      <c r="D394" s="34"/>
      <c r="E394" s="36"/>
      <c r="F394" s="36"/>
      <c r="G394" s="87"/>
    </row>
    <row r="395" spans="1:7" ht="14.25" customHeight="1" x14ac:dyDescent="0.3">
      <c r="A395" s="85"/>
      <c r="B395" s="86"/>
      <c r="C395" s="92"/>
      <c r="D395" s="34"/>
      <c r="E395" s="36"/>
      <c r="F395" s="36"/>
      <c r="G395" s="87"/>
    </row>
    <row r="396" spans="1:7" ht="14.25" customHeight="1" x14ac:dyDescent="0.3">
      <c r="A396" s="85"/>
      <c r="B396" s="86"/>
      <c r="C396" s="92"/>
      <c r="D396" s="34"/>
      <c r="E396" s="36"/>
      <c r="F396" s="36"/>
      <c r="G396" s="87"/>
    </row>
    <row r="397" spans="1:7" ht="14.25" customHeight="1" x14ac:dyDescent="0.3">
      <c r="A397" s="85"/>
      <c r="B397" s="86"/>
      <c r="C397" s="92"/>
      <c r="D397" s="34"/>
      <c r="E397" s="36"/>
      <c r="F397" s="36"/>
      <c r="G397" s="87"/>
    </row>
    <row r="398" spans="1:7" ht="14.25" customHeight="1" x14ac:dyDescent="0.3">
      <c r="A398" s="85"/>
      <c r="B398" s="86"/>
      <c r="C398" s="92"/>
      <c r="D398" s="34"/>
      <c r="E398" s="36"/>
      <c r="F398" s="36"/>
      <c r="G398" s="87"/>
    </row>
    <row r="399" spans="1:7" ht="14.25" customHeight="1" x14ac:dyDescent="0.3">
      <c r="A399" s="85"/>
      <c r="B399" s="86"/>
      <c r="C399" s="92"/>
      <c r="D399" s="34"/>
      <c r="E399" s="36"/>
      <c r="F399" s="36"/>
      <c r="G399" s="87"/>
    </row>
    <row r="400" spans="1:7" ht="14.25" customHeight="1" x14ac:dyDescent="0.3">
      <c r="A400" s="85"/>
      <c r="B400" s="86"/>
      <c r="C400" s="92"/>
      <c r="D400" s="34"/>
      <c r="E400" s="36"/>
      <c r="F400" s="36"/>
      <c r="G400" s="87"/>
    </row>
    <row r="401" spans="1:7" ht="14.25" customHeight="1" x14ac:dyDescent="0.3">
      <c r="A401" s="85"/>
      <c r="B401" s="86"/>
      <c r="C401" s="92"/>
      <c r="D401" s="34"/>
      <c r="E401" s="36"/>
      <c r="F401" s="36"/>
      <c r="G401" s="87"/>
    </row>
    <row r="402" spans="1:7" ht="14.25" customHeight="1" x14ac:dyDescent="0.3">
      <c r="A402" s="85"/>
      <c r="B402" s="86"/>
      <c r="C402" s="92"/>
      <c r="D402" s="34"/>
      <c r="E402" s="36"/>
      <c r="F402" s="36"/>
      <c r="G402" s="87"/>
    </row>
    <row r="403" spans="1:7" ht="14.25" customHeight="1" x14ac:dyDescent="0.3">
      <c r="A403" s="85"/>
      <c r="B403" s="86"/>
      <c r="C403" s="92"/>
      <c r="D403" s="34"/>
      <c r="E403" s="36"/>
      <c r="F403" s="36"/>
      <c r="G403" s="87"/>
    </row>
    <row r="404" spans="1:7" ht="14.25" customHeight="1" x14ac:dyDescent="0.3">
      <c r="A404" s="85"/>
      <c r="B404" s="86"/>
      <c r="C404" s="92"/>
      <c r="D404" s="34"/>
      <c r="E404" s="36"/>
      <c r="F404" s="36"/>
      <c r="G404" s="87"/>
    </row>
    <row r="405" spans="1:7" ht="14.25" customHeight="1" x14ac:dyDescent="0.3">
      <c r="A405" s="85"/>
      <c r="B405" s="86"/>
      <c r="C405" s="92"/>
      <c r="D405" s="34"/>
      <c r="E405" s="36"/>
      <c r="F405" s="36"/>
      <c r="G405" s="87"/>
    </row>
    <row r="406" spans="1:7" ht="14.25" customHeight="1" x14ac:dyDescent="0.3">
      <c r="A406" s="85"/>
      <c r="B406" s="86"/>
      <c r="C406" s="92"/>
      <c r="D406" s="34"/>
      <c r="E406" s="36"/>
      <c r="F406" s="36"/>
      <c r="G406" s="87"/>
    </row>
    <row r="407" spans="1:7" ht="14.25" customHeight="1" x14ac:dyDescent="0.3">
      <c r="A407" s="85"/>
      <c r="B407" s="86"/>
      <c r="C407" s="92"/>
      <c r="D407" s="34"/>
      <c r="E407" s="36"/>
      <c r="F407" s="36"/>
      <c r="G407" s="87"/>
    </row>
    <row r="408" spans="1:7" ht="14.25" customHeight="1" x14ac:dyDescent="0.3">
      <c r="A408" s="85"/>
      <c r="B408" s="86"/>
      <c r="C408" s="92"/>
      <c r="D408" s="34"/>
      <c r="E408" s="36"/>
      <c r="F408" s="36"/>
      <c r="G408" s="87"/>
    </row>
    <row r="409" spans="1:7" ht="14.25" customHeight="1" x14ac:dyDescent="0.3">
      <c r="A409" s="85"/>
      <c r="B409" s="86"/>
      <c r="C409" s="92"/>
      <c r="D409" s="34"/>
      <c r="E409" s="36"/>
      <c r="F409" s="36"/>
      <c r="G409" s="87"/>
    </row>
    <row r="410" spans="1:7" ht="14.25" customHeight="1" x14ac:dyDescent="0.3">
      <c r="A410" s="85"/>
      <c r="B410" s="86"/>
      <c r="C410" s="92"/>
      <c r="D410" s="34"/>
      <c r="E410" s="36"/>
      <c r="F410" s="36"/>
      <c r="G410" s="87"/>
    </row>
    <row r="411" spans="1:7" ht="14.25" customHeight="1" x14ac:dyDescent="0.3">
      <c r="A411" s="85"/>
      <c r="B411" s="86"/>
      <c r="C411" s="92"/>
      <c r="D411" s="34"/>
      <c r="E411" s="36"/>
      <c r="F411" s="36"/>
      <c r="G411" s="87"/>
    </row>
    <row r="412" spans="1:7" ht="14.25" customHeight="1" x14ac:dyDescent="0.3">
      <c r="A412" s="85"/>
      <c r="B412" s="86"/>
      <c r="C412" s="92"/>
      <c r="D412" s="34"/>
      <c r="E412" s="36"/>
      <c r="F412" s="36"/>
      <c r="G412" s="87"/>
    </row>
    <row r="413" spans="1:7" ht="14.25" customHeight="1" x14ac:dyDescent="0.3">
      <c r="A413" s="85"/>
      <c r="B413" s="86"/>
      <c r="C413" s="92"/>
      <c r="D413" s="34"/>
      <c r="E413" s="36"/>
      <c r="F413" s="36"/>
      <c r="G413" s="87"/>
    </row>
    <row r="414" spans="1:7" ht="14.25" customHeight="1" x14ac:dyDescent="0.3">
      <c r="A414" s="85"/>
      <c r="B414" s="86"/>
      <c r="C414" s="92"/>
      <c r="D414" s="34"/>
      <c r="E414" s="36"/>
      <c r="F414" s="36"/>
      <c r="G414" s="87"/>
    </row>
    <row r="415" spans="1:7" ht="14.25" customHeight="1" x14ac:dyDescent="0.3">
      <c r="A415" s="85"/>
      <c r="B415" s="86"/>
      <c r="C415" s="92"/>
      <c r="D415" s="34"/>
      <c r="E415" s="36"/>
      <c r="F415" s="36"/>
      <c r="G415" s="87"/>
    </row>
    <row r="416" spans="1:7" ht="14.25" customHeight="1" x14ac:dyDescent="0.3">
      <c r="A416" s="85"/>
      <c r="B416" s="86"/>
      <c r="C416" s="92"/>
      <c r="D416" s="34"/>
      <c r="E416" s="36"/>
      <c r="F416" s="36"/>
      <c r="G416" s="87"/>
    </row>
    <row r="417" spans="1:7" ht="14.25" customHeight="1" x14ac:dyDescent="0.3">
      <c r="A417" s="85"/>
      <c r="B417" s="86"/>
      <c r="C417" s="92"/>
      <c r="D417" s="34"/>
      <c r="E417" s="36"/>
      <c r="F417" s="36"/>
      <c r="G417" s="87"/>
    </row>
    <row r="418" spans="1:7" ht="14.25" customHeight="1" x14ac:dyDescent="0.3">
      <c r="A418" s="85"/>
      <c r="B418" s="86"/>
      <c r="C418" s="92"/>
      <c r="D418" s="34"/>
      <c r="E418" s="36"/>
      <c r="F418" s="36"/>
      <c r="G418" s="87"/>
    </row>
    <row r="419" spans="1:7" ht="14.25" customHeight="1" x14ac:dyDescent="0.3">
      <c r="A419" s="85"/>
      <c r="B419" s="86"/>
      <c r="C419" s="92"/>
      <c r="D419" s="34"/>
      <c r="E419" s="36"/>
      <c r="F419" s="36"/>
      <c r="G419" s="87"/>
    </row>
    <row r="420" spans="1:7" ht="14.25" customHeight="1" x14ac:dyDescent="0.3">
      <c r="A420" s="85"/>
      <c r="B420" s="86"/>
      <c r="C420" s="92"/>
      <c r="D420" s="34"/>
      <c r="E420" s="36"/>
      <c r="F420" s="36"/>
      <c r="G420" s="87"/>
    </row>
    <row r="421" spans="1:7" ht="14.25" customHeight="1" x14ac:dyDescent="0.3">
      <c r="A421" s="85"/>
      <c r="B421" s="86"/>
      <c r="C421" s="92"/>
      <c r="D421" s="34"/>
      <c r="E421" s="36"/>
      <c r="F421" s="36"/>
      <c r="G421" s="87"/>
    </row>
    <row r="422" spans="1:7" ht="14.25" customHeight="1" x14ac:dyDescent="0.3">
      <c r="A422" s="85"/>
      <c r="B422" s="86"/>
      <c r="C422" s="92"/>
      <c r="D422" s="34"/>
      <c r="E422" s="36"/>
      <c r="F422" s="36"/>
      <c r="G422" s="87"/>
    </row>
    <row r="423" spans="1:7" ht="14.25" customHeight="1" x14ac:dyDescent="0.3">
      <c r="A423" s="85"/>
      <c r="B423" s="86"/>
      <c r="C423" s="92"/>
      <c r="D423" s="34"/>
      <c r="E423" s="36"/>
      <c r="F423" s="36"/>
      <c r="G423" s="87"/>
    </row>
    <row r="424" spans="1:7" ht="14.25" customHeight="1" x14ac:dyDescent="0.3">
      <c r="A424" s="85"/>
      <c r="B424" s="86"/>
      <c r="C424" s="92"/>
      <c r="D424" s="34"/>
      <c r="E424" s="36"/>
      <c r="F424" s="36"/>
      <c r="G424" s="87"/>
    </row>
    <row r="425" spans="1:7" ht="14.25" customHeight="1" x14ac:dyDescent="0.3">
      <c r="A425" s="85"/>
      <c r="B425" s="86"/>
      <c r="C425" s="92"/>
      <c r="D425" s="34"/>
      <c r="E425" s="36"/>
      <c r="F425" s="36"/>
      <c r="G425" s="87"/>
    </row>
    <row r="426" spans="1:7" ht="14.25" customHeight="1" x14ac:dyDescent="0.3">
      <c r="A426" s="85"/>
      <c r="B426" s="86"/>
      <c r="C426" s="92"/>
      <c r="D426" s="34"/>
      <c r="E426" s="36"/>
      <c r="F426" s="36"/>
      <c r="G426" s="87"/>
    </row>
    <row r="427" spans="1:7" ht="14.25" customHeight="1" x14ac:dyDescent="0.3">
      <c r="A427" s="85"/>
      <c r="B427" s="86"/>
      <c r="C427" s="92"/>
      <c r="D427" s="34"/>
      <c r="E427" s="36"/>
      <c r="F427" s="36"/>
      <c r="G427" s="87"/>
    </row>
    <row r="428" spans="1:7" ht="14.25" customHeight="1" x14ac:dyDescent="0.3">
      <c r="A428" s="85"/>
      <c r="B428" s="86"/>
      <c r="C428" s="92"/>
      <c r="D428" s="34"/>
      <c r="E428" s="36"/>
      <c r="F428" s="36"/>
      <c r="G428" s="87"/>
    </row>
    <row r="429" spans="1:7" ht="14.25" customHeight="1" x14ac:dyDescent="0.3">
      <c r="A429" s="85"/>
      <c r="B429" s="86"/>
      <c r="C429" s="92"/>
      <c r="D429" s="34"/>
      <c r="E429" s="36"/>
      <c r="F429" s="36"/>
      <c r="G429" s="87"/>
    </row>
    <row r="430" spans="1:7" ht="14.25" customHeight="1" x14ac:dyDescent="0.3">
      <c r="A430" s="85"/>
      <c r="B430" s="86"/>
      <c r="C430" s="92"/>
      <c r="D430" s="34"/>
      <c r="E430" s="36"/>
      <c r="F430" s="36"/>
      <c r="G430" s="87"/>
    </row>
    <row r="431" spans="1:7" ht="14.25" customHeight="1" x14ac:dyDescent="0.3">
      <c r="A431" s="85"/>
      <c r="B431" s="86"/>
      <c r="C431" s="92"/>
      <c r="D431" s="34"/>
      <c r="E431" s="36"/>
      <c r="F431" s="36"/>
      <c r="G431" s="87"/>
    </row>
    <row r="432" spans="1:7" ht="14.25" customHeight="1" x14ac:dyDescent="0.3">
      <c r="A432" s="85"/>
      <c r="B432" s="86"/>
      <c r="C432" s="92"/>
      <c r="D432" s="34"/>
      <c r="E432" s="36"/>
      <c r="F432" s="36"/>
      <c r="G432" s="87"/>
    </row>
    <row r="433" spans="1:7" ht="14.25" customHeight="1" x14ac:dyDescent="0.3">
      <c r="A433" s="85"/>
      <c r="B433" s="86"/>
      <c r="C433" s="92"/>
      <c r="D433" s="34"/>
      <c r="E433" s="36"/>
      <c r="F433" s="36"/>
      <c r="G433" s="87"/>
    </row>
    <row r="434" spans="1:7" ht="14.25" customHeight="1" x14ac:dyDescent="0.3">
      <c r="A434" s="85"/>
      <c r="B434" s="86"/>
      <c r="C434" s="92"/>
      <c r="D434" s="34"/>
      <c r="E434" s="36"/>
      <c r="F434" s="36"/>
      <c r="G434" s="87"/>
    </row>
    <row r="435" spans="1:7" ht="14.25" customHeight="1" x14ac:dyDescent="0.3">
      <c r="A435" s="85"/>
      <c r="B435" s="86"/>
      <c r="C435" s="92"/>
      <c r="D435" s="34"/>
      <c r="E435" s="36"/>
      <c r="F435" s="36"/>
      <c r="G435" s="87"/>
    </row>
    <row r="436" spans="1:7" ht="14.25" customHeight="1" x14ac:dyDescent="0.3">
      <c r="A436" s="85"/>
      <c r="B436" s="86"/>
      <c r="C436" s="92"/>
      <c r="D436" s="34"/>
      <c r="E436" s="36"/>
      <c r="F436" s="36"/>
      <c r="G436" s="87"/>
    </row>
    <row r="437" spans="1:7" ht="14.25" customHeight="1" x14ac:dyDescent="0.3">
      <c r="A437" s="85"/>
      <c r="B437" s="86"/>
      <c r="C437" s="92"/>
      <c r="D437" s="34"/>
      <c r="E437" s="36"/>
      <c r="F437" s="36"/>
      <c r="G437" s="87"/>
    </row>
    <row r="438" spans="1:7" ht="14.25" customHeight="1" x14ac:dyDescent="0.3">
      <c r="A438" s="85"/>
      <c r="B438" s="86"/>
      <c r="C438" s="92"/>
      <c r="D438" s="34"/>
      <c r="E438" s="36"/>
      <c r="F438" s="36"/>
      <c r="G438" s="87"/>
    </row>
    <row r="439" spans="1:7" ht="14.25" customHeight="1" x14ac:dyDescent="0.3">
      <c r="A439" s="85"/>
      <c r="B439" s="86"/>
      <c r="C439" s="92"/>
      <c r="D439" s="34"/>
      <c r="E439" s="36"/>
      <c r="F439" s="36"/>
      <c r="G439" s="87"/>
    </row>
    <row r="440" spans="1:7" ht="14.25" customHeight="1" x14ac:dyDescent="0.3">
      <c r="A440" s="85"/>
      <c r="B440" s="86"/>
      <c r="C440" s="92"/>
      <c r="D440" s="34"/>
      <c r="E440" s="36"/>
      <c r="F440" s="36"/>
      <c r="G440" s="87"/>
    </row>
    <row r="441" spans="1:7" ht="14.25" customHeight="1" x14ac:dyDescent="0.3">
      <c r="A441" s="85"/>
      <c r="B441" s="86"/>
      <c r="C441" s="92"/>
      <c r="D441" s="34"/>
      <c r="E441" s="36"/>
      <c r="F441" s="36"/>
      <c r="G441" s="87"/>
    </row>
    <row r="442" spans="1:7" ht="14.25" customHeight="1" x14ac:dyDescent="0.3">
      <c r="A442" s="85"/>
      <c r="B442" s="86"/>
      <c r="C442" s="92"/>
      <c r="D442" s="34"/>
      <c r="E442" s="36"/>
      <c r="F442" s="36"/>
      <c r="G442" s="87"/>
    </row>
    <row r="443" spans="1:7" ht="14.25" customHeight="1" x14ac:dyDescent="0.3">
      <c r="A443" s="85"/>
      <c r="B443" s="86"/>
      <c r="C443" s="92"/>
      <c r="D443" s="34"/>
      <c r="E443" s="36"/>
      <c r="F443" s="36"/>
      <c r="G443" s="87"/>
    </row>
    <row r="444" spans="1:7" ht="14.25" customHeight="1" x14ac:dyDescent="0.3">
      <c r="A444" s="85"/>
      <c r="B444" s="86"/>
      <c r="C444" s="92"/>
      <c r="D444" s="34"/>
      <c r="E444" s="36"/>
      <c r="F444" s="36"/>
      <c r="G444" s="87"/>
    </row>
    <row r="445" spans="1:7" ht="14.25" customHeight="1" x14ac:dyDescent="0.3">
      <c r="A445" s="85"/>
      <c r="B445" s="86"/>
      <c r="C445" s="92"/>
      <c r="D445" s="34"/>
      <c r="E445" s="36"/>
      <c r="F445" s="36"/>
      <c r="G445" s="87"/>
    </row>
    <row r="446" spans="1:7" ht="14.25" customHeight="1" x14ac:dyDescent="0.3">
      <c r="A446" s="85"/>
      <c r="B446" s="86"/>
      <c r="C446" s="92"/>
      <c r="D446" s="34"/>
      <c r="E446" s="36"/>
      <c r="F446" s="36"/>
      <c r="G446" s="87"/>
    </row>
    <row r="447" spans="1:7" ht="14.25" customHeight="1" x14ac:dyDescent="0.3">
      <c r="A447" s="85"/>
      <c r="B447" s="86"/>
      <c r="C447" s="92"/>
      <c r="D447" s="34"/>
      <c r="E447" s="36"/>
      <c r="F447" s="36"/>
      <c r="G447" s="87"/>
    </row>
    <row r="448" spans="1:7" ht="14.25" customHeight="1" x14ac:dyDescent="0.3">
      <c r="A448" s="85"/>
      <c r="B448" s="86"/>
      <c r="C448" s="92"/>
      <c r="D448" s="34"/>
      <c r="E448" s="36"/>
      <c r="F448" s="36"/>
      <c r="G448" s="87"/>
    </row>
    <row r="449" spans="1:7" ht="14.25" customHeight="1" x14ac:dyDescent="0.3">
      <c r="A449" s="85"/>
      <c r="B449" s="86"/>
      <c r="C449" s="92"/>
      <c r="D449" s="34"/>
      <c r="E449" s="36"/>
      <c r="F449" s="36"/>
      <c r="G449" s="87"/>
    </row>
    <row r="450" spans="1:7" ht="14.25" customHeight="1" x14ac:dyDescent="0.3">
      <c r="A450" s="85"/>
      <c r="B450" s="86"/>
      <c r="C450" s="92"/>
      <c r="D450" s="34"/>
      <c r="E450" s="36"/>
      <c r="F450" s="36"/>
      <c r="G450" s="87"/>
    </row>
    <row r="451" spans="1:7" ht="14.25" customHeight="1" x14ac:dyDescent="0.3">
      <c r="A451" s="85"/>
      <c r="B451" s="86"/>
      <c r="C451" s="92"/>
      <c r="D451" s="34"/>
      <c r="E451" s="36"/>
      <c r="F451" s="36"/>
      <c r="G451" s="87"/>
    </row>
    <row r="452" spans="1:7" ht="14.25" customHeight="1" x14ac:dyDescent="0.3">
      <c r="A452" s="85"/>
      <c r="B452" s="86"/>
      <c r="C452" s="92"/>
      <c r="D452" s="34"/>
      <c r="E452" s="36"/>
      <c r="F452" s="36"/>
      <c r="G452" s="87"/>
    </row>
    <row r="453" spans="1:7" ht="14.25" customHeight="1" x14ac:dyDescent="0.3">
      <c r="A453" s="85"/>
      <c r="B453" s="86"/>
      <c r="C453" s="92"/>
      <c r="D453" s="34"/>
      <c r="E453" s="36"/>
      <c r="F453" s="36"/>
      <c r="G453" s="87"/>
    </row>
    <row r="454" spans="1:7" ht="14.25" customHeight="1" x14ac:dyDescent="0.3">
      <c r="A454" s="85"/>
      <c r="B454" s="86"/>
      <c r="C454" s="92"/>
      <c r="D454" s="34"/>
      <c r="E454" s="36"/>
      <c r="F454" s="36"/>
      <c r="G454" s="87"/>
    </row>
    <row r="455" spans="1:7" ht="14.25" customHeight="1" x14ac:dyDescent="0.3">
      <c r="A455" s="85"/>
      <c r="B455" s="86"/>
      <c r="C455" s="92"/>
      <c r="D455" s="34"/>
      <c r="E455" s="36"/>
      <c r="F455" s="36"/>
      <c r="G455" s="87"/>
    </row>
    <row r="456" spans="1:7" ht="14.25" customHeight="1" x14ac:dyDescent="0.3">
      <c r="A456" s="85"/>
      <c r="B456" s="86"/>
      <c r="C456" s="92"/>
      <c r="D456" s="34"/>
      <c r="E456" s="36"/>
      <c r="F456" s="36"/>
      <c r="G456" s="87"/>
    </row>
    <row r="457" spans="1:7" ht="14.25" customHeight="1" x14ac:dyDescent="0.3">
      <c r="A457" s="85"/>
      <c r="B457" s="86"/>
      <c r="C457" s="92"/>
      <c r="D457" s="34"/>
      <c r="E457" s="36"/>
      <c r="F457" s="36"/>
      <c r="G457" s="87"/>
    </row>
    <row r="458" spans="1:7" ht="14.25" customHeight="1" x14ac:dyDescent="0.3">
      <c r="A458" s="85"/>
      <c r="B458" s="86"/>
      <c r="C458" s="92"/>
      <c r="D458" s="34"/>
      <c r="E458" s="36"/>
      <c r="F458" s="36"/>
      <c r="G458" s="87"/>
    </row>
    <row r="459" spans="1:7" ht="14.25" customHeight="1" x14ac:dyDescent="0.3">
      <c r="A459" s="85"/>
      <c r="B459" s="86"/>
      <c r="C459" s="92"/>
      <c r="D459" s="34"/>
      <c r="E459" s="36"/>
      <c r="F459" s="36"/>
      <c r="G459" s="87"/>
    </row>
    <row r="460" spans="1:7" ht="14.25" customHeight="1" x14ac:dyDescent="0.3">
      <c r="A460" s="85"/>
      <c r="B460" s="86"/>
      <c r="C460" s="92"/>
      <c r="D460" s="34"/>
      <c r="E460" s="36"/>
      <c r="F460" s="36"/>
      <c r="G460" s="87"/>
    </row>
    <row r="461" spans="1:7" ht="14.25" customHeight="1" x14ac:dyDescent="0.3">
      <c r="A461" s="85"/>
      <c r="B461" s="86"/>
      <c r="C461" s="92"/>
      <c r="D461" s="34"/>
      <c r="E461" s="36"/>
      <c r="F461" s="36"/>
      <c r="G461" s="87"/>
    </row>
    <row r="462" spans="1:7" ht="14.25" customHeight="1" x14ac:dyDescent="0.3">
      <c r="A462" s="85"/>
      <c r="B462" s="86"/>
      <c r="C462" s="92"/>
      <c r="D462" s="34"/>
      <c r="E462" s="36"/>
      <c r="F462" s="36"/>
      <c r="G462" s="87"/>
    </row>
    <row r="463" spans="1:7" ht="14.25" customHeight="1" x14ac:dyDescent="0.3">
      <c r="A463" s="85"/>
      <c r="B463" s="86"/>
      <c r="C463" s="92"/>
      <c r="D463" s="34"/>
      <c r="E463" s="36"/>
      <c r="F463" s="36"/>
      <c r="G463" s="87"/>
    </row>
    <row r="464" spans="1:7" ht="14.25" customHeight="1" x14ac:dyDescent="0.3">
      <c r="A464" s="85"/>
      <c r="B464" s="86"/>
      <c r="C464" s="92"/>
      <c r="D464" s="34"/>
      <c r="E464" s="36"/>
      <c r="F464" s="36"/>
      <c r="G464" s="87"/>
    </row>
    <row r="465" spans="1:7" ht="14.25" customHeight="1" x14ac:dyDescent="0.3">
      <c r="A465" s="85"/>
      <c r="B465" s="86"/>
      <c r="C465" s="92"/>
      <c r="D465" s="34"/>
      <c r="E465" s="36"/>
      <c r="F465" s="36"/>
      <c r="G465" s="87"/>
    </row>
    <row r="466" spans="1:7" ht="14.25" customHeight="1" x14ac:dyDescent="0.3">
      <c r="A466" s="85"/>
      <c r="B466" s="86"/>
      <c r="C466" s="92"/>
      <c r="D466" s="34"/>
      <c r="E466" s="36"/>
      <c r="F466" s="36"/>
      <c r="G466" s="87"/>
    </row>
    <row r="467" spans="1:7" ht="14.25" customHeight="1" x14ac:dyDescent="0.3">
      <c r="A467" s="85"/>
      <c r="B467" s="86"/>
      <c r="C467" s="92"/>
      <c r="D467" s="34"/>
      <c r="E467" s="36"/>
      <c r="F467" s="36"/>
      <c r="G467" s="87"/>
    </row>
    <row r="468" spans="1:7" ht="14.25" customHeight="1" x14ac:dyDescent="0.3">
      <c r="A468" s="85"/>
      <c r="B468" s="86"/>
      <c r="C468" s="92"/>
      <c r="D468" s="34"/>
      <c r="E468" s="36"/>
      <c r="F468" s="36"/>
      <c r="G468" s="87"/>
    </row>
    <row r="469" spans="1:7" ht="14.25" customHeight="1" x14ac:dyDescent="0.3">
      <c r="A469" s="85"/>
      <c r="B469" s="86"/>
      <c r="C469" s="92"/>
      <c r="D469" s="34"/>
      <c r="E469" s="36"/>
      <c r="F469" s="36"/>
      <c r="G469" s="87"/>
    </row>
    <row r="470" spans="1:7" ht="14.25" customHeight="1" x14ac:dyDescent="0.3">
      <c r="A470" s="85"/>
      <c r="B470" s="86"/>
      <c r="C470" s="92"/>
      <c r="D470" s="34"/>
      <c r="E470" s="36"/>
      <c r="F470" s="36"/>
      <c r="G470" s="87"/>
    </row>
    <row r="471" spans="1:7" ht="14.25" customHeight="1" x14ac:dyDescent="0.3">
      <c r="A471" s="85"/>
      <c r="B471" s="86"/>
      <c r="C471" s="92"/>
      <c r="D471" s="34"/>
      <c r="E471" s="36"/>
      <c r="F471" s="36"/>
      <c r="G471" s="87"/>
    </row>
    <row r="472" spans="1:7" ht="14.25" customHeight="1" x14ac:dyDescent="0.3">
      <c r="A472" s="85"/>
      <c r="B472" s="86"/>
      <c r="C472" s="92"/>
      <c r="D472" s="34"/>
      <c r="E472" s="36"/>
      <c r="F472" s="36"/>
      <c r="G472" s="87"/>
    </row>
    <row r="473" spans="1:7" ht="14.25" customHeight="1" x14ac:dyDescent="0.3">
      <c r="A473" s="85"/>
      <c r="B473" s="86"/>
      <c r="C473" s="92"/>
      <c r="D473" s="34"/>
      <c r="E473" s="36"/>
      <c r="F473" s="36"/>
      <c r="G473" s="87"/>
    </row>
    <row r="474" spans="1:7" ht="14.25" customHeight="1" x14ac:dyDescent="0.3">
      <c r="A474" s="85"/>
      <c r="B474" s="86"/>
      <c r="C474" s="92"/>
      <c r="D474" s="34"/>
      <c r="E474" s="36"/>
      <c r="F474" s="36"/>
      <c r="G474" s="87"/>
    </row>
    <row r="475" spans="1:7" ht="14.25" customHeight="1" x14ac:dyDescent="0.3">
      <c r="A475" s="85"/>
      <c r="B475" s="86"/>
      <c r="C475" s="92"/>
      <c r="D475" s="34"/>
      <c r="E475" s="36"/>
      <c r="F475" s="36"/>
      <c r="G475" s="87"/>
    </row>
    <row r="476" spans="1:7" ht="14.25" customHeight="1" x14ac:dyDescent="0.3">
      <c r="A476" s="85"/>
      <c r="B476" s="86"/>
      <c r="C476" s="92"/>
      <c r="D476" s="34"/>
      <c r="E476" s="36"/>
      <c r="F476" s="36"/>
      <c r="G476" s="87"/>
    </row>
    <row r="477" spans="1:7" ht="14.25" customHeight="1" x14ac:dyDescent="0.3">
      <c r="A477" s="85"/>
      <c r="B477" s="86"/>
      <c r="C477" s="92"/>
      <c r="D477" s="34"/>
      <c r="E477" s="36"/>
      <c r="F477" s="36"/>
      <c r="G477" s="87"/>
    </row>
    <row r="478" spans="1:7" ht="14.25" customHeight="1" x14ac:dyDescent="0.3">
      <c r="A478" s="85"/>
      <c r="B478" s="86"/>
      <c r="C478" s="92"/>
      <c r="D478" s="34"/>
      <c r="E478" s="36"/>
      <c r="F478" s="36"/>
      <c r="G478" s="87"/>
    </row>
    <row r="479" spans="1:7" ht="14.25" customHeight="1" x14ac:dyDescent="0.3">
      <c r="A479" s="85"/>
      <c r="B479" s="86"/>
      <c r="C479" s="92"/>
      <c r="D479" s="34"/>
      <c r="E479" s="36"/>
      <c r="F479" s="36"/>
      <c r="G479" s="87"/>
    </row>
    <row r="480" spans="1:7" ht="14.25" customHeight="1" x14ac:dyDescent="0.3">
      <c r="A480" s="85"/>
      <c r="B480" s="86"/>
      <c r="C480" s="92"/>
      <c r="D480" s="34"/>
      <c r="E480" s="36"/>
      <c r="F480" s="36"/>
      <c r="G480" s="87"/>
    </row>
    <row r="481" spans="1:7" ht="14.25" customHeight="1" x14ac:dyDescent="0.3">
      <c r="A481" s="85"/>
      <c r="B481" s="86"/>
      <c r="C481" s="92"/>
      <c r="D481" s="34"/>
      <c r="E481" s="36"/>
      <c r="F481" s="36"/>
      <c r="G481" s="87"/>
    </row>
    <row r="482" spans="1:7" ht="14.25" customHeight="1" x14ac:dyDescent="0.3">
      <c r="A482" s="85"/>
      <c r="B482" s="86"/>
      <c r="C482" s="92"/>
      <c r="D482" s="34"/>
      <c r="E482" s="36"/>
      <c r="F482" s="36"/>
      <c r="G482" s="87"/>
    </row>
    <row r="483" spans="1:7" ht="14.25" customHeight="1" x14ac:dyDescent="0.3">
      <c r="A483" s="85"/>
      <c r="B483" s="86"/>
      <c r="C483" s="92"/>
      <c r="D483" s="34"/>
      <c r="E483" s="36"/>
      <c r="F483" s="36"/>
      <c r="G483" s="87"/>
    </row>
    <row r="484" spans="1:7" ht="14.25" customHeight="1" x14ac:dyDescent="0.3">
      <c r="A484" s="85"/>
      <c r="B484" s="86"/>
      <c r="C484" s="92"/>
      <c r="D484" s="34"/>
      <c r="E484" s="36"/>
      <c r="F484" s="36"/>
      <c r="G484" s="87"/>
    </row>
    <row r="485" spans="1:7" ht="14.25" customHeight="1" x14ac:dyDescent="0.3">
      <c r="A485" s="85"/>
      <c r="B485" s="86"/>
      <c r="C485" s="92"/>
      <c r="D485" s="34"/>
      <c r="E485" s="36"/>
      <c r="F485" s="36"/>
      <c r="G485" s="87"/>
    </row>
    <row r="486" spans="1:7" ht="14.25" customHeight="1" x14ac:dyDescent="0.3">
      <c r="A486" s="85"/>
      <c r="B486" s="86"/>
      <c r="C486" s="92"/>
      <c r="D486" s="34"/>
      <c r="E486" s="36"/>
      <c r="F486" s="36"/>
      <c r="G486" s="87"/>
    </row>
    <row r="487" spans="1:7" ht="14.25" customHeight="1" x14ac:dyDescent="0.3">
      <c r="A487" s="85"/>
      <c r="B487" s="86"/>
      <c r="C487" s="92"/>
      <c r="D487" s="34"/>
      <c r="E487" s="36"/>
      <c r="F487" s="36"/>
      <c r="G487" s="87"/>
    </row>
    <row r="488" spans="1:7" ht="14.25" customHeight="1" x14ac:dyDescent="0.3">
      <c r="A488" s="85"/>
      <c r="B488" s="86"/>
      <c r="C488" s="92"/>
      <c r="D488" s="34"/>
      <c r="E488" s="36"/>
      <c r="F488" s="36"/>
      <c r="G488" s="87"/>
    </row>
    <row r="489" spans="1:7" ht="14.25" customHeight="1" x14ac:dyDescent="0.3">
      <c r="A489" s="85"/>
      <c r="B489" s="86"/>
      <c r="C489" s="92"/>
      <c r="D489" s="34"/>
      <c r="E489" s="36"/>
      <c r="F489" s="36"/>
      <c r="G489" s="87"/>
    </row>
    <row r="490" spans="1:7" ht="14.25" customHeight="1" x14ac:dyDescent="0.3">
      <c r="A490" s="85"/>
      <c r="B490" s="86"/>
      <c r="C490" s="92"/>
      <c r="D490" s="34"/>
      <c r="E490" s="36"/>
      <c r="F490" s="36"/>
      <c r="G490" s="87"/>
    </row>
    <row r="491" spans="1:7" ht="14.25" customHeight="1" x14ac:dyDescent="0.3">
      <c r="A491" s="85"/>
      <c r="B491" s="86"/>
      <c r="C491" s="92"/>
      <c r="D491" s="34"/>
      <c r="E491" s="36"/>
      <c r="F491" s="36"/>
      <c r="G491" s="87"/>
    </row>
    <row r="492" spans="1:7" ht="14.25" customHeight="1" x14ac:dyDescent="0.3">
      <c r="A492" s="85"/>
      <c r="B492" s="86"/>
      <c r="C492" s="92"/>
      <c r="D492" s="34"/>
      <c r="E492" s="36"/>
      <c r="F492" s="36"/>
      <c r="G492" s="87"/>
    </row>
    <row r="493" spans="1:7" ht="14.25" customHeight="1" x14ac:dyDescent="0.3">
      <c r="A493" s="85"/>
      <c r="B493" s="86"/>
      <c r="C493" s="92"/>
      <c r="D493" s="34"/>
      <c r="E493" s="36"/>
      <c r="F493" s="36"/>
      <c r="G493" s="87"/>
    </row>
    <row r="494" spans="1:7" ht="14.25" customHeight="1" x14ac:dyDescent="0.3">
      <c r="A494" s="85"/>
      <c r="B494" s="86"/>
      <c r="C494" s="92"/>
      <c r="D494" s="34"/>
      <c r="E494" s="36"/>
      <c r="F494" s="36"/>
      <c r="G494" s="87"/>
    </row>
    <row r="495" spans="1:7" ht="14.25" customHeight="1" x14ac:dyDescent="0.3">
      <c r="A495" s="85"/>
      <c r="B495" s="86"/>
      <c r="C495" s="92"/>
      <c r="D495" s="34"/>
      <c r="E495" s="36"/>
      <c r="F495" s="36"/>
      <c r="G495" s="87"/>
    </row>
    <row r="496" spans="1:7" ht="14.25" customHeight="1" x14ac:dyDescent="0.3">
      <c r="A496" s="85"/>
      <c r="B496" s="86"/>
      <c r="C496" s="92"/>
      <c r="D496" s="34"/>
      <c r="E496" s="36"/>
      <c r="F496" s="36"/>
      <c r="G496" s="87"/>
    </row>
    <row r="497" spans="1:7" ht="14.25" customHeight="1" x14ac:dyDescent="0.3">
      <c r="A497" s="85"/>
      <c r="B497" s="86"/>
      <c r="C497" s="92"/>
      <c r="D497" s="34"/>
      <c r="E497" s="36"/>
      <c r="F497" s="36"/>
      <c r="G497" s="87"/>
    </row>
    <row r="498" spans="1:7" ht="14.25" customHeight="1" x14ac:dyDescent="0.3">
      <c r="A498" s="85"/>
      <c r="B498" s="86"/>
      <c r="C498" s="92"/>
      <c r="D498" s="34"/>
      <c r="E498" s="36"/>
      <c r="F498" s="36"/>
      <c r="G498" s="87"/>
    </row>
    <row r="499" spans="1:7" ht="14.25" customHeight="1" x14ac:dyDescent="0.3">
      <c r="A499" s="85"/>
      <c r="B499" s="86"/>
      <c r="C499" s="92"/>
      <c r="D499" s="34"/>
      <c r="E499" s="36"/>
      <c r="F499" s="36"/>
      <c r="G499" s="87"/>
    </row>
    <row r="500" spans="1:7" ht="14.25" customHeight="1" x14ac:dyDescent="0.3">
      <c r="A500" s="85"/>
      <c r="B500" s="86"/>
      <c r="C500" s="92"/>
      <c r="D500" s="34"/>
      <c r="E500" s="36"/>
      <c r="F500" s="36"/>
      <c r="G500" s="87"/>
    </row>
    <row r="501" spans="1:7" ht="14.25" customHeight="1" x14ac:dyDescent="0.3">
      <c r="A501" s="85"/>
      <c r="B501" s="86"/>
      <c r="C501" s="92"/>
      <c r="D501" s="34"/>
      <c r="E501" s="36"/>
      <c r="F501" s="36"/>
      <c r="G501" s="87"/>
    </row>
    <row r="502" spans="1:7" ht="14.25" customHeight="1" x14ac:dyDescent="0.3">
      <c r="A502" s="85"/>
      <c r="B502" s="86"/>
      <c r="C502" s="92"/>
      <c r="D502" s="34"/>
      <c r="E502" s="36"/>
      <c r="F502" s="36"/>
      <c r="G502" s="87"/>
    </row>
    <row r="503" spans="1:7" ht="14.25" customHeight="1" x14ac:dyDescent="0.3">
      <c r="A503" s="85"/>
      <c r="B503" s="86"/>
      <c r="C503" s="92"/>
      <c r="D503" s="34"/>
      <c r="E503" s="36"/>
      <c r="F503" s="36"/>
      <c r="G503" s="87"/>
    </row>
    <row r="504" spans="1:7" ht="14.25" customHeight="1" x14ac:dyDescent="0.3">
      <c r="A504" s="85"/>
      <c r="B504" s="86"/>
      <c r="C504" s="92"/>
      <c r="D504" s="34"/>
      <c r="E504" s="36"/>
      <c r="F504" s="36"/>
      <c r="G504" s="87"/>
    </row>
    <row r="505" spans="1:7" ht="14.25" customHeight="1" x14ac:dyDescent="0.3">
      <c r="A505" s="85"/>
      <c r="B505" s="86"/>
      <c r="C505" s="92"/>
      <c r="D505" s="34"/>
      <c r="E505" s="36"/>
      <c r="F505" s="36"/>
      <c r="G505" s="87"/>
    </row>
    <row r="506" spans="1:7" ht="14.25" customHeight="1" x14ac:dyDescent="0.3">
      <c r="A506" s="85"/>
      <c r="B506" s="86"/>
      <c r="C506" s="92"/>
      <c r="D506" s="34"/>
      <c r="E506" s="36"/>
      <c r="F506" s="36"/>
      <c r="G506" s="87"/>
    </row>
    <row r="507" spans="1:7" ht="14.25" customHeight="1" x14ac:dyDescent="0.3">
      <c r="A507" s="85"/>
      <c r="B507" s="86"/>
      <c r="C507" s="92"/>
      <c r="D507" s="34"/>
      <c r="E507" s="36"/>
      <c r="F507" s="36"/>
      <c r="G507" s="87"/>
    </row>
    <row r="508" spans="1:7" ht="14.25" customHeight="1" x14ac:dyDescent="0.3">
      <c r="A508" s="85"/>
      <c r="B508" s="86"/>
      <c r="C508" s="92"/>
      <c r="D508" s="34"/>
      <c r="E508" s="36"/>
      <c r="F508" s="36"/>
      <c r="G508" s="87"/>
    </row>
    <row r="509" spans="1:7" ht="14.25" customHeight="1" x14ac:dyDescent="0.3">
      <c r="A509" s="85"/>
      <c r="B509" s="86"/>
      <c r="C509" s="92"/>
      <c r="D509" s="34"/>
      <c r="E509" s="36"/>
      <c r="F509" s="36"/>
      <c r="G509" s="87"/>
    </row>
    <row r="510" spans="1:7" ht="14.25" customHeight="1" x14ac:dyDescent="0.3">
      <c r="A510" s="85"/>
      <c r="B510" s="86"/>
      <c r="C510" s="92"/>
      <c r="D510" s="34"/>
      <c r="E510" s="36"/>
      <c r="F510" s="36"/>
      <c r="G510" s="87"/>
    </row>
    <row r="511" spans="1:7" ht="14.25" customHeight="1" x14ac:dyDescent="0.3">
      <c r="A511" s="85"/>
      <c r="B511" s="86"/>
      <c r="C511" s="92"/>
      <c r="D511" s="34"/>
      <c r="E511" s="36"/>
      <c r="F511" s="36"/>
      <c r="G511" s="87"/>
    </row>
    <row r="512" spans="1:7" ht="14.25" customHeight="1" x14ac:dyDescent="0.3">
      <c r="A512" s="85"/>
      <c r="B512" s="86"/>
      <c r="C512" s="92"/>
      <c r="D512" s="34"/>
      <c r="E512" s="36"/>
      <c r="F512" s="36"/>
      <c r="G512" s="87"/>
    </row>
    <row r="513" spans="1:7" ht="14.25" customHeight="1" x14ac:dyDescent="0.3">
      <c r="A513" s="85"/>
      <c r="B513" s="86"/>
      <c r="C513" s="92"/>
      <c r="D513" s="34"/>
      <c r="E513" s="36"/>
      <c r="F513" s="36"/>
      <c r="G513" s="87"/>
    </row>
    <row r="514" spans="1:7" ht="14.25" customHeight="1" x14ac:dyDescent="0.3">
      <c r="A514" s="85"/>
      <c r="B514" s="86"/>
      <c r="C514" s="92"/>
      <c r="D514" s="34"/>
      <c r="E514" s="36"/>
      <c r="F514" s="36"/>
      <c r="G514" s="87"/>
    </row>
    <row r="515" spans="1:7" ht="14.25" customHeight="1" x14ac:dyDescent="0.3">
      <c r="A515" s="85"/>
      <c r="B515" s="86"/>
      <c r="C515" s="92"/>
      <c r="D515" s="34"/>
      <c r="E515" s="36"/>
      <c r="F515" s="36"/>
      <c r="G515" s="87"/>
    </row>
    <row r="516" spans="1:7" ht="14.25" customHeight="1" x14ac:dyDescent="0.3">
      <c r="A516" s="85"/>
      <c r="B516" s="86"/>
      <c r="C516" s="92"/>
      <c r="D516" s="34"/>
      <c r="E516" s="36"/>
      <c r="F516" s="36"/>
      <c r="G516" s="87"/>
    </row>
    <row r="517" spans="1:7" ht="14.25" customHeight="1" x14ac:dyDescent="0.3">
      <c r="A517" s="85"/>
      <c r="B517" s="86"/>
      <c r="C517" s="92"/>
      <c r="D517" s="34"/>
      <c r="E517" s="36"/>
      <c r="F517" s="36"/>
      <c r="G517" s="87"/>
    </row>
    <row r="518" spans="1:7" ht="14.25" customHeight="1" x14ac:dyDescent="0.3">
      <c r="A518" s="85"/>
      <c r="B518" s="86"/>
      <c r="C518" s="92"/>
      <c r="D518" s="34"/>
      <c r="E518" s="36"/>
      <c r="F518" s="36"/>
      <c r="G518" s="87"/>
    </row>
    <row r="519" spans="1:7" ht="14.25" customHeight="1" x14ac:dyDescent="0.3">
      <c r="A519" s="85"/>
      <c r="B519" s="86"/>
      <c r="C519" s="92"/>
      <c r="D519" s="34"/>
      <c r="E519" s="36"/>
      <c r="F519" s="36"/>
      <c r="G519" s="87"/>
    </row>
    <row r="520" spans="1:7" ht="14.25" customHeight="1" x14ac:dyDescent="0.3">
      <c r="A520" s="85"/>
      <c r="B520" s="86"/>
      <c r="C520" s="92"/>
      <c r="D520" s="34"/>
      <c r="E520" s="36"/>
      <c r="F520" s="36"/>
      <c r="G520" s="87"/>
    </row>
    <row r="521" spans="1:7" ht="14.25" customHeight="1" x14ac:dyDescent="0.3">
      <c r="A521" s="85"/>
      <c r="B521" s="86"/>
      <c r="C521" s="92"/>
      <c r="D521" s="34"/>
      <c r="E521" s="36"/>
      <c r="F521" s="36"/>
      <c r="G521" s="87"/>
    </row>
    <row r="522" spans="1:7" ht="14.25" customHeight="1" x14ac:dyDescent="0.3">
      <c r="A522" s="85"/>
      <c r="B522" s="86"/>
      <c r="C522" s="92"/>
      <c r="D522" s="34"/>
      <c r="E522" s="36"/>
      <c r="F522" s="36"/>
      <c r="G522" s="87"/>
    </row>
    <row r="523" spans="1:7" ht="14.25" customHeight="1" x14ac:dyDescent="0.3">
      <c r="A523" s="85"/>
      <c r="B523" s="86"/>
      <c r="C523" s="92"/>
      <c r="D523" s="34"/>
      <c r="E523" s="36"/>
      <c r="F523" s="36"/>
      <c r="G523" s="87"/>
    </row>
    <row r="524" spans="1:7" ht="14.25" customHeight="1" x14ac:dyDescent="0.3">
      <c r="A524" s="85"/>
      <c r="B524" s="86"/>
      <c r="C524" s="92"/>
      <c r="D524" s="34"/>
      <c r="E524" s="36"/>
      <c r="F524" s="36"/>
      <c r="G524" s="87"/>
    </row>
    <row r="525" spans="1:7" ht="14.25" customHeight="1" x14ac:dyDescent="0.3">
      <c r="A525" s="85"/>
      <c r="B525" s="86"/>
      <c r="C525" s="92"/>
      <c r="D525" s="34"/>
      <c r="E525" s="36"/>
      <c r="F525" s="36"/>
      <c r="G525" s="87"/>
    </row>
    <row r="526" spans="1:7" ht="14.25" customHeight="1" x14ac:dyDescent="0.3">
      <c r="A526" s="85"/>
      <c r="B526" s="86"/>
      <c r="C526" s="92"/>
      <c r="D526" s="34"/>
      <c r="E526" s="36"/>
      <c r="F526" s="36"/>
      <c r="G526" s="87"/>
    </row>
    <row r="527" spans="1:7" ht="14.25" customHeight="1" x14ac:dyDescent="0.3">
      <c r="A527" s="85"/>
      <c r="B527" s="86"/>
      <c r="C527" s="92"/>
      <c r="D527" s="34"/>
      <c r="E527" s="36"/>
      <c r="F527" s="36"/>
      <c r="G527" s="87"/>
    </row>
    <row r="528" spans="1:7" ht="14.25" customHeight="1" x14ac:dyDescent="0.3">
      <c r="A528" s="85"/>
      <c r="B528" s="86"/>
      <c r="C528" s="92"/>
      <c r="D528" s="34"/>
      <c r="E528" s="36"/>
      <c r="F528" s="36"/>
      <c r="G528" s="87"/>
    </row>
    <row r="529" spans="1:7" ht="14.25" customHeight="1" x14ac:dyDescent="0.3">
      <c r="A529" s="85"/>
      <c r="B529" s="86"/>
      <c r="C529" s="92"/>
      <c r="D529" s="34"/>
      <c r="E529" s="36"/>
      <c r="F529" s="36"/>
      <c r="G529" s="87"/>
    </row>
    <row r="530" spans="1:7" ht="14.25" customHeight="1" x14ac:dyDescent="0.3">
      <c r="A530" s="85"/>
      <c r="B530" s="86"/>
      <c r="C530" s="92"/>
      <c r="D530" s="34"/>
      <c r="E530" s="36"/>
      <c r="F530" s="36"/>
      <c r="G530" s="87"/>
    </row>
    <row r="531" spans="1:7" ht="14.25" customHeight="1" x14ac:dyDescent="0.3">
      <c r="A531" s="85"/>
      <c r="B531" s="86"/>
      <c r="C531" s="92"/>
      <c r="D531" s="34"/>
      <c r="E531" s="36"/>
      <c r="F531" s="36"/>
      <c r="G531" s="87"/>
    </row>
    <row r="532" spans="1:7" ht="14.25" customHeight="1" x14ac:dyDescent="0.3">
      <c r="A532" s="85"/>
      <c r="B532" s="86"/>
      <c r="C532" s="92"/>
      <c r="D532" s="34"/>
      <c r="E532" s="36"/>
      <c r="F532" s="36"/>
      <c r="G532" s="87"/>
    </row>
    <row r="533" spans="1:7" ht="14.25" customHeight="1" x14ac:dyDescent="0.3">
      <c r="A533" s="85"/>
      <c r="B533" s="86"/>
      <c r="C533" s="92"/>
      <c r="D533" s="34"/>
      <c r="E533" s="36"/>
      <c r="F533" s="36"/>
      <c r="G533" s="87"/>
    </row>
    <row r="534" spans="1:7" ht="14.25" customHeight="1" x14ac:dyDescent="0.3">
      <c r="A534" s="85"/>
      <c r="B534" s="86"/>
      <c r="C534" s="92"/>
      <c r="D534" s="34"/>
      <c r="E534" s="36"/>
      <c r="F534" s="36"/>
      <c r="G534" s="87"/>
    </row>
    <row r="535" spans="1:7" ht="14.25" customHeight="1" x14ac:dyDescent="0.3">
      <c r="A535" s="85"/>
      <c r="B535" s="86"/>
      <c r="C535" s="92"/>
      <c r="D535" s="34"/>
      <c r="E535" s="36"/>
      <c r="F535" s="36"/>
      <c r="G535" s="87"/>
    </row>
    <row r="536" spans="1:7" ht="14.25" customHeight="1" x14ac:dyDescent="0.3">
      <c r="A536" s="85"/>
      <c r="B536" s="86"/>
      <c r="C536" s="92"/>
      <c r="D536" s="34"/>
      <c r="E536" s="36"/>
      <c r="F536" s="36"/>
      <c r="G536" s="87"/>
    </row>
    <row r="537" spans="1:7" ht="14.25" customHeight="1" x14ac:dyDescent="0.3">
      <c r="A537" s="85"/>
      <c r="B537" s="86"/>
      <c r="C537" s="92"/>
      <c r="D537" s="34"/>
      <c r="E537" s="36"/>
      <c r="F537" s="36"/>
      <c r="G537" s="87"/>
    </row>
    <row r="538" spans="1:7" ht="14.25" customHeight="1" x14ac:dyDescent="0.3">
      <c r="A538" s="85"/>
      <c r="B538" s="86"/>
      <c r="C538" s="92"/>
      <c r="D538" s="34"/>
      <c r="E538" s="36"/>
      <c r="F538" s="36"/>
      <c r="G538" s="87"/>
    </row>
    <row r="539" spans="1:7" ht="14.25" customHeight="1" x14ac:dyDescent="0.3">
      <c r="A539" s="85"/>
      <c r="B539" s="86"/>
      <c r="C539" s="92"/>
      <c r="D539" s="34"/>
      <c r="E539" s="36"/>
      <c r="F539" s="36"/>
      <c r="G539" s="87"/>
    </row>
    <row r="540" spans="1:7" ht="14.25" customHeight="1" x14ac:dyDescent="0.3">
      <c r="A540" s="85"/>
      <c r="B540" s="86"/>
      <c r="C540" s="92"/>
      <c r="D540" s="34"/>
      <c r="E540" s="36"/>
      <c r="F540" s="36"/>
      <c r="G540" s="87"/>
    </row>
    <row r="541" spans="1:7" ht="14.25" customHeight="1" x14ac:dyDescent="0.3">
      <c r="A541" s="85"/>
      <c r="B541" s="86"/>
      <c r="C541" s="92"/>
      <c r="D541" s="34"/>
      <c r="E541" s="36"/>
      <c r="F541" s="36"/>
      <c r="G541" s="87"/>
    </row>
    <row r="542" spans="1:7" ht="14.25" customHeight="1" x14ac:dyDescent="0.3">
      <c r="A542" s="85"/>
      <c r="B542" s="86"/>
      <c r="C542" s="92"/>
      <c r="D542" s="34"/>
      <c r="E542" s="36"/>
      <c r="F542" s="36"/>
      <c r="G542" s="87"/>
    </row>
    <row r="543" spans="1:7" ht="14.25" customHeight="1" x14ac:dyDescent="0.3">
      <c r="A543" s="85"/>
      <c r="B543" s="86"/>
      <c r="C543" s="92"/>
      <c r="D543" s="34"/>
      <c r="E543" s="36"/>
      <c r="F543" s="36"/>
      <c r="G543" s="87"/>
    </row>
    <row r="544" spans="1:7" ht="14.25" customHeight="1" x14ac:dyDescent="0.3">
      <c r="A544" s="85"/>
      <c r="B544" s="86"/>
      <c r="C544" s="92"/>
      <c r="D544" s="34"/>
      <c r="E544" s="36"/>
      <c r="F544" s="36"/>
      <c r="G544" s="87"/>
    </row>
    <row r="545" spans="1:7" ht="14.25" customHeight="1" x14ac:dyDescent="0.3">
      <c r="A545" s="85"/>
      <c r="B545" s="86"/>
      <c r="C545" s="92"/>
      <c r="D545" s="34"/>
      <c r="E545" s="36"/>
      <c r="F545" s="36"/>
      <c r="G545" s="87"/>
    </row>
    <row r="546" spans="1:7" ht="14.25" customHeight="1" x14ac:dyDescent="0.3">
      <c r="A546" s="85"/>
      <c r="B546" s="86"/>
      <c r="C546" s="92"/>
      <c r="D546" s="34"/>
      <c r="E546" s="36"/>
      <c r="F546" s="36"/>
      <c r="G546" s="87"/>
    </row>
    <row r="547" spans="1:7" ht="14.25" customHeight="1" x14ac:dyDescent="0.3">
      <c r="A547" s="85"/>
      <c r="B547" s="86"/>
      <c r="C547" s="92"/>
      <c r="D547" s="34"/>
      <c r="E547" s="36"/>
      <c r="F547" s="36"/>
      <c r="G547" s="87"/>
    </row>
    <row r="548" spans="1:7" ht="14.25" customHeight="1" x14ac:dyDescent="0.3">
      <c r="A548" s="85"/>
      <c r="B548" s="86"/>
      <c r="C548" s="92"/>
      <c r="D548" s="34"/>
      <c r="E548" s="36"/>
      <c r="F548" s="36"/>
      <c r="G548" s="87"/>
    </row>
    <row r="549" spans="1:7" ht="14.25" customHeight="1" x14ac:dyDescent="0.3">
      <c r="A549" s="85"/>
      <c r="B549" s="86"/>
      <c r="C549" s="92"/>
      <c r="D549" s="34"/>
      <c r="E549" s="36"/>
      <c r="F549" s="36"/>
      <c r="G549" s="87"/>
    </row>
    <row r="550" spans="1:7" ht="14.25" customHeight="1" x14ac:dyDescent="0.3">
      <c r="A550" s="85"/>
      <c r="B550" s="86"/>
      <c r="C550" s="92"/>
      <c r="D550" s="34"/>
      <c r="E550" s="36"/>
      <c r="F550" s="36"/>
      <c r="G550" s="87"/>
    </row>
    <row r="551" spans="1:7" ht="14.25" customHeight="1" x14ac:dyDescent="0.3">
      <c r="A551" s="85"/>
      <c r="B551" s="86"/>
      <c r="C551" s="92"/>
      <c r="D551" s="34"/>
      <c r="E551" s="36"/>
      <c r="F551" s="36"/>
      <c r="G551" s="87"/>
    </row>
    <row r="552" spans="1:7" ht="14.25" customHeight="1" x14ac:dyDescent="0.3">
      <c r="A552" s="85"/>
      <c r="B552" s="86"/>
      <c r="C552" s="92"/>
      <c r="D552" s="34"/>
      <c r="E552" s="36"/>
      <c r="F552" s="36"/>
      <c r="G552" s="87"/>
    </row>
    <row r="553" spans="1:7" ht="14.25" customHeight="1" x14ac:dyDescent="0.3">
      <c r="A553" s="85"/>
      <c r="B553" s="86"/>
      <c r="C553" s="92"/>
      <c r="D553" s="34"/>
      <c r="E553" s="36"/>
      <c r="F553" s="36"/>
      <c r="G553" s="87"/>
    </row>
    <row r="554" spans="1:7" ht="14.25" customHeight="1" x14ac:dyDescent="0.3">
      <c r="A554" s="85"/>
      <c r="B554" s="86"/>
      <c r="C554" s="92"/>
      <c r="D554" s="34"/>
      <c r="E554" s="36"/>
      <c r="F554" s="36"/>
      <c r="G554" s="87"/>
    </row>
    <row r="555" spans="1:7" ht="14.25" customHeight="1" x14ac:dyDescent="0.3">
      <c r="A555" s="85"/>
      <c r="B555" s="86"/>
      <c r="C555" s="92"/>
      <c r="D555" s="34"/>
      <c r="E555" s="36"/>
      <c r="F555" s="36"/>
      <c r="G555" s="87"/>
    </row>
    <row r="556" spans="1:7" ht="14.25" customHeight="1" x14ac:dyDescent="0.3">
      <c r="A556" s="85"/>
      <c r="B556" s="86"/>
      <c r="C556" s="92"/>
      <c r="D556" s="34"/>
      <c r="E556" s="36"/>
      <c r="F556" s="36"/>
      <c r="G556" s="87"/>
    </row>
    <row r="557" spans="1:7" ht="14.25" customHeight="1" x14ac:dyDescent="0.3">
      <c r="A557" s="85"/>
      <c r="B557" s="86"/>
      <c r="C557" s="92"/>
      <c r="D557" s="34"/>
      <c r="E557" s="36"/>
      <c r="F557" s="36"/>
      <c r="G557" s="87"/>
    </row>
    <row r="558" spans="1:7" ht="14.25" customHeight="1" x14ac:dyDescent="0.3">
      <c r="A558" s="85"/>
      <c r="B558" s="86"/>
      <c r="C558" s="92"/>
      <c r="D558" s="34"/>
      <c r="E558" s="36"/>
      <c r="F558" s="36"/>
      <c r="G558" s="87"/>
    </row>
    <row r="559" spans="1:7" ht="14.25" customHeight="1" x14ac:dyDescent="0.3">
      <c r="A559" s="85"/>
      <c r="B559" s="86"/>
      <c r="C559" s="92"/>
      <c r="D559" s="34"/>
      <c r="E559" s="36"/>
      <c r="F559" s="36"/>
      <c r="G559" s="87"/>
    </row>
    <row r="560" spans="1:7" ht="14.25" customHeight="1" x14ac:dyDescent="0.3">
      <c r="A560" s="85"/>
      <c r="B560" s="86"/>
      <c r="C560" s="92"/>
      <c r="D560" s="34"/>
      <c r="E560" s="36"/>
      <c r="F560" s="36"/>
      <c r="G560" s="87"/>
    </row>
    <row r="561" spans="1:7" ht="14.25" customHeight="1" x14ac:dyDescent="0.3">
      <c r="A561" s="85"/>
      <c r="B561" s="86"/>
      <c r="C561" s="92"/>
      <c r="D561" s="34"/>
      <c r="E561" s="36"/>
      <c r="F561" s="36"/>
      <c r="G561" s="87"/>
    </row>
    <row r="562" spans="1:7" ht="14.25" customHeight="1" x14ac:dyDescent="0.3">
      <c r="A562" s="85"/>
      <c r="B562" s="86"/>
      <c r="C562" s="92"/>
      <c r="D562" s="34"/>
      <c r="E562" s="36"/>
      <c r="F562" s="36"/>
      <c r="G562" s="87"/>
    </row>
    <row r="563" spans="1:7" ht="14.25" customHeight="1" x14ac:dyDescent="0.3">
      <c r="A563" s="85"/>
      <c r="B563" s="86"/>
      <c r="C563" s="92"/>
      <c r="D563" s="34"/>
      <c r="E563" s="36"/>
      <c r="F563" s="36"/>
      <c r="G563" s="87"/>
    </row>
    <row r="564" spans="1:7" ht="14.25" customHeight="1" x14ac:dyDescent="0.3">
      <c r="A564" s="85"/>
      <c r="B564" s="86"/>
      <c r="C564" s="92"/>
      <c r="D564" s="34"/>
      <c r="E564" s="36"/>
      <c r="F564" s="36"/>
      <c r="G564" s="87"/>
    </row>
    <row r="565" spans="1:7" ht="14.25" customHeight="1" x14ac:dyDescent="0.3">
      <c r="A565" s="85"/>
      <c r="B565" s="86"/>
      <c r="C565" s="92"/>
      <c r="D565" s="34"/>
      <c r="E565" s="36"/>
      <c r="F565" s="36"/>
      <c r="G565" s="87"/>
    </row>
    <row r="566" spans="1:7" ht="14.25" customHeight="1" x14ac:dyDescent="0.3">
      <c r="A566" s="85"/>
      <c r="B566" s="86"/>
      <c r="C566" s="92"/>
      <c r="D566" s="34"/>
      <c r="E566" s="36"/>
      <c r="F566" s="36"/>
      <c r="G566" s="87"/>
    </row>
    <row r="567" spans="1:7" ht="14.25" customHeight="1" x14ac:dyDescent="0.3">
      <c r="A567" s="85"/>
      <c r="B567" s="86"/>
      <c r="C567" s="92"/>
      <c r="D567" s="34"/>
      <c r="E567" s="36"/>
      <c r="F567" s="36"/>
      <c r="G567" s="87"/>
    </row>
    <row r="568" spans="1:7" ht="14.25" customHeight="1" x14ac:dyDescent="0.3">
      <c r="A568" s="85"/>
      <c r="B568" s="86"/>
      <c r="C568" s="92"/>
      <c r="D568" s="34"/>
      <c r="E568" s="36"/>
      <c r="F568" s="36"/>
      <c r="G568" s="87"/>
    </row>
    <row r="569" spans="1:7" ht="14.25" customHeight="1" x14ac:dyDescent="0.3">
      <c r="A569" s="85"/>
      <c r="B569" s="86"/>
      <c r="C569" s="92"/>
      <c r="D569" s="34"/>
      <c r="E569" s="36"/>
      <c r="F569" s="36"/>
      <c r="G569" s="87"/>
    </row>
    <row r="570" spans="1:7" ht="14.25" customHeight="1" x14ac:dyDescent="0.3">
      <c r="A570" s="85"/>
      <c r="B570" s="86"/>
      <c r="C570" s="92"/>
      <c r="D570" s="34"/>
      <c r="E570" s="36"/>
      <c r="F570" s="36"/>
      <c r="G570" s="87"/>
    </row>
    <row r="571" spans="1:7" ht="14.25" customHeight="1" x14ac:dyDescent="0.3">
      <c r="A571" s="85"/>
      <c r="B571" s="86"/>
      <c r="C571" s="92"/>
      <c r="D571" s="34"/>
      <c r="E571" s="36"/>
      <c r="F571" s="36"/>
      <c r="G571" s="87"/>
    </row>
    <row r="572" spans="1:7" ht="14.25" customHeight="1" x14ac:dyDescent="0.3">
      <c r="A572" s="85"/>
      <c r="B572" s="86"/>
      <c r="C572" s="92"/>
      <c r="D572" s="34"/>
      <c r="E572" s="36"/>
      <c r="F572" s="36"/>
      <c r="G572" s="87"/>
    </row>
    <row r="573" spans="1:7" ht="14.25" customHeight="1" x14ac:dyDescent="0.3">
      <c r="A573" s="85"/>
      <c r="B573" s="86"/>
      <c r="C573" s="92"/>
      <c r="D573" s="34"/>
      <c r="E573" s="36"/>
      <c r="F573" s="36"/>
      <c r="G573" s="87"/>
    </row>
    <row r="574" spans="1:7" ht="14.25" customHeight="1" x14ac:dyDescent="0.3">
      <c r="A574" s="85"/>
      <c r="B574" s="86"/>
      <c r="C574" s="92"/>
      <c r="D574" s="34"/>
      <c r="E574" s="36"/>
      <c r="F574" s="36"/>
      <c r="G574" s="87"/>
    </row>
    <row r="575" spans="1:7" ht="14.25" customHeight="1" x14ac:dyDescent="0.3">
      <c r="A575" s="85"/>
      <c r="B575" s="86"/>
      <c r="C575" s="92"/>
      <c r="D575" s="34"/>
      <c r="E575" s="36"/>
      <c r="F575" s="36"/>
      <c r="G575" s="87"/>
    </row>
    <row r="576" spans="1:7" ht="14.25" customHeight="1" x14ac:dyDescent="0.3">
      <c r="A576" s="85"/>
      <c r="B576" s="86"/>
      <c r="C576" s="92"/>
      <c r="D576" s="34"/>
      <c r="E576" s="36"/>
      <c r="F576" s="36"/>
      <c r="G576" s="87"/>
    </row>
    <row r="577" spans="1:7" ht="14.25" customHeight="1" x14ac:dyDescent="0.3">
      <c r="A577" s="85"/>
      <c r="B577" s="86"/>
      <c r="C577" s="92"/>
      <c r="D577" s="34"/>
      <c r="E577" s="36"/>
      <c r="F577" s="36"/>
      <c r="G577" s="87"/>
    </row>
    <row r="578" spans="1:7" ht="14.25" customHeight="1" x14ac:dyDescent="0.3">
      <c r="A578" s="85"/>
      <c r="B578" s="86"/>
      <c r="C578" s="92"/>
      <c r="D578" s="34"/>
      <c r="E578" s="36"/>
      <c r="F578" s="36"/>
      <c r="G578" s="87"/>
    </row>
    <row r="579" spans="1:7" ht="14.25" customHeight="1" x14ac:dyDescent="0.3">
      <c r="A579" s="85"/>
      <c r="B579" s="86"/>
      <c r="C579" s="92"/>
      <c r="D579" s="34"/>
      <c r="E579" s="36"/>
      <c r="F579" s="36"/>
      <c r="G579" s="87"/>
    </row>
    <row r="580" spans="1:7" ht="14.25" customHeight="1" x14ac:dyDescent="0.3">
      <c r="A580" s="85"/>
      <c r="B580" s="86"/>
      <c r="C580" s="92"/>
      <c r="D580" s="34"/>
      <c r="E580" s="36"/>
      <c r="F580" s="36"/>
      <c r="G580" s="87"/>
    </row>
    <row r="581" spans="1:7" ht="14.25" customHeight="1" x14ac:dyDescent="0.3">
      <c r="A581" s="85"/>
      <c r="B581" s="86"/>
      <c r="C581" s="92"/>
      <c r="D581" s="34"/>
      <c r="E581" s="36"/>
      <c r="F581" s="36"/>
      <c r="G581" s="87"/>
    </row>
    <row r="582" spans="1:7" ht="14.25" customHeight="1" x14ac:dyDescent="0.3">
      <c r="A582" s="85"/>
      <c r="B582" s="86"/>
      <c r="C582" s="92"/>
      <c r="D582" s="34"/>
      <c r="E582" s="36"/>
      <c r="F582" s="36"/>
      <c r="G582" s="87"/>
    </row>
    <row r="583" spans="1:7" ht="14.25" customHeight="1" x14ac:dyDescent="0.3">
      <c r="A583" s="85"/>
      <c r="B583" s="86"/>
      <c r="C583" s="92"/>
      <c r="D583" s="34"/>
      <c r="E583" s="36"/>
      <c r="F583" s="36"/>
      <c r="G583" s="87"/>
    </row>
    <row r="584" spans="1:7" ht="14.25" customHeight="1" x14ac:dyDescent="0.3">
      <c r="A584" s="85"/>
      <c r="B584" s="86"/>
      <c r="C584" s="92"/>
      <c r="D584" s="34"/>
      <c r="E584" s="36"/>
      <c r="F584" s="36"/>
      <c r="G584" s="87"/>
    </row>
    <row r="585" spans="1:7" ht="14.25" customHeight="1" x14ac:dyDescent="0.3">
      <c r="A585" s="85"/>
      <c r="B585" s="86"/>
      <c r="C585" s="92"/>
      <c r="D585" s="34"/>
      <c r="E585" s="36"/>
      <c r="F585" s="36"/>
      <c r="G585" s="87"/>
    </row>
    <row r="586" spans="1:7" ht="14.25" customHeight="1" x14ac:dyDescent="0.3">
      <c r="A586" s="85"/>
      <c r="B586" s="86"/>
      <c r="C586" s="92"/>
      <c r="D586" s="34"/>
      <c r="E586" s="36"/>
      <c r="F586" s="36"/>
      <c r="G586" s="87"/>
    </row>
    <row r="587" spans="1:7" ht="14.25" customHeight="1" x14ac:dyDescent="0.3">
      <c r="A587" s="85"/>
      <c r="B587" s="86"/>
      <c r="C587" s="92"/>
      <c r="D587" s="34"/>
      <c r="E587" s="36"/>
      <c r="F587" s="36"/>
      <c r="G587" s="87"/>
    </row>
    <row r="588" spans="1:7" ht="14.25" customHeight="1" x14ac:dyDescent="0.3">
      <c r="A588" s="85"/>
      <c r="B588" s="86"/>
      <c r="C588" s="92"/>
      <c r="D588" s="34"/>
      <c r="E588" s="36"/>
      <c r="F588" s="36"/>
      <c r="G588" s="87"/>
    </row>
    <row r="589" spans="1:7" ht="14.25" customHeight="1" x14ac:dyDescent="0.3">
      <c r="A589" s="85"/>
      <c r="B589" s="86"/>
      <c r="C589" s="92"/>
      <c r="D589" s="34"/>
      <c r="E589" s="36"/>
      <c r="F589" s="36"/>
      <c r="G589" s="87"/>
    </row>
    <row r="590" spans="1:7" ht="14.25" customHeight="1" x14ac:dyDescent="0.3">
      <c r="A590" s="85"/>
      <c r="B590" s="86"/>
      <c r="C590" s="92"/>
      <c r="D590" s="34"/>
      <c r="E590" s="36"/>
      <c r="F590" s="36"/>
      <c r="G590" s="87"/>
    </row>
    <row r="591" spans="1:7" ht="14.25" customHeight="1" x14ac:dyDescent="0.3">
      <c r="A591" s="85"/>
      <c r="B591" s="86"/>
      <c r="C591" s="92"/>
      <c r="D591" s="34"/>
      <c r="E591" s="36"/>
      <c r="F591" s="36"/>
      <c r="G591" s="87"/>
    </row>
    <row r="592" spans="1:7" ht="14.25" customHeight="1" x14ac:dyDescent="0.3">
      <c r="A592" s="85"/>
      <c r="B592" s="86"/>
      <c r="C592" s="92"/>
      <c r="D592" s="34"/>
      <c r="E592" s="36"/>
      <c r="F592" s="36"/>
      <c r="G592" s="87"/>
    </row>
    <row r="593" spans="1:7" ht="14.25" customHeight="1" x14ac:dyDescent="0.3">
      <c r="A593" s="85"/>
      <c r="B593" s="86"/>
      <c r="C593" s="92"/>
      <c r="D593" s="34"/>
      <c r="E593" s="36"/>
      <c r="F593" s="36"/>
      <c r="G593" s="87"/>
    </row>
    <row r="594" spans="1:7" ht="14.25" customHeight="1" x14ac:dyDescent="0.3">
      <c r="A594" s="85"/>
      <c r="B594" s="86"/>
      <c r="C594" s="92"/>
      <c r="D594" s="34"/>
      <c r="E594" s="36"/>
      <c r="F594" s="36"/>
      <c r="G594" s="87"/>
    </row>
    <row r="595" spans="1:7" ht="14.25" customHeight="1" x14ac:dyDescent="0.3">
      <c r="A595" s="85"/>
      <c r="B595" s="86"/>
      <c r="C595" s="92"/>
      <c r="D595" s="34"/>
      <c r="E595" s="36"/>
      <c r="F595" s="36"/>
      <c r="G595" s="87"/>
    </row>
    <row r="596" spans="1:7" ht="14.25" customHeight="1" x14ac:dyDescent="0.3">
      <c r="A596" s="85"/>
      <c r="B596" s="86"/>
      <c r="C596" s="92"/>
      <c r="D596" s="34"/>
      <c r="E596" s="36"/>
      <c r="F596" s="36"/>
      <c r="G596" s="87"/>
    </row>
    <row r="597" spans="1:7" ht="14.25" customHeight="1" x14ac:dyDescent="0.3">
      <c r="A597" s="85"/>
      <c r="B597" s="86"/>
      <c r="C597" s="92"/>
      <c r="D597" s="34"/>
      <c r="E597" s="36"/>
      <c r="F597" s="36"/>
      <c r="G597" s="87"/>
    </row>
    <row r="598" spans="1:7" ht="14.25" customHeight="1" x14ac:dyDescent="0.3">
      <c r="A598" s="85"/>
      <c r="B598" s="86"/>
      <c r="C598" s="92"/>
      <c r="D598" s="34"/>
      <c r="E598" s="36"/>
      <c r="F598" s="36"/>
      <c r="G598" s="87"/>
    </row>
    <row r="599" spans="1:7" ht="14.25" customHeight="1" x14ac:dyDescent="0.3">
      <c r="A599" s="85"/>
      <c r="B599" s="86"/>
      <c r="C599" s="92"/>
      <c r="D599" s="34"/>
      <c r="E599" s="36"/>
      <c r="F599" s="36"/>
      <c r="G599" s="87"/>
    </row>
    <row r="600" spans="1:7" ht="14.25" customHeight="1" x14ac:dyDescent="0.3">
      <c r="A600" s="85"/>
      <c r="B600" s="86"/>
      <c r="C600" s="92"/>
      <c r="D600" s="34"/>
      <c r="E600" s="36"/>
      <c r="F600" s="36"/>
      <c r="G600" s="87"/>
    </row>
    <row r="601" spans="1:7" ht="14.25" customHeight="1" x14ac:dyDescent="0.3">
      <c r="A601" s="85"/>
      <c r="B601" s="86"/>
      <c r="C601" s="92"/>
      <c r="D601" s="34"/>
      <c r="E601" s="36"/>
      <c r="F601" s="36"/>
      <c r="G601" s="87"/>
    </row>
    <row r="602" spans="1:7" ht="14.25" customHeight="1" x14ac:dyDescent="0.3">
      <c r="A602" s="85"/>
      <c r="B602" s="86"/>
      <c r="C602" s="92"/>
      <c r="D602" s="34"/>
      <c r="E602" s="36"/>
      <c r="F602" s="36"/>
      <c r="G602" s="87"/>
    </row>
    <row r="603" spans="1:7" ht="14.25" customHeight="1" x14ac:dyDescent="0.3">
      <c r="A603" s="85"/>
      <c r="B603" s="86"/>
      <c r="C603" s="92"/>
      <c r="D603" s="34"/>
      <c r="E603" s="36"/>
      <c r="F603" s="36"/>
      <c r="G603" s="87"/>
    </row>
    <row r="604" spans="1:7" ht="14.25" customHeight="1" x14ac:dyDescent="0.3">
      <c r="A604" s="85"/>
      <c r="B604" s="86"/>
      <c r="C604" s="92"/>
      <c r="D604" s="34"/>
      <c r="E604" s="36"/>
      <c r="F604" s="36"/>
      <c r="G604" s="87"/>
    </row>
    <row r="605" spans="1:7" ht="14.25" customHeight="1" x14ac:dyDescent="0.3">
      <c r="A605" s="85"/>
      <c r="B605" s="86"/>
      <c r="C605" s="92"/>
      <c r="D605" s="34"/>
      <c r="E605" s="36"/>
      <c r="F605" s="36"/>
      <c r="G605" s="87"/>
    </row>
    <row r="606" spans="1:7" ht="14.25" customHeight="1" x14ac:dyDescent="0.3">
      <c r="A606" s="85"/>
      <c r="B606" s="86"/>
      <c r="C606" s="92"/>
      <c r="D606" s="34"/>
      <c r="E606" s="36"/>
      <c r="F606" s="36"/>
      <c r="G606" s="87"/>
    </row>
    <row r="607" spans="1:7" ht="14.25" customHeight="1" x14ac:dyDescent="0.3">
      <c r="A607" s="85"/>
      <c r="B607" s="86"/>
      <c r="C607" s="92"/>
      <c r="D607" s="34"/>
      <c r="E607" s="36"/>
      <c r="F607" s="36"/>
      <c r="G607" s="87"/>
    </row>
    <row r="608" spans="1:7" ht="14.25" customHeight="1" x14ac:dyDescent="0.3">
      <c r="A608" s="85"/>
      <c r="B608" s="86"/>
      <c r="C608" s="92"/>
      <c r="D608" s="34"/>
      <c r="E608" s="36"/>
      <c r="F608" s="36"/>
      <c r="G608" s="87"/>
    </row>
    <row r="609" spans="1:7" ht="14.25" customHeight="1" x14ac:dyDescent="0.3">
      <c r="A609" s="85"/>
      <c r="B609" s="86"/>
      <c r="C609" s="92"/>
      <c r="D609" s="34"/>
      <c r="E609" s="36"/>
      <c r="F609" s="36"/>
      <c r="G609" s="87"/>
    </row>
    <row r="610" spans="1:7" ht="14.25" customHeight="1" x14ac:dyDescent="0.3">
      <c r="A610" s="85"/>
      <c r="B610" s="86"/>
      <c r="C610" s="92"/>
      <c r="D610" s="34"/>
      <c r="E610" s="36"/>
      <c r="F610" s="36"/>
      <c r="G610" s="87"/>
    </row>
    <row r="611" spans="1:7" ht="14.25" customHeight="1" x14ac:dyDescent="0.3">
      <c r="A611" s="85"/>
      <c r="B611" s="86"/>
      <c r="C611" s="92"/>
      <c r="D611" s="34"/>
      <c r="E611" s="36"/>
      <c r="F611" s="36"/>
      <c r="G611" s="87"/>
    </row>
    <row r="612" spans="1:7" ht="14.25" customHeight="1" x14ac:dyDescent="0.3">
      <c r="A612" s="85"/>
      <c r="B612" s="86"/>
      <c r="C612" s="92"/>
      <c r="D612" s="34"/>
      <c r="E612" s="36"/>
      <c r="F612" s="36"/>
      <c r="G612" s="87"/>
    </row>
    <row r="613" spans="1:7" ht="14.25" customHeight="1" x14ac:dyDescent="0.3">
      <c r="A613" s="85"/>
      <c r="B613" s="86"/>
      <c r="C613" s="92"/>
      <c r="D613" s="34"/>
      <c r="E613" s="36"/>
      <c r="F613" s="36"/>
      <c r="G613" s="87"/>
    </row>
    <row r="614" spans="1:7" ht="14.25" customHeight="1" x14ac:dyDescent="0.3">
      <c r="A614" s="85"/>
      <c r="B614" s="86"/>
      <c r="C614" s="92"/>
      <c r="D614" s="34"/>
      <c r="E614" s="36"/>
      <c r="F614" s="36"/>
      <c r="G614" s="87"/>
    </row>
    <row r="615" spans="1:7" ht="14.25" customHeight="1" x14ac:dyDescent="0.3">
      <c r="A615" s="85"/>
      <c r="B615" s="86"/>
      <c r="C615" s="92"/>
      <c r="D615" s="34"/>
      <c r="E615" s="36"/>
      <c r="F615" s="36"/>
      <c r="G615" s="87"/>
    </row>
    <row r="616" spans="1:7" ht="14.25" customHeight="1" x14ac:dyDescent="0.3">
      <c r="A616" s="85"/>
      <c r="B616" s="86"/>
      <c r="C616" s="92"/>
      <c r="D616" s="34"/>
      <c r="E616" s="36"/>
      <c r="F616" s="36"/>
      <c r="G616" s="87"/>
    </row>
    <row r="617" spans="1:7" ht="14.25" customHeight="1" x14ac:dyDescent="0.3">
      <c r="A617" s="85"/>
      <c r="B617" s="86"/>
      <c r="C617" s="92"/>
      <c r="D617" s="34"/>
      <c r="E617" s="36"/>
      <c r="F617" s="36"/>
      <c r="G617" s="87"/>
    </row>
    <row r="618" spans="1:7" ht="14.25" customHeight="1" x14ac:dyDescent="0.3">
      <c r="A618" s="85"/>
      <c r="B618" s="86"/>
      <c r="C618" s="92"/>
      <c r="D618" s="34"/>
      <c r="E618" s="36"/>
      <c r="F618" s="36"/>
      <c r="G618" s="87"/>
    </row>
    <row r="619" spans="1:7" ht="14.25" customHeight="1" x14ac:dyDescent="0.3">
      <c r="A619" s="85"/>
      <c r="B619" s="86"/>
      <c r="C619" s="92"/>
      <c r="D619" s="34"/>
      <c r="E619" s="36"/>
      <c r="F619" s="36"/>
      <c r="G619" s="87"/>
    </row>
    <row r="620" spans="1:7" ht="14.25" customHeight="1" x14ac:dyDescent="0.3">
      <c r="A620" s="85"/>
      <c r="B620" s="86"/>
      <c r="C620" s="92"/>
      <c r="D620" s="34"/>
      <c r="E620" s="36"/>
      <c r="F620" s="36"/>
      <c r="G620" s="87"/>
    </row>
    <row r="621" spans="1:7" ht="14.25" customHeight="1" x14ac:dyDescent="0.3">
      <c r="A621" s="85"/>
      <c r="B621" s="86"/>
      <c r="C621" s="92"/>
      <c r="D621" s="34"/>
      <c r="E621" s="36"/>
      <c r="F621" s="36"/>
      <c r="G621" s="87"/>
    </row>
    <row r="622" spans="1:7" ht="14.25" customHeight="1" x14ac:dyDescent="0.3">
      <c r="A622" s="85"/>
      <c r="B622" s="86"/>
      <c r="C622" s="92"/>
      <c r="D622" s="34"/>
      <c r="E622" s="36"/>
      <c r="F622" s="36"/>
      <c r="G622" s="87"/>
    </row>
    <row r="623" spans="1:7" ht="14.25" customHeight="1" x14ac:dyDescent="0.3">
      <c r="A623" s="85"/>
      <c r="B623" s="86"/>
      <c r="C623" s="92"/>
      <c r="D623" s="34"/>
      <c r="E623" s="36"/>
      <c r="F623" s="36"/>
      <c r="G623" s="87"/>
    </row>
    <row r="624" spans="1:7" ht="14.25" customHeight="1" x14ac:dyDescent="0.3">
      <c r="A624" s="85"/>
      <c r="B624" s="86"/>
      <c r="C624" s="92"/>
      <c r="D624" s="34"/>
      <c r="E624" s="36"/>
      <c r="F624" s="36"/>
      <c r="G624" s="87"/>
    </row>
    <row r="625" spans="1:7" ht="14.25" customHeight="1" x14ac:dyDescent="0.3">
      <c r="A625" s="85"/>
      <c r="B625" s="86"/>
      <c r="C625" s="92"/>
      <c r="D625" s="34"/>
      <c r="E625" s="36"/>
      <c r="F625" s="36"/>
      <c r="G625" s="87"/>
    </row>
    <row r="626" spans="1:7" ht="14.25" customHeight="1" x14ac:dyDescent="0.3">
      <c r="A626" s="85"/>
      <c r="B626" s="86"/>
      <c r="C626" s="92"/>
      <c r="D626" s="34"/>
      <c r="E626" s="36"/>
      <c r="F626" s="36"/>
      <c r="G626" s="87"/>
    </row>
    <row r="627" spans="1:7" ht="14.25" customHeight="1" x14ac:dyDescent="0.3">
      <c r="A627" s="85"/>
      <c r="B627" s="86"/>
      <c r="C627" s="92"/>
      <c r="D627" s="34"/>
      <c r="E627" s="36"/>
      <c r="F627" s="36"/>
      <c r="G627" s="87"/>
    </row>
    <row r="628" spans="1:7" ht="14.25" customHeight="1" x14ac:dyDescent="0.3">
      <c r="A628" s="85"/>
      <c r="B628" s="86"/>
      <c r="C628" s="92"/>
      <c r="D628" s="34"/>
      <c r="E628" s="36"/>
      <c r="F628" s="36"/>
      <c r="G628" s="87"/>
    </row>
    <row r="629" spans="1:7" ht="14.25" customHeight="1" x14ac:dyDescent="0.3">
      <c r="A629" s="85"/>
      <c r="B629" s="86"/>
      <c r="C629" s="92"/>
      <c r="D629" s="34"/>
      <c r="E629" s="36"/>
      <c r="F629" s="36"/>
      <c r="G629" s="87"/>
    </row>
    <row r="630" spans="1:7" ht="14.25" customHeight="1" x14ac:dyDescent="0.3">
      <c r="A630" s="85"/>
      <c r="B630" s="86"/>
      <c r="C630" s="92"/>
      <c r="D630" s="34"/>
      <c r="E630" s="36"/>
      <c r="F630" s="36"/>
      <c r="G630" s="87"/>
    </row>
    <row r="631" spans="1:7" ht="14.25" customHeight="1" x14ac:dyDescent="0.3">
      <c r="A631" s="85"/>
      <c r="B631" s="86"/>
      <c r="C631" s="92"/>
      <c r="D631" s="34"/>
      <c r="E631" s="36"/>
      <c r="F631" s="36"/>
      <c r="G631" s="87"/>
    </row>
    <row r="632" spans="1:7" ht="14.25" customHeight="1" x14ac:dyDescent="0.3">
      <c r="A632" s="85"/>
      <c r="B632" s="86"/>
      <c r="C632" s="92"/>
      <c r="D632" s="34"/>
      <c r="E632" s="36"/>
      <c r="F632" s="36"/>
      <c r="G632" s="87"/>
    </row>
    <row r="633" spans="1:7" ht="14.25" customHeight="1" x14ac:dyDescent="0.3">
      <c r="A633" s="85"/>
      <c r="B633" s="86"/>
      <c r="C633" s="92"/>
      <c r="D633" s="34"/>
      <c r="E633" s="36"/>
      <c r="F633" s="36"/>
      <c r="G633" s="87"/>
    </row>
    <row r="634" spans="1:7" ht="14.25" customHeight="1" x14ac:dyDescent="0.3">
      <c r="A634" s="85"/>
      <c r="B634" s="86"/>
      <c r="C634" s="92"/>
      <c r="D634" s="34"/>
      <c r="E634" s="36"/>
      <c r="F634" s="36"/>
      <c r="G634" s="87"/>
    </row>
    <row r="635" spans="1:7" ht="14.25" customHeight="1" x14ac:dyDescent="0.3">
      <c r="A635" s="85"/>
      <c r="B635" s="86"/>
      <c r="C635" s="92"/>
      <c r="D635" s="34"/>
      <c r="E635" s="36"/>
      <c r="F635" s="36"/>
      <c r="G635" s="87"/>
    </row>
    <row r="636" spans="1:7" ht="14.25" customHeight="1" x14ac:dyDescent="0.3">
      <c r="A636" s="85"/>
      <c r="B636" s="86"/>
      <c r="C636" s="92"/>
      <c r="D636" s="34"/>
      <c r="E636" s="36"/>
      <c r="F636" s="36"/>
      <c r="G636" s="87"/>
    </row>
    <row r="637" spans="1:7" ht="14.25" customHeight="1" x14ac:dyDescent="0.3">
      <c r="A637" s="85"/>
      <c r="B637" s="86"/>
      <c r="C637" s="92"/>
      <c r="D637" s="34"/>
      <c r="E637" s="36"/>
      <c r="F637" s="36"/>
      <c r="G637" s="87"/>
    </row>
    <row r="638" spans="1:7" ht="14.25" customHeight="1" x14ac:dyDescent="0.3">
      <c r="A638" s="85"/>
      <c r="B638" s="86"/>
      <c r="C638" s="92"/>
      <c r="D638" s="34"/>
      <c r="E638" s="36"/>
      <c r="F638" s="36"/>
      <c r="G638" s="87"/>
    </row>
    <row r="639" spans="1:7" ht="14.25" customHeight="1" x14ac:dyDescent="0.3">
      <c r="A639" s="85"/>
      <c r="B639" s="86"/>
      <c r="C639" s="92"/>
      <c r="D639" s="34"/>
      <c r="E639" s="36"/>
      <c r="F639" s="36"/>
      <c r="G639" s="87"/>
    </row>
    <row r="640" spans="1:7" ht="14.25" customHeight="1" x14ac:dyDescent="0.3">
      <c r="A640" s="85"/>
      <c r="B640" s="86"/>
      <c r="C640" s="92"/>
      <c r="D640" s="34"/>
      <c r="E640" s="36"/>
      <c r="F640" s="36"/>
      <c r="G640" s="87"/>
    </row>
    <row r="641" spans="1:7" ht="14.25" customHeight="1" x14ac:dyDescent="0.3">
      <c r="A641" s="85"/>
      <c r="B641" s="86"/>
      <c r="C641" s="92"/>
      <c r="D641" s="34"/>
      <c r="E641" s="36"/>
      <c r="F641" s="36"/>
      <c r="G641" s="87"/>
    </row>
    <row r="642" spans="1:7" ht="14.25" customHeight="1" x14ac:dyDescent="0.3">
      <c r="A642" s="85"/>
      <c r="B642" s="86"/>
      <c r="C642" s="92"/>
      <c r="D642" s="34"/>
      <c r="E642" s="36"/>
      <c r="F642" s="36"/>
      <c r="G642" s="87"/>
    </row>
    <row r="643" spans="1:7" ht="14.25" customHeight="1" x14ac:dyDescent="0.3">
      <c r="A643" s="85"/>
      <c r="B643" s="86"/>
      <c r="C643" s="92"/>
      <c r="D643" s="34"/>
      <c r="E643" s="36"/>
      <c r="F643" s="36"/>
      <c r="G643" s="87"/>
    </row>
    <row r="644" spans="1:7" ht="14.25" customHeight="1" x14ac:dyDescent="0.3">
      <c r="A644" s="85"/>
      <c r="B644" s="86"/>
      <c r="C644" s="92"/>
      <c r="D644" s="34"/>
      <c r="E644" s="36"/>
      <c r="F644" s="36"/>
      <c r="G644" s="87"/>
    </row>
    <row r="645" spans="1:7" ht="14.25" customHeight="1" x14ac:dyDescent="0.3">
      <c r="A645" s="85"/>
      <c r="B645" s="86"/>
      <c r="C645" s="92"/>
      <c r="D645" s="34"/>
      <c r="E645" s="36"/>
      <c r="F645" s="36"/>
      <c r="G645" s="87"/>
    </row>
    <row r="646" spans="1:7" ht="14.25" customHeight="1" x14ac:dyDescent="0.3">
      <c r="A646" s="85"/>
      <c r="B646" s="86"/>
      <c r="C646" s="92"/>
      <c r="D646" s="34"/>
      <c r="E646" s="36"/>
      <c r="F646" s="36"/>
      <c r="G646" s="87"/>
    </row>
    <row r="647" spans="1:7" ht="14.25" customHeight="1" x14ac:dyDescent="0.3">
      <c r="A647" s="85"/>
      <c r="B647" s="86"/>
      <c r="C647" s="92"/>
      <c r="D647" s="34"/>
      <c r="E647" s="36"/>
      <c r="F647" s="36"/>
      <c r="G647" s="87"/>
    </row>
    <row r="648" spans="1:7" ht="14.25" customHeight="1" x14ac:dyDescent="0.3">
      <c r="A648" s="85"/>
      <c r="B648" s="86"/>
      <c r="C648" s="92"/>
      <c r="D648" s="34"/>
      <c r="E648" s="36"/>
      <c r="F648" s="36"/>
      <c r="G648" s="87"/>
    </row>
    <row r="649" spans="1:7" ht="14.25" customHeight="1" x14ac:dyDescent="0.3">
      <c r="A649" s="85"/>
      <c r="B649" s="86"/>
      <c r="C649" s="92"/>
      <c r="D649" s="34"/>
      <c r="E649" s="36"/>
      <c r="F649" s="36"/>
      <c r="G649" s="87"/>
    </row>
    <row r="650" spans="1:7" ht="14.25" customHeight="1" x14ac:dyDescent="0.3">
      <c r="A650" s="85"/>
      <c r="B650" s="86"/>
      <c r="C650" s="92"/>
      <c r="D650" s="34"/>
      <c r="E650" s="36"/>
      <c r="F650" s="36"/>
      <c r="G650" s="87"/>
    </row>
    <row r="651" spans="1:7" ht="14.25" customHeight="1" x14ac:dyDescent="0.3">
      <c r="A651" s="85"/>
      <c r="B651" s="86"/>
      <c r="C651" s="92"/>
      <c r="D651" s="34"/>
      <c r="E651" s="36"/>
      <c r="F651" s="36"/>
      <c r="G651" s="87"/>
    </row>
    <row r="652" spans="1:7" ht="14.25" customHeight="1" x14ac:dyDescent="0.3">
      <c r="A652" s="85"/>
      <c r="B652" s="86"/>
      <c r="C652" s="92"/>
      <c r="D652" s="34"/>
      <c r="E652" s="36"/>
      <c r="F652" s="36"/>
      <c r="G652" s="87"/>
    </row>
    <row r="653" spans="1:7" ht="14.25" customHeight="1" x14ac:dyDescent="0.3">
      <c r="A653" s="85"/>
      <c r="B653" s="86"/>
      <c r="C653" s="92"/>
      <c r="D653" s="34"/>
      <c r="E653" s="36"/>
      <c r="F653" s="36"/>
      <c r="G653" s="87"/>
    </row>
    <row r="654" spans="1:7" ht="14.25" customHeight="1" x14ac:dyDescent="0.3">
      <c r="A654" s="85"/>
      <c r="B654" s="86"/>
      <c r="C654" s="92"/>
      <c r="D654" s="34"/>
      <c r="E654" s="36"/>
      <c r="F654" s="36"/>
      <c r="G654" s="87"/>
    </row>
    <row r="655" spans="1:7" ht="14.25" customHeight="1" x14ac:dyDescent="0.3">
      <c r="A655" s="85"/>
      <c r="B655" s="86"/>
      <c r="C655" s="92"/>
      <c r="D655" s="34"/>
      <c r="E655" s="36"/>
      <c r="F655" s="36"/>
      <c r="G655" s="87"/>
    </row>
    <row r="656" spans="1:7" ht="14.25" customHeight="1" x14ac:dyDescent="0.3">
      <c r="A656" s="85"/>
      <c r="B656" s="86"/>
      <c r="C656" s="92"/>
      <c r="D656" s="34"/>
      <c r="E656" s="36"/>
      <c r="F656" s="36"/>
      <c r="G656" s="87"/>
    </row>
    <row r="657" spans="1:7" ht="14.25" customHeight="1" x14ac:dyDescent="0.3">
      <c r="A657" s="85"/>
      <c r="B657" s="86"/>
      <c r="C657" s="92"/>
      <c r="D657" s="34"/>
      <c r="E657" s="36"/>
      <c r="F657" s="36"/>
      <c r="G657" s="87"/>
    </row>
    <row r="658" spans="1:7" ht="14.25" customHeight="1" x14ac:dyDescent="0.3">
      <c r="A658" s="85"/>
      <c r="B658" s="86"/>
      <c r="C658" s="92"/>
      <c r="D658" s="34"/>
      <c r="E658" s="36"/>
      <c r="F658" s="36"/>
      <c r="G658" s="87"/>
    </row>
    <row r="659" spans="1:7" ht="14.25" customHeight="1" x14ac:dyDescent="0.3">
      <c r="A659" s="85"/>
      <c r="B659" s="86"/>
      <c r="C659" s="92"/>
      <c r="D659" s="34"/>
      <c r="E659" s="36"/>
      <c r="F659" s="36"/>
      <c r="G659" s="87"/>
    </row>
    <row r="660" spans="1:7" ht="14.25" customHeight="1" x14ac:dyDescent="0.3">
      <c r="A660" s="85"/>
      <c r="B660" s="86"/>
      <c r="C660" s="92"/>
      <c r="D660" s="34"/>
      <c r="E660" s="36"/>
      <c r="F660" s="36"/>
      <c r="G660" s="87"/>
    </row>
    <row r="661" spans="1:7" ht="14.25" customHeight="1" x14ac:dyDescent="0.3">
      <c r="A661" s="85"/>
      <c r="B661" s="86"/>
      <c r="C661" s="92"/>
      <c r="D661" s="34"/>
      <c r="E661" s="36"/>
      <c r="F661" s="36"/>
      <c r="G661" s="87"/>
    </row>
    <row r="662" spans="1:7" ht="14.25" customHeight="1" x14ac:dyDescent="0.3">
      <c r="A662" s="85"/>
      <c r="B662" s="86"/>
      <c r="C662" s="92"/>
      <c r="D662" s="34"/>
      <c r="E662" s="36"/>
      <c r="F662" s="36"/>
      <c r="G662" s="87"/>
    </row>
    <row r="663" spans="1:7" ht="14.25" customHeight="1" x14ac:dyDescent="0.3">
      <c r="A663" s="85"/>
      <c r="B663" s="86"/>
      <c r="C663" s="92"/>
      <c r="D663" s="34"/>
      <c r="E663" s="36"/>
      <c r="F663" s="36"/>
      <c r="G663" s="87"/>
    </row>
    <row r="664" spans="1:7" ht="14.25" customHeight="1" x14ac:dyDescent="0.3">
      <c r="A664" s="85"/>
      <c r="B664" s="86"/>
      <c r="C664" s="92"/>
      <c r="D664" s="34"/>
      <c r="E664" s="36"/>
      <c r="F664" s="36"/>
      <c r="G664" s="87"/>
    </row>
    <row r="665" spans="1:7" ht="14.25" customHeight="1" x14ac:dyDescent="0.3">
      <c r="A665" s="85"/>
      <c r="B665" s="86"/>
      <c r="C665" s="92"/>
      <c r="D665" s="34"/>
      <c r="E665" s="36"/>
      <c r="F665" s="36"/>
      <c r="G665" s="87"/>
    </row>
    <row r="666" spans="1:7" ht="14.25" customHeight="1" x14ac:dyDescent="0.3">
      <c r="A666" s="85"/>
      <c r="B666" s="86"/>
      <c r="C666" s="92"/>
      <c r="D666" s="34"/>
      <c r="E666" s="36"/>
      <c r="F666" s="36"/>
      <c r="G666" s="87"/>
    </row>
    <row r="667" spans="1:7" ht="14.25" customHeight="1" x14ac:dyDescent="0.3">
      <c r="A667" s="85"/>
      <c r="B667" s="86"/>
      <c r="C667" s="92"/>
      <c r="D667" s="34"/>
      <c r="E667" s="36"/>
      <c r="F667" s="36"/>
      <c r="G667" s="87"/>
    </row>
    <row r="668" spans="1:7" ht="14.25" customHeight="1" x14ac:dyDescent="0.3">
      <c r="A668" s="85"/>
      <c r="B668" s="86"/>
      <c r="C668" s="92"/>
      <c r="D668" s="34"/>
      <c r="E668" s="36"/>
      <c r="F668" s="36"/>
      <c r="G668" s="87"/>
    </row>
    <row r="669" spans="1:7" ht="14.25" customHeight="1" x14ac:dyDescent="0.3">
      <c r="A669" s="85"/>
      <c r="B669" s="86"/>
      <c r="C669" s="92"/>
      <c r="D669" s="34"/>
      <c r="E669" s="36"/>
      <c r="F669" s="36"/>
      <c r="G669" s="87"/>
    </row>
    <row r="670" spans="1:7" ht="14.25" customHeight="1" x14ac:dyDescent="0.3">
      <c r="A670" s="85"/>
      <c r="B670" s="86"/>
      <c r="C670" s="92"/>
      <c r="D670" s="34"/>
      <c r="E670" s="36"/>
      <c r="F670" s="36"/>
      <c r="G670" s="87"/>
    </row>
    <row r="671" spans="1:7" ht="14.25" customHeight="1" x14ac:dyDescent="0.3">
      <c r="A671" s="85"/>
      <c r="B671" s="86"/>
      <c r="C671" s="92"/>
      <c r="D671" s="34"/>
      <c r="E671" s="36"/>
      <c r="F671" s="36"/>
      <c r="G671" s="87"/>
    </row>
    <row r="672" spans="1:7" ht="14.25" customHeight="1" x14ac:dyDescent="0.3">
      <c r="A672" s="85"/>
      <c r="B672" s="86"/>
      <c r="C672" s="92"/>
      <c r="D672" s="34"/>
      <c r="E672" s="36"/>
      <c r="F672" s="36"/>
      <c r="G672" s="87"/>
    </row>
    <row r="673" spans="1:7" ht="14.25" customHeight="1" x14ac:dyDescent="0.3">
      <c r="A673" s="85"/>
      <c r="B673" s="86"/>
      <c r="C673" s="92"/>
      <c r="D673" s="34"/>
      <c r="E673" s="36"/>
      <c r="F673" s="36"/>
      <c r="G673" s="87"/>
    </row>
    <row r="674" spans="1:7" ht="14.25" customHeight="1" x14ac:dyDescent="0.3">
      <c r="A674" s="85"/>
      <c r="B674" s="86"/>
      <c r="C674" s="92"/>
      <c r="D674" s="34"/>
      <c r="E674" s="36"/>
      <c r="F674" s="36"/>
      <c r="G674" s="87"/>
    </row>
    <row r="675" spans="1:7" ht="14.25" customHeight="1" x14ac:dyDescent="0.3">
      <c r="A675" s="85"/>
      <c r="B675" s="86"/>
      <c r="C675" s="92"/>
      <c r="D675" s="34"/>
      <c r="E675" s="36"/>
      <c r="F675" s="36"/>
      <c r="G675" s="87"/>
    </row>
    <row r="676" spans="1:7" ht="14.25" customHeight="1" x14ac:dyDescent="0.3">
      <c r="A676" s="85"/>
      <c r="B676" s="86"/>
      <c r="C676" s="92"/>
      <c r="D676" s="34"/>
      <c r="E676" s="36"/>
      <c r="F676" s="36"/>
      <c r="G676" s="87"/>
    </row>
    <row r="677" spans="1:7" ht="14.25" customHeight="1" x14ac:dyDescent="0.3">
      <c r="A677" s="85"/>
      <c r="B677" s="86"/>
      <c r="C677" s="92"/>
      <c r="D677" s="34"/>
      <c r="E677" s="36"/>
      <c r="F677" s="36"/>
      <c r="G677" s="87"/>
    </row>
    <row r="678" spans="1:7" ht="14.25" customHeight="1" x14ac:dyDescent="0.3">
      <c r="A678" s="85"/>
      <c r="B678" s="86"/>
      <c r="C678" s="92"/>
      <c r="D678" s="34"/>
      <c r="E678" s="36"/>
      <c r="F678" s="36"/>
      <c r="G678" s="87"/>
    </row>
    <row r="679" spans="1:7" ht="14.25" customHeight="1" x14ac:dyDescent="0.3">
      <c r="A679" s="85"/>
      <c r="B679" s="86"/>
      <c r="C679" s="92"/>
      <c r="D679" s="34"/>
      <c r="E679" s="36"/>
      <c r="F679" s="36"/>
      <c r="G679" s="87"/>
    </row>
    <row r="680" spans="1:7" ht="14.25" customHeight="1" x14ac:dyDescent="0.3">
      <c r="A680" s="85"/>
      <c r="B680" s="86"/>
      <c r="C680" s="92"/>
      <c r="D680" s="34"/>
      <c r="E680" s="36"/>
      <c r="F680" s="36"/>
      <c r="G680" s="87"/>
    </row>
    <row r="681" spans="1:7" ht="14.25" customHeight="1" x14ac:dyDescent="0.3">
      <c r="A681" s="85"/>
      <c r="B681" s="86"/>
      <c r="C681" s="92"/>
      <c r="D681" s="34"/>
      <c r="E681" s="36"/>
      <c r="F681" s="36"/>
      <c r="G681" s="87"/>
    </row>
    <row r="682" spans="1:7" ht="14.25" customHeight="1" x14ac:dyDescent="0.3">
      <c r="A682" s="85"/>
      <c r="B682" s="86"/>
      <c r="C682" s="92"/>
      <c r="D682" s="34"/>
      <c r="E682" s="36"/>
      <c r="F682" s="36"/>
      <c r="G682" s="87"/>
    </row>
    <row r="683" spans="1:7" ht="14.25" customHeight="1" x14ac:dyDescent="0.3">
      <c r="A683" s="85"/>
      <c r="B683" s="86"/>
      <c r="C683" s="92"/>
      <c r="D683" s="34"/>
      <c r="E683" s="36"/>
      <c r="F683" s="36"/>
      <c r="G683" s="87"/>
    </row>
    <row r="684" spans="1:7" ht="14.25" customHeight="1" x14ac:dyDescent="0.3">
      <c r="A684" s="85"/>
      <c r="B684" s="86"/>
      <c r="C684" s="92"/>
      <c r="D684" s="34"/>
      <c r="E684" s="36"/>
      <c r="F684" s="36"/>
      <c r="G684" s="87"/>
    </row>
    <row r="685" spans="1:7" ht="14.25" customHeight="1" x14ac:dyDescent="0.3">
      <c r="A685" s="85"/>
      <c r="B685" s="86"/>
      <c r="C685" s="92"/>
      <c r="D685" s="34"/>
      <c r="E685" s="36"/>
      <c r="F685" s="36"/>
      <c r="G685" s="87"/>
    </row>
    <row r="686" spans="1:7" ht="14.25" customHeight="1" x14ac:dyDescent="0.3">
      <c r="A686" s="85"/>
      <c r="B686" s="86"/>
      <c r="C686" s="92"/>
      <c r="D686" s="34"/>
      <c r="E686" s="36"/>
      <c r="F686" s="36"/>
      <c r="G686" s="87"/>
    </row>
    <row r="687" spans="1:7" ht="14.25" customHeight="1" x14ac:dyDescent="0.3">
      <c r="A687" s="85"/>
      <c r="B687" s="86"/>
      <c r="C687" s="92"/>
      <c r="D687" s="34"/>
      <c r="E687" s="36"/>
      <c r="F687" s="36"/>
      <c r="G687" s="87"/>
    </row>
    <row r="688" spans="1:7" ht="14.25" customHeight="1" x14ac:dyDescent="0.3">
      <c r="A688" s="85"/>
      <c r="B688" s="86"/>
      <c r="C688" s="92"/>
      <c r="D688" s="34"/>
      <c r="E688" s="36"/>
      <c r="F688" s="36"/>
      <c r="G688" s="87"/>
    </row>
    <row r="689" spans="1:7" ht="14.25" customHeight="1" x14ac:dyDescent="0.3">
      <c r="A689" s="85"/>
      <c r="B689" s="86"/>
      <c r="C689" s="92"/>
      <c r="D689" s="34"/>
      <c r="E689" s="36"/>
      <c r="F689" s="36"/>
      <c r="G689" s="87"/>
    </row>
    <row r="690" spans="1:7" ht="14.25" customHeight="1" x14ac:dyDescent="0.3">
      <c r="A690" s="85"/>
      <c r="B690" s="86"/>
      <c r="C690" s="92"/>
      <c r="D690" s="34"/>
      <c r="E690" s="36"/>
      <c r="F690" s="36"/>
      <c r="G690" s="87"/>
    </row>
    <row r="691" spans="1:7" ht="14.25" customHeight="1" x14ac:dyDescent="0.3">
      <c r="A691" s="85"/>
      <c r="B691" s="86"/>
      <c r="C691" s="92"/>
      <c r="D691" s="34"/>
      <c r="E691" s="36"/>
      <c r="F691" s="36"/>
      <c r="G691" s="87"/>
    </row>
    <row r="692" spans="1:7" ht="14.25" customHeight="1" x14ac:dyDescent="0.3">
      <c r="A692" s="85"/>
      <c r="B692" s="86"/>
      <c r="C692" s="92"/>
      <c r="D692" s="34"/>
      <c r="E692" s="36"/>
      <c r="F692" s="36"/>
      <c r="G692" s="87"/>
    </row>
    <row r="693" spans="1:7" ht="14.25" customHeight="1" x14ac:dyDescent="0.3">
      <c r="A693" s="85"/>
      <c r="B693" s="86"/>
      <c r="C693" s="92"/>
      <c r="D693" s="34"/>
      <c r="E693" s="36"/>
      <c r="F693" s="36"/>
      <c r="G693" s="87"/>
    </row>
    <row r="694" spans="1:7" ht="14.25" customHeight="1" x14ac:dyDescent="0.3">
      <c r="A694" s="85"/>
      <c r="B694" s="86"/>
      <c r="C694" s="92"/>
      <c r="D694" s="34"/>
      <c r="E694" s="36"/>
      <c r="F694" s="36"/>
      <c r="G694" s="87"/>
    </row>
    <row r="695" spans="1:7" ht="14.25" customHeight="1" x14ac:dyDescent="0.3">
      <c r="A695" s="85"/>
      <c r="B695" s="86"/>
      <c r="C695" s="92"/>
      <c r="D695" s="34"/>
      <c r="E695" s="36"/>
      <c r="F695" s="36"/>
      <c r="G695" s="87"/>
    </row>
    <row r="696" spans="1:7" ht="14.25" customHeight="1" x14ac:dyDescent="0.3">
      <c r="A696" s="85"/>
      <c r="B696" s="86"/>
      <c r="C696" s="92"/>
      <c r="D696" s="34"/>
      <c r="E696" s="36"/>
      <c r="F696" s="36"/>
      <c r="G696" s="87"/>
    </row>
    <row r="697" spans="1:7" ht="14.25" customHeight="1" x14ac:dyDescent="0.3">
      <c r="A697" s="85"/>
      <c r="B697" s="86"/>
      <c r="C697" s="92"/>
      <c r="D697" s="34"/>
      <c r="E697" s="36"/>
      <c r="F697" s="36"/>
      <c r="G697" s="87"/>
    </row>
    <row r="698" spans="1:7" ht="14.25" customHeight="1" x14ac:dyDescent="0.3">
      <c r="A698" s="85"/>
      <c r="B698" s="86"/>
      <c r="C698" s="92"/>
      <c r="D698" s="34"/>
      <c r="E698" s="36"/>
      <c r="F698" s="36"/>
      <c r="G698" s="87"/>
    </row>
    <row r="699" spans="1:7" ht="14.25" customHeight="1" x14ac:dyDescent="0.3">
      <c r="A699" s="85"/>
      <c r="B699" s="86"/>
      <c r="C699" s="92"/>
      <c r="D699" s="34"/>
      <c r="E699" s="36"/>
      <c r="F699" s="36"/>
      <c r="G699" s="87"/>
    </row>
    <row r="700" spans="1:7" ht="14.25" customHeight="1" x14ac:dyDescent="0.3">
      <c r="A700" s="85"/>
      <c r="B700" s="86"/>
      <c r="C700" s="92"/>
      <c r="D700" s="34"/>
      <c r="E700" s="36"/>
      <c r="F700" s="36"/>
      <c r="G700" s="87"/>
    </row>
    <row r="701" spans="1:7" ht="14.25" customHeight="1" x14ac:dyDescent="0.3">
      <c r="A701" s="85"/>
      <c r="B701" s="86"/>
      <c r="C701" s="92"/>
      <c r="D701" s="34"/>
      <c r="E701" s="36"/>
      <c r="F701" s="36"/>
      <c r="G701" s="87"/>
    </row>
    <row r="702" spans="1:7" ht="14.25" customHeight="1" x14ac:dyDescent="0.3">
      <c r="A702" s="85"/>
      <c r="B702" s="86"/>
      <c r="C702" s="92"/>
      <c r="D702" s="34"/>
      <c r="E702" s="36"/>
      <c r="F702" s="36"/>
      <c r="G702" s="87"/>
    </row>
    <row r="703" spans="1:7" ht="14.25" customHeight="1" x14ac:dyDescent="0.3">
      <c r="A703" s="85"/>
      <c r="B703" s="86"/>
      <c r="C703" s="92"/>
      <c r="D703" s="34"/>
      <c r="E703" s="36"/>
      <c r="F703" s="36"/>
      <c r="G703" s="87"/>
    </row>
    <row r="704" spans="1:7" ht="14.25" customHeight="1" x14ac:dyDescent="0.3">
      <c r="A704" s="85"/>
      <c r="B704" s="86"/>
      <c r="C704" s="92"/>
      <c r="D704" s="34"/>
      <c r="E704" s="36"/>
      <c r="F704" s="36"/>
      <c r="G704" s="87"/>
    </row>
    <row r="705" spans="1:7" ht="14.25" customHeight="1" x14ac:dyDescent="0.3">
      <c r="A705" s="85"/>
      <c r="B705" s="86"/>
      <c r="C705" s="92"/>
      <c r="D705" s="34"/>
      <c r="E705" s="36"/>
      <c r="F705" s="36"/>
      <c r="G705" s="87"/>
    </row>
    <row r="706" spans="1:7" ht="14.25" customHeight="1" x14ac:dyDescent="0.3">
      <c r="A706" s="85"/>
      <c r="B706" s="86"/>
      <c r="C706" s="92"/>
      <c r="D706" s="34"/>
      <c r="E706" s="36"/>
      <c r="F706" s="36"/>
      <c r="G706" s="87"/>
    </row>
    <row r="707" spans="1:7" ht="14.25" customHeight="1" x14ac:dyDescent="0.3">
      <c r="A707" s="85"/>
      <c r="B707" s="86"/>
      <c r="C707" s="92"/>
      <c r="D707" s="34"/>
      <c r="E707" s="36"/>
      <c r="F707" s="36"/>
      <c r="G707" s="87"/>
    </row>
    <row r="708" spans="1:7" ht="14.25" customHeight="1" x14ac:dyDescent="0.3">
      <c r="A708" s="85"/>
      <c r="B708" s="86"/>
      <c r="C708" s="92"/>
      <c r="D708" s="34"/>
      <c r="E708" s="36"/>
      <c r="F708" s="36"/>
      <c r="G708" s="87"/>
    </row>
    <row r="709" spans="1:7" ht="14.25" customHeight="1" x14ac:dyDescent="0.3">
      <c r="A709" s="85"/>
      <c r="B709" s="86"/>
      <c r="C709" s="92"/>
      <c r="D709" s="34"/>
      <c r="E709" s="36"/>
      <c r="F709" s="36"/>
      <c r="G709" s="87"/>
    </row>
    <row r="710" spans="1:7" ht="14.25" customHeight="1" x14ac:dyDescent="0.3">
      <c r="A710" s="85"/>
      <c r="B710" s="86"/>
      <c r="C710" s="92"/>
      <c r="D710" s="34"/>
      <c r="E710" s="36"/>
      <c r="F710" s="36"/>
      <c r="G710" s="87"/>
    </row>
    <row r="711" spans="1:7" ht="14.25" customHeight="1" x14ac:dyDescent="0.3">
      <c r="A711" s="85"/>
      <c r="B711" s="86"/>
      <c r="C711" s="92"/>
      <c r="D711" s="34"/>
      <c r="E711" s="36"/>
      <c r="F711" s="36"/>
      <c r="G711" s="87"/>
    </row>
    <row r="712" spans="1:7" ht="14.25" customHeight="1" x14ac:dyDescent="0.3">
      <c r="A712" s="85"/>
      <c r="B712" s="86"/>
      <c r="C712" s="92"/>
      <c r="D712" s="34"/>
      <c r="E712" s="36"/>
      <c r="F712" s="36"/>
      <c r="G712" s="87"/>
    </row>
    <row r="713" spans="1:7" ht="14.25" customHeight="1" x14ac:dyDescent="0.3">
      <c r="A713" s="85"/>
      <c r="B713" s="86"/>
      <c r="C713" s="92"/>
      <c r="D713" s="34"/>
      <c r="E713" s="36"/>
      <c r="F713" s="36"/>
      <c r="G713" s="87"/>
    </row>
    <row r="714" spans="1:7" ht="14.25" customHeight="1" x14ac:dyDescent="0.3">
      <c r="A714" s="85"/>
      <c r="B714" s="86"/>
      <c r="C714" s="92"/>
      <c r="D714" s="34"/>
      <c r="E714" s="36"/>
      <c r="F714" s="36"/>
      <c r="G714" s="87"/>
    </row>
    <row r="715" spans="1:7" ht="14.25" customHeight="1" x14ac:dyDescent="0.3">
      <c r="A715" s="85"/>
      <c r="B715" s="86"/>
      <c r="C715" s="92"/>
      <c r="D715" s="34"/>
      <c r="E715" s="36"/>
      <c r="F715" s="36"/>
      <c r="G715" s="87"/>
    </row>
    <row r="716" spans="1:7" ht="14.25" customHeight="1" x14ac:dyDescent="0.3">
      <c r="A716" s="85"/>
      <c r="B716" s="86"/>
      <c r="C716" s="92"/>
      <c r="D716" s="34"/>
      <c r="E716" s="36"/>
      <c r="F716" s="36"/>
      <c r="G716" s="87"/>
    </row>
    <row r="717" spans="1:7" ht="14.25" customHeight="1" x14ac:dyDescent="0.3">
      <c r="A717" s="85"/>
      <c r="B717" s="86"/>
      <c r="C717" s="92"/>
      <c r="D717" s="34"/>
      <c r="E717" s="36"/>
      <c r="F717" s="36"/>
      <c r="G717" s="87"/>
    </row>
    <row r="718" spans="1:7" ht="14.25" customHeight="1" x14ac:dyDescent="0.3">
      <c r="A718" s="85"/>
      <c r="B718" s="86"/>
      <c r="C718" s="92"/>
      <c r="D718" s="34"/>
      <c r="E718" s="36"/>
      <c r="F718" s="36"/>
      <c r="G718" s="87"/>
    </row>
    <row r="719" spans="1:7" ht="14.25" customHeight="1" x14ac:dyDescent="0.3">
      <c r="A719" s="85"/>
      <c r="B719" s="86"/>
      <c r="C719" s="92"/>
      <c r="D719" s="34"/>
      <c r="E719" s="36"/>
      <c r="F719" s="36"/>
      <c r="G719" s="87"/>
    </row>
    <row r="720" spans="1:7" ht="14.25" customHeight="1" x14ac:dyDescent="0.3">
      <c r="A720" s="85"/>
      <c r="B720" s="86"/>
      <c r="C720" s="92"/>
      <c r="D720" s="34"/>
      <c r="E720" s="36"/>
      <c r="F720" s="36"/>
      <c r="G720" s="87"/>
    </row>
    <row r="721" spans="1:7" ht="14.25" customHeight="1" x14ac:dyDescent="0.3">
      <c r="A721" s="85"/>
      <c r="B721" s="86"/>
      <c r="C721" s="92"/>
      <c r="D721" s="34"/>
      <c r="E721" s="36"/>
      <c r="F721" s="36"/>
      <c r="G721" s="87"/>
    </row>
    <row r="722" spans="1:7" ht="14.25" customHeight="1" x14ac:dyDescent="0.3">
      <c r="A722" s="85"/>
      <c r="B722" s="86"/>
      <c r="C722" s="92"/>
      <c r="D722" s="34"/>
      <c r="E722" s="36"/>
      <c r="F722" s="36"/>
      <c r="G722" s="87"/>
    </row>
    <row r="723" spans="1:7" ht="14.25" customHeight="1" x14ac:dyDescent="0.3">
      <c r="A723" s="85"/>
      <c r="B723" s="86"/>
      <c r="C723" s="92"/>
      <c r="D723" s="34"/>
      <c r="E723" s="36"/>
      <c r="F723" s="36"/>
      <c r="G723" s="87"/>
    </row>
    <row r="724" spans="1:7" ht="14.25" customHeight="1" x14ac:dyDescent="0.3">
      <c r="A724" s="85"/>
      <c r="B724" s="86"/>
      <c r="C724" s="92"/>
      <c r="D724" s="34"/>
      <c r="E724" s="36"/>
      <c r="F724" s="36"/>
      <c r="G724" s="87"/>
    </row>
    <row r="725" spans="1:7" ht="14.25" customHeight="1" x14ac:dyDescent="0.3">
      <c r="A725" s="85"/>
      <c r="B725" s="86"/>
      <c r="C725" s="92"/>
      <c r="D725" s="34"/>
      <c r="E725" s="36"/>
      <c r="F725" s="36"/>
      <c r="G725" s="87"/>
    </row>
    <row r="726" spans="1:7" ht="14.25" customHeight="1" x14ac:dyDescent="0.3">
      <c r="A726" s="85"/>
      <c r="B726" s="86"/>
      <c r="C726" s="92"/>
      <c r="D726" s="34"/>
      <c r="E726" s="36"/>
      <c r="F726" s="36"/>
      <c r="G726" s="87"/>
    </row>
    <row r="727" spans="1:7" ht="14.25" customHeight="1" x14ac:dyDescent="0.3">
      <c r="A727" s="85"/>
      <c r="B727" s="86"/>
      <c r="C727" s="92"/>
      <c r="D727" s="34"/>
      <c r="E727" s="36"/>
      <c r="F727" s="36"/>
      <c r="G727" s="87"/>
    </row>
    <row r="728" spans="1:7" ht="14.25" customHeight="1" x14ac:dyDescent="0.3">
      <c r="A728" s="85"/>
      <c r="B728" s="86"/>
      <c r="C728" s="92"/>
      <c r="D728" s="34"/>
      <c r="E728" s="36"/>
      <c r="F728" s="36"/>
      <c r="G728" s="87"/>
    </row>
    <row r="729" spans="1:7" ht="14.25" customHeight="1" x14ac:dyDescent="0.3">
      <c r="A729" s="85"/>
      <c r="B729" s="86"/>
      <c r="C729" s="92"/>
      <c r="D729" s="34"/>
      <c r="E729" s="36"/>
      <c r="F729" s="36"/>
      <c r="G729" s="87"/>
    </row>
    <row r="730" spans="1:7" ht="14.25" customHeight="1" x14ac:dyDescent="0.3">
      <c r="A730" s="85"/>
      <c r="B730" s="86"/>
      <c r="C730" s="92"/>
      <c r="D730" s="34"/>
      <c r="E730" s="36"/>
      <c r="F730" s="36"/>
      <c r="G730" s="87"/>
    </row>
    <row r="731" spans="1:7" ht="14.25" customHeight="1" x14ac:dyDescent="0.3">
      <c r="A731" s="85"/>
      <c r="B731" s="86"/>
      <c r="C731" s="92"/>
      <c r="D731" s="34"/>
      <c r="E731" s="36"/>
      <c r="F731" s="36"/>
      <c r="G731" s="87"/>
    </row>
    <row r="732" spans="1:7" ht="14.25" customHeight="1" x14ac:dyDescent="0.3">
      <c r="A732" s="85"/>
      <c r="B732" s="86"/>
      <c r="C732" s="92"/>
      <c r="D732" s="34"/>
      <c r="E732" s="36"/>
      <c r="F732" s="36"/>
      <c r="G732" s="87"/>
    </row>
    <row r="733" spans="1:7" ht="14.25" customHeight="1" x14ac:dyDescent="0.3">
      <c r="A733" s="85"/>
      <c r="B733" s="86"/>
      <c r="C733" s="92"/>
      <c r="D733" s="34"/>
      <c r="E733" s="36"/>
      <c r="F733" s="36"/>
      <c r="G733" s="87"/>
    </row>
    <row r="734" spans="1:7" ht="14.25" customHeight="1" x14ac:dyDescent="0.3">
      <c r="A734" s="85"/>
      <c r="B734" s="86"/>
      <c r="C734" s="92"/>
      <c r="D734" s="34"/>
      <c r="E734" s="36"/>
      <c r="F734" s="36"/>
      <c r="G734" s="87"/>
    </row>
    <row r="735" spans="1:7" ht="14.25" customHeight="1" x14ac:dyDescent="0.3">
      <c r="A735" s="85"/>
      <c r="B735" s="86"/>
      <c r="C735" s="92"/>
      <c r="D735" s="34"/>
      <c r="E735" s="36"/>
      <c r="F735" s="36"/>
      <c r="G735" s="87"/>
    </row>
    <row r="736" spans="1:7" ht="14.25" customHeight="1" x14ac:dyDescent="0.3">
      <c r="A736" s="85"/>
      <c r="B736" s="86"/>
      <c r="C736" s="92"/>
      <c r="D736" s="34"/>
      <c r="E736" s="36"/>
      <c r="F736" s="36"/>
      <c r="G736" s="87"/>
    </row>
    <row r="737" spans="1:7" ht="14.25" customHeight="1" x14ac:dyDescent="0.3">
      <c r="A737" s="85"/>
      <c r="B737" s="86"/>
      <c r="C737" s="92"/>
      <c r="D737" s="34"/>
      <c r="E737" s="36"/>
      <c r="F737" s="36"/>
      <c r="G737" s="87"/>
    </row>
    <row r="738" spans="1:7" ht="14.25" customHeight="1" x14ac:dyDescent="0.3">
      <c r="A738" s="85"/>
      <c r="B738" s="86"/>
      <c r="C738" s="92"/>
      <c r="D738" s="34"/>
      <c r="E738" s="36"/>
      <c r="F738" s="36"/>
      <c r="G738" s="87"/>
    </row>
    <row r="739" spans="1:7" ht="14.25" customHeight="1" x14ac:dyDescent="0.3">
      <c r="A739" s="85"/>
      <c r="B739" s="86"/>
      <c r="C739" s="92"/>
      <c r="D739" s="34"/>
      <c r="E739" s="36"/>
      <c r="F739" s="36"/>
      <c r="G739" s="87"/>
    </row>
    <row r="740" spans="1:7" ht="14.25" customHeight="1" x14ac:dyDescent="0.3">
      <c r="A740" s="85"/>
      <c r="B740" s="86"/>
      <c r="C740" s="92"/>
      <c r="D740" s="34"/>
      <c r="E740" s="36"/>
      <c r="F740" s="36"/>
      <c r="G740" s="87"/>
    </row>
    <row r="741" spans="1:7" ht="14.25" customHeight="1" x14ac:dyDescent="0.3">
      <c r="A741" s="85"/>
      <c r="B741" s="86"/>
      <c r="C741" s="92"/>
      <c r="D741" s="34"/>
      <c r="E741" s="36"/>
      <c r="F741" s="36"/>
      <c r="G741" s="87"/>
    </row>
    <row r="742" spans="1:7" ht="14.25" customHeight="1" x14ac:dyDescent="0.3">
      <c r="A742" s="85"/>
      <c r="B742" s="86"/>
      <c r="C742" s="92"/>
      <c r="D742" s="34"/>
      <c r="E742" s="36"/>
      <c r="F742" s="36"/>
      <c r="G742" s="87"/>
    </row>
    <row r="743" spans="1:7" ht="14.25" customHeight="1" x14ac:dyDescent="0.3">
      <c r="A743" s="85"/>
      <c r="B743" s="86"/>
      <c r="C743" s="92"/>
      <c r="D743" s="34"/>
      <c r="E743" s="36"/>
      <c r="F743" s="36"/>
      <c r="G743" s="87"/>
    </row>
    <row r="744" spans="1:7" ht="14.25" customHeight="1" x14ac:dyDescent="0.3">
      <c r="A744" s="85"/>
      <c r="B744" s="86"/>
      <c r="C744" s="92"/>
      <c r="D744" s="34"/>
      <c r="E744" s="36"/>
      <c r="F744" s="36"/>
      <c r="G744" s="87"/>
    </row>
    <row r="745" spans="1:7" ht="14.25" customHeight="1" x14ac:dyDescent="0.3">
      <c r="A745" s="85"/>
      <c r="B745" s="86"/>
      <c r="C745" s="92"/>
      <c r="D745" s="34"/>
      <c r="E745" s="36"/>
      <c r="F745" s="36"/>
      <c r="G745" s="87"/>
    </row>
    <row r="746" spans="1:7" ht="14.25" customHeight="1" x14ac:dyDescent="0.3">
      <c r="A746" s="85"/>
      <c r="B746" s="86"/>
      <c r="C746" s="92"/>
      <c r="D746" s="34"/>
      <c r="E746" s="36"/>
      <c r="F746" s="36"/>
      <c r="G746" s="87"/>
    </row>
    <row r="747" spans="1:7" ht="14.25" customHeight="1" x14ac:dyDescent="0.3">
      <c r="A747" s="85"/>
      <c r="B747" s="86"/>
      <c r="C747" s="92"/>
      <c r="D747" s="34"/>
      <c r="E747" s="36"/>
      <c r="F747" s="36"/>
      <c r="G747" s="87"/>
    </row>
    <row r="748" spans="1:7" ht="14.25" customHeight="1" x14ac:dyDescent="0.3">
      <c r="A748" s="85"/>
      <c r="B748" s="86"/>
      <c r="C748" s="92"/>
      <c r="D748" s="34"/>
      <c r="E748" s="36"/>
      <c r="F748" s="36"/>
      <c r="G748" s="87"/>
    </row>
    <row r="749" spans="1:7" ht="14.25" customHeight="1" x14ac:dyDescent="0.3">
      <c r="A749" s="85"/>
      <c r="B749" s="86"/>
      <c r="C749" s="92"/>
      <c r="D749" s="34"/>
      <c r="E749" s="36"/>
      <c r="F749" s="36"/>
      <c r="G749" s="87"/>
    </row>
    <row r="750" spans="1:7" ht="14.25" customHeight="1" x14ac:dyDescent="0.3">
      <c r="A750" s="85"/>
      <c r="B750" s="86"/>
      <c r="C750" s="92"/>
      <c r="D750" s="34"/>
      <c r="E750" s="36"/>
      <c r="F750" s="36"/>
      <c r="G750" s="87"/>
    </row>
    <row r="751" spans="1:7" ht="14.25" customHeight="1" x14ac:dyDescent="0.3">
      <c r="A751" s="85"/>
      <c r="B751" s="86"/>
      <c r="C751" s="92"/>
      <c r="D751" s="34"/>
      <c r="E751" s="36"/>
      <c r="F751" s="36"/>
      <c r="G751" s="87"/>
    </row>
    <row r="752" spans="1:7" ht="14.25" customHeight="1" x14ac:dyDescent="0.3">
      <c r="A752" s="85"/>
      <c r="B752" s="86"/>
      <c r="C752" s="92"/>
      <c r="D752" s="34"/>
      <c r="E752" s="36"/>
      <c r="F752" s="36"/>
      <c r="G752" s="87"/>
    </row>
    <row r="753" spans="1:7" ht="14.25" customHeight="1" x14ac:dyDescent="0.3">
      <c r="A753" s="85"/>
      <c r="B753" s="86"/>
      <c r="C753" s="92"/>
      <c r="D753" s="34"/>
      <c r="E753" s="36"/>
      <c r="F753" s="36"/>
      <c r="G753" s="87"/>
    </row>
    <row r="754" spans="1:7" ht="14.25" customHeight="1" x14ac:dyDescent="0.3">
      <c r="A754" s="85"/>
      <c r="B754" s="86"/>
      <c r="C754" s="92"/>
      <c r="D754" s="34"/>
      <c r="E754" s="36"/>
      <c r="F754" s="36"/>
      <c r="G754" s="87"/>
    </row>
    <row r="755" spans="1:7" ht="14.25" customHeight="1" x14ac:dyDescent="0.3">
      <c r="A755" s="85"/>
      <c r="B755" s="86"/>
      <c r="C755" s="92"/>
      <c r="D755" s="34"/>
      <c r="E755" s="36"/>
      <c r="F755" s="36"/>
      <c r="G755" s="87"/>
    </row>
    <row r="756" spans="1:7" ht="14.25" customHeight="1" x14ac:dyDescent="0.3">
      <c r="A756" s="85"/>
      <c r="B756" s="86"/>
      <c r="C756" s="92"/>
      <c r="D756" s="34"/>
      <c r="E756" s="36"/>
      <c r="F756" s="36"/>
      <c r="G756" s="87"/>
    </row>
    <row r="757" spans="1:7" ht="14.25" customHeight="1" x14ac:dyDescent="0.3">
      <c r="A757" s="85"/>
      <c r="B757" s="86"/>
      <c r="C757" s="92"/>
      <c r="D757" s="34"/>
      <c r="E757" s="36"/>
      <c r="F757" s="36"/>
      <c r="G757" s="87"/>
    </row>
    <row r="758" spans="1:7" ht="14.25" customHeight="1" x14ac:dyDescent="0.3">
      <c r="A758" s="85"/>
      <c r="B758" s="86"/>
      <c r="C758" s="92"/>
      <c r="D758" s="34"/>
      <c r="E758" s="36"/>
      <c r="F758" s="36"/>
      <c r="G758" s="87"/>
    </row>
    <row r="759" spans="1:7" ht="14.25" customHeight="1" x14ac:dyDescent="0.3">
      <c r="A759" s="85"/>
      <c r="B759" s="86"/>
      <c r="C759" s="92"/>
      <c r="D759" s="34"/>
      <c r="E759" s="36"/>
      <c r="F759" s="36"/>
      <c r="G759" s="87"/>
    </row>
    <row r="760" spans="1:7" ht="14.25" customHeight="1" x14ac:dyDescent="0.3">
      <c r="A760" s="85"/>
      <c r="B760" s="86"/>
      <c r="C760" s="92"/>
      <c r="D760" s="34"/>
      <c r="E760" s="36"/>
      <c r="F760" s="36"/>
      <c r="G760" s="87"/>
    </row>
    <row r="761" spans="1:7" ht="14.25" customHeight="1" x14ac:dyDescent="0.3">
      <c r="A761" s="85"/>
      <c r="B761" s="86"/>
      <c r="C761" s="92"/>
      <c r="D761" s="34"/>
      <c r="E761" s="36"/>
      <c r="F761" s="36"/>
      <c r="G761" s="87"/>
    </row>
    <row r="762" spans="1:7" ht="14.25" customHeight="1" x14ac:dyDescent="0.3">
      <c r="A762" s="85"/>
      <c r="B762" s="86"/>
      <c r="C762" s="92"/>
      <c r="D762" s="34"/>
      <c r="E762" s="36"/>
      <c r="F762" s="36"/>
      <c r="G762" s="87"/>
    </row>
    <row r="763" spans="1:7" ht="14.25" customHeight="1" x14ac:dyDescent="0.3">
      <c r="A763" s="85"/>
      <c r="B763" s="86"/>
      <c r="C763" s="92"/>
      <c r="D763" s="34"/>
      <c r="E763" s="36"/>
      <c r="F763" s="36"/>
      <c r="G763" s="87"/>
    </row>
    <row r="764" spans="1:7" ht="14.25" customHeight="1" x14ac:dyDescent="0.3">
      <c r="A764" s="85"/>
      <c r="B764" s="86"/>
      <c r="C764" s="92"/>
      <c r="D764" s="34"/>
      <c r="E764" s="36"/>
      <c r="F764" s="36"/>
      <c r="G764" s="87"/>
    </row>
    <row r="765" spans="1:7" ht="14.25" customHeight="1" x14ac:dyDescent="0.3">
      <c r="A765" s="85"/>
      <c r="B765" s="86"/>
      <c r="C765" s="92"/>
      <c r="D765" s="34"/>
      <c r="E765" s="36"/>
      <c r="F765" s="36"/>
      <c r="G765" s="87"/>
    </row>
    <row r="766" spans="1:7" ht="14.25" customHeight="1" x14ac:dyDescent="0.3">
      <c r="A766" s="85"/>
      <c r="B766" s="86"/>
      <c r="C766" s="92"/>
      <c r="D766" s="34"/>
      <c r="E766" s="36"/>
      <c r="F766" s="36"/>
      <c r="G766" s="87"/>
    </row>
    <row r="767" spans="1:7" ht="14.25" customHeight="1" x14ac:dyDescent="0.3">
      <c r="A767" s="85"/>
      <c r="B767" s="86"/>
      <c r="C767" s="92"/>
      <c r="D767" s="34"/>
      <c r="E767" s="36"/>
      <c r="F767" s="36"/>
      <c r="G767" s="87"/>
    </row>
    <row r="768" spans="1:7" ht="14.25" customHeight="1" x14ac:dyDescent="0.3">
      <c r="A768" s="85"/>
      <c r="B768" s="86"/>
      <c r="C768" s="92"/>
      <c r="D768" s="34"/>
      <c r="E768" s="36"/>
      <c r="F768" s="36"/>
      <c r="G768" s="87"/>
    </row>
    <row r="769" spans="1:7" ht="14.25" customHeight="1" x14ac:dyDescent="0.3">
      <c r="A769" s="85"/>
      <c r="B769" s="86"/>
      <c r="C769" s="92"/>
      <c r="D769" s="34"/>
      <c r="E769" s="36"/>
      <c r="F769" s="36"/>
      <c r="G769" s="87"/>
    </row>
    <row r="770" spans="1:7" ht="14.25" customHeight="1" x14ac:dyDescent="0.3">
      <c r="A770" s="85"/>
      <c r="B770" s="86"/>
      <c r="C770" s="92"/>
      <c r="D770" s="34"/>
      <c r="E770" s="36"/>
      <c r="F770" s="36"/>
      <c r="G770" s="87"/>
    </row>
    <row r="771" spans="1:7" ht="14.25" customHeight="1" x14ac:dyDescent="0.3">
      <c r="A771" s="85"/>
      <c r="B771" s="86"/>
      <c r="C771" s="92"/>
      <c r="D771" s="34"/>
      <c r="E771" s="36"/>
      <c r="F771" s="36"/>
      <c r="G771" s="87"/>
    </row>
    <row r="772" spans="1:7" ht="14.25" customHeight="1" x14ac:dyDescent="0.3">
      <c r="A772" s="85"/>
      <c r="B772" s="86"/>
      <c r="C772" s="92"/>
      <c r="D772" s="34"/>
      <c r="E772" s="36"/>
      <c r="F772" s="36"/>
      <c r="G772" s="87"/>
    </row>
    <row r="773" spans="1:7" ht="14.25" customHeight="1" x14ac:dyDescent="0.3">
      <c r="A773" s="85"/>
      <c r="B773" s="86"/>
      <c r="C773" s="92"/>
      <c r="D773" s="34"/>
      <c r="E773" s="36"/>
      <c r="F773" s="36"/>
      <c r="G773" s="87"/>
    </row>
    <row r="774" spans="1:7" ht="14.25" customHeight="1" x14ac:dyDescent="0.3">
      <c r="A774" s="85"/>
      <c r="B774" s="86"/>
      <c r="C774" s="92"/>
      <c r="D774" s="34"/>
      <c r="E774" s="36"/>
      <c r="F774" s="36"/>
      <c r="G774" s="87"/>
    </row>
    <row r="775" spans="1:7" ht="14.25" customHeight="1" x14ac:dyDescent="0.3">
      <c r="A775" s="85"/>
      <c r="B775" s="86"/>
      <c r="C775" s="92"/>
      <c r="D775" s="34"/>
      <c r="E775" s="36"/>
      <c r="F775" s="36"/>
      <c r="G775" s="87"/>
    </row>
    <row r="776" spans="1:7" ht="14.25" customHeight="1" x14ac:dyDescent="0.3">
      <c r="A776" s="85"/>
      <c r="B776" s="86"/>
      <c r="C776" s="92"/>
      <c r="D776" s="34"/>
      <c r="E776" s="36"/>
      <c r="F776" s="36"/>
      <c r="G776" s="87"/>
    </row>
    <row r="777" spans="1:7" ht="14.25" customHeight="1" x14ac:dyDescent="0.3">
      <c r="A777" s="85"/>
      <c r="B777" s="86"/>
      <c r="C777" s="92"/>
      <c r="D777" s="34"/>
      <c r="E777" s="36"/>
      <c r="F777" s="36"/>
      <c r="G777" s="87"/>
    </row>
    <row r="778" spans="1:7" ht="14.25" customHeight="1" x14ac:dyDescent="0.3">
      <c r="A778" s="85"/>
      <c r="B778" s="86"/>
      <c r="C778" s="92"/>
      <c r="D778" s="34"/>
      <c r="E778" s="36"/>
      <c r="F778" s="36"/>
      <c r="G778" s="87"/>
    </row>
    <row r="779" spans="1:7" ht="14.25" customHeight="1" x14ac:dyDescent="0.3">
      <c r="A779" s="85"/>
      <c r="B779" s="86"/>
      <c r="C779" s="92"/>
      <c r="D779" s="34"/>
      <c r="E779" s="36"/>
      <c r="F779" s="36"/>
      <c r="G779" s="87"/>
    </row>
    <row r="780" spans="1:7" ht="14.25" customHeight="1" x14ac:dyDescent="0.3">
      <c r="A780" s="85"/>
      <c r="B780" s="86"/>
      <c r="C780" s="92"/>
      <c r="D780" s="34"/>
      <c r="E780" s="36"/>
      <c r="F780" s="36"/>
      <c r="G780" s="87"/>
    </row>
    <row r="781" spans="1:7" ht="14.25" customHeight="1" x14ac:dyDescent="0.3">
      <c r="A781" s="85"/>
      <c r="B781" s="86"/>
      <c r="C781" s="92"/>
      <c r="D781" s="34"/>
      <c r="E781" s="36"/>
      <c r="F781" s="36"/>
      <c r="G781" s="87"/>
    </row>
    <row r="782" spans="1:7" ht="14.25" customHeight="1" x14ac:dyDescent="0.3">
      <c r="A782" s="85"/>
      <c r="B782" s="86"/>
      <c r="C782" s="92"/>
      <c r="D782" s="34"/>
      <c r="E782" s="36"/>
      <c r="F782" s="36"/>
      <c r="G782" s="87"/>
    </row>
    <row r="783" spans="1:7" ht="14.25" customHeight="1" x14ac:dyDescent="0.3">
      <c r="A783" s="85"/>
      <c r="B783" s="86"/>
      <c r="C783" s="92"/>
      <c r="D783" s="34"/>
      <c r="E783" s="36"/>
      <c r="F783" s="36"/>
      <c r="G783" s="87"/>
    </row>
    <row r="784" spans="1:7" ht="14.25" customHeight="1" x14ac:dyDescent="0.3">
      <c r="A784" s="85"/>
      <c r="B784" s="86"/>
      <c r="C784" s="92"/>
      <c r="D784" s="34"/>
      <c r="E784" s="36"/>
      <c r="F784" s="36"/>
      <c r="G784" s="87"/>
    </row>
    <row r="785" spans="1:7" ht="14.25" customHeight="1" x14ac:dyDescent="0.3">
      <c r="A785" s="85"/>
      <c r="B785" s="86"/>
      <c r="C785" s="92"/>
      <c r="D785" s="34"/>
      <c r="E785" s="36"/>
      <c r="F785" s="36"/>
      <c r="G785" s="87"/>
    </row>
    <row r="786" spans="1:7" ht="14.25" customHeight="1" x14ac:dyDescent="0.3">
      <c r="A786" s="85"/>
      <c r="B786" s="86"/>
      <c r="C786" s="92"/>
      <c r="D786" s="34"/>
      <c r="E786" s="36"/>
      <c r="F786" s="36"/>
      <c r="G786" s="87"/>
    </row>
    <row r="787" spans="1:7" ht="14.25" customHeight="1" x14ac:dyDescent="0.3">
      <c r="A787" s="85"/>
      <c r="B787" s="86"/>
      <c r="C787" s="92"/>
      <c r="D787" s="34"/>
      <c r="E787" s="36"/>
      <c r="F787" s="36"/>
      <c r="G787" s="87"/>
    </row>
    <row r="788" spans="1:7" ht="14.25" customHeight="1" x14ac:dyDescent="0.3">
      <c r="A788" s="85"/>
      <c r="B788" s="86"/>
      <c r="C788" s="92"/>
      <c r="D788" s="34"/>
      <c r="E788" s="36"/>
      <c r="F788" s="36"/>
      <c r="G788" s="87"/>
    </row>
    <row r="789" spans="1:7" ht="14.25" customHeight="1" x14ac:dyDescent="0.3">
      <c r="A789" s="85"/>
      <c r="B789" s="86"/>
      <c r="C789" s="92"/>
      <c r="D789" s="34"/>
      <c r="E789" s="36"/>
      <c r="F789" s="36"/>
      <c r="G789" s="87"/>
    </row>
    <row r="790" spans="1:7" ht="14.25" customHeight="1" x14ac:dyDescent="0.3">
      <c r="A790" s="85"/>
      <c r="B790" s="86"/>
      <c r="C790" s="92"/>
      <c r="D790" s="34"/>
      <c r="E790" s="36"/>
      <c r="F790" s="36"/>
      <c r="G790" s="87"/>
    </row>
    <row r="791" spans="1:7" ht="14.25" customHeight="1" x14ac:dyDescent="0.3">
      <c r="A791" s="85"/>
      <c r="B791" s="86"/>
      <c r="C791" s="92"/>
      <c r="D791" s="34"/>
      <c r="E791" s="36"/>
      <c r="F791" s="36"/>
      <c r="G791" s="87"/>
    </row>
    <row r="792" spans="1:7" ht="14.25" customHeight="1" x14ac:dyDescent="0.3">
      <c r="A792" s="85"/>
      <c r="B792" s="86"/>
      <c r="C792" s="92"/>
      <c r="D792" s="34"/>
      <c r="E792" s="36"/>
      <c r="F792" s="36"/>
      <c r="G792" s="87"/>
    </row>
    <row r="793" spans="1:7" ht="14.25" customHeight="1" x14ac:dyDescent="0.3">
      <c r="A793" s="85"/>
      <c r="B793" s="86"/>
      <c r="C793" s="92"/>
      <c r="D793" s="34"/>
      <c r="E793" s="36"/>
      <c r="F793" s="36"/>
      <c r="G793" s="87"/>
    </row>
    <row r="794" spans="1:7" ht="14.25" customHeight="1" x14ac:dyDescent="0.3">
      <c r="A794" s="85"/>
      <c r="B794" s="86"/>
      <c r="C794" s="92"/>
      <c r="D794" s="34"/>
      <c r="E794" s="36"/>
      <c r="F794" s="36"/>
      <c r="G794" s="87"/>
    </row>
    <row r="795" spans="1:7" ht="14.25" customHeight="1" x14ac:dyDescent="0.3">
      <c r="A795" s="85"/>
      <c r="B795" s="86"/>
      <c r="C795" s="92"/>
      <c r="D795" s="34"/>
      <c r="E795" s="36"/>
      <c r="F795" s="36"/>
      <c r="G795" s="87"/>
    </row>
    <row r="796" spans="1:7" ht="14.25" customHeight="1" x14ac:dyDescent="0.3">
      <c r="A796" s="85"/>
      <c r="B796" s="86"/>
      <c r="C796" s="92"/>
      <c r="D796" s="34"/>
      <c r="E796" s="36"/>
      <c r="F796" s="36"/>
      <c r="G796" s="87"/>
    </row>
    <row r="797" spans="1:7" ht="14.25" customHeight="1" x14ac:dyDescent="0.3">
      <c r="A797" s="85"/>
      <c r="B797" s="86"/>
      <c r="C797" s="92"/>
      <c r="D797" s="34"/>
      <c r="E797" s="36"/>
      <c r="F797" s="36"/>
      <c r="G797" s="87"/>
    </row>
    <row r="798" spans="1:7" ht="14.25" customHeight="1" x14ac:dyDescent="0.3">
      <c r="A798" s="85"/>
      <c r="B798" s="86"/>
      <c r="C798" s="92"/>
      <c r="D798" s="34"/>
      <c r="E798" s="36"/>
      <c r="F798" s="36"/>
      <c r="G798" s="87"/>
    </row>
    <row r="799" spans="1:7" ht="14.25" customHeight="1" x14ac:dyDescent="0.3">
      <c r="A799" s="85"/>
      <c r="B799" s="86"/>
      <c r="C799" s="92"/>
      <c r="D799" s="34"/>
      <c r="E799" s="36"/>
      <c r="F799" s="36"/>
      <c r="G799" s="87"/>
    </row>
    <row r="800" spans="1:7" ht="14.25" customHeight="1" x14ac:dyDescent="0.3">
      <c r="A800" s="85"/>
      <c r="B800" s="86"/>
      <c r="C800" s="92"/>
      <c r="D800" s="34"/>
      <c r="E800" s="36"/>
      <c r="F800" s="36"/>
      <c r="G800" s="87"/>
    </row>
    <row r="801" spans="1:7" ht="14.25" customHeight="1" x14ac:dyDescent="0.3">
      <c r="A801" s="85"/>
      <c r="B801" s="86"/>
      <c r="C801" s="92"/>
      <c r="D801" s="34"/>
      <c r="E801" s="36"/>
      <c r="F801" s="36"/>
      <c r="G801" s="87"/>
    </row>
    <row r="802" spans="1:7" ht="14.25" customHeight="1" x14ac:dyDescent="0.3">
      <c r="A802" s="85"/>
      <c r="B802" s="86"/>
      <c r="C802" s="92"/>
      <c r="D802" s="34"/>
      <c r="E802" s="36"/>
      <c r="F802" s="36"/>
      <c r="G802" s="87"/>
    </row>
    <row r="803" spans="1:7" ht="14.25" customHeight="1" x14ac:dyDescent="0.3">
      <c r="A803" s="85"/>
      <c r="B803" s="86"/>
      <c r="C803" s="92"/>
      <c r="D803" s="34"/>
      <c r="E803" s="36"/>
      <c r="F803" s="36"/>
      <c r="G803" s="87"/>
    </row>
    <row r="804" spans="1:7" ht="14.25" customHeight="1" x14ac:dyDescent="0.3">
      <c r="A804" s="85"/>
      <c r="B804" s="86"/>
      <c r="C804" s="92"/>
      <c r="D804" s="34"/>
      <c r="E804" s="36"/>
      <c r="F804" s="36"/>
      <c r="G804" s="87"/>
    </row>
    <row r="805" spans="1:7" ht="14.25" customHeight="1" x14ac:dyDescent="0.3">
      <c r="A805" s="85"/>
      <c r="B805" s="86"/>
      <c r="C805" s="92"/>
      <c r="D805" s="34"/>
      <c r="E805" s="36"/>
      <c r="F805" s="36"/>
      <c r="G805" s="87"/>
    </row>
    <row r="806" spans="1:7" ht="14.25" customHeight="1" x14ac:dyDescent="0.3">
      <c r="A806" s="85"/>
      <c r="B806" s="86"/>
      <c r="C806" s="92"/>
      <c r="D806" s="34"/>
      <c r="E806" s="36"/>
      <c r="F806" s="36"/>
      <c r="G806" s="87"/>
    </row>
    <row r="807" spans="1:7" ht="14.25" customHeight="1" x14ac:dyDescent="0.3">
      <c r="A807" s="85"/>
      <c r="B807" s="86"/>
      <c r="C807" s="92"/>
      <c r="D807" s="34"/>
      <c r="E807" s="36"/>
      <c r="F807" s="36"/>
      <c r="G807" s="87"/>
    </row>
    <row r="808" spans="1:7" ht="14.25" customHeight="1" x14ac:dyDescent="0.3">
      <c r="A808" s="85"/>
      <c r="B808" s="86"/>
      <c r="C808" s="92"/>
      <c r="D808" s="34"/>
      <c r="E808" s="36"/>
      <c r="F808" s="36"/>
      <c r="G808" s="87"/>
    </row>
    <row r="809" spans="1:7" ht="14.25" customHeight="1" x14ac:dyDescent="0.3">
      <c r="A809" s="85"/>
      <c r="B809" s="86"/>
      <c r="C809" s="92"/>
      <c r="D809" s="34"/>
      <c r="E809" s="36"/>
      <c r="F809" s="36"/>
      <c r="G809" s="87"/>
    </row>
    <row r="810" spans="1:7" ht="14.25" customHeight="1" x14ac:dyDescent="0.3">
      <c r="A810" s="85"/>
      <c r="B810" s="86"/>
      <c r="C810" s="92"/>
      <c r="D810" s="34"/>
      <c r="E810" s="36"/>
      <c r="F810" s="36"/>
      <c r="G810" s="87"/>
    </row>
    <row r="811" spans="1:7" ht="14.25" customHeight="1" x14ac:dyDescent="0.3">
      <c r="A811" s="85"/>
      <c r="B811" s="86"/>
      <c r="C811" s="92"/>
      <c r="D811" s="34"/>
      <c r="E811" s="36"/>
      <c r="F811" s="36"/>
      <c r="G811" s="87"/>
    </row>
    <row r="812" spans="1:7" ht="14.25" customHeight="1" x14ac:dyDescent="0.3">
      <c r="A812" s="85"/>
      <c r="B812" s="86"/>
      <c r="C812" s="92"/>
      <c r="D812" s="34"/>
      <c r="E812" s="36"/>
      <c r="F812" s="36"/>
      <c r="G812" s="87"/>
    </row>
    <row r="813" spans="1:7" ht="14.25" customHeight="1" x14ac:dyDescent="0.3">
      <c r="A813" s="85"/>
      <c r="B813" s="86"/>
      <c r="C813" s="92"/>
      <c r="D813" s="34"/>
      <c r="E813" s="36"/>
      <c r="F813" s="36"/>
      <c r="G813" s="87"/>
    </row>
    <row r="814" spans="1:7" ht="14.25" customHeight="1" x14ac:dyDescent="0.3">
      <c r="A814" s="85"/>
      <c r="B814" s="86"/>
      <c r="C814" s="92"/>
      <c r="D814" s="34"/>
      <c r="E814" s="36"/>
      <c r="F814" s="36"/>
      <c r="G814" s="87"/>
    </row>
    <row r="815" spans="1:7" ht="14.25" customHeight="1" x14ac:dyDescent="0.3">
      <c r="A815" s="85"/>
      <c r="B815" s="86"/>
      <c r="C815" s="92"/>
      <c r="D815" s="34"/>
      <c r="E815" s="36"/>
      <c r="F815" s="36"/>
      <c r="G815" s="87"/>
    </row>
    <row r="816" spans="1:7" ht="14.25" customHeight="1" x14ac:dyDescent="0.3">
      <c r="A816" s="85"/>
      <c r="B816" s="86"/>
      <c r="C816" s="92"/>
      <c r="D816" s="34"/>
      <c r="E816" s="36"/>
      <c r="F816" s="36"/>
      <c r="G816" s="87"/>
    </row>
    <row r="817" spans="1:7" ht="14.25" customHeight="1" x14ac:dyDescent="0.3">
      <c r="A817" s="85"/>
      <c r="B817" s="86"/>
      <c r="C817" s="92"/>
      <c r="D817" s="34"/>
      <c r="E817" s="36"/>
      <c r="F817" s="36"/>
      <c r="G817" s="87"/>
    </row>
    <row r="818" spans="1:7" ht="14.25" customHeight="1" x14ac:dyDescent="0.3">
      <c r="A818" s="85"/>
      <c r="B818" s="86"/>
      <c r="C818" s="92"/>
      <c r="D818" s="34"/>
      <c r="E818" s="36"/>
      <c r="F818" s="36"/>
      <c r="G818" s="87"/>
    </row>
    <row r="819" spans="1:7" ht="14.25" customHeight="1" x14ac:dyDescent="0.3">
      <c r="A819" s="85"/>
      <c r="B819" s="86"/>
      <c r="C819" s="92"/>
      <c r="D819" s="34"/>
      <c r="E819" s="36"/>
      <c r="F819" s="36"/>
      <c r="G819" s="87"/>
    </row>
    <row r="820" spans="1:7" ht="14.25" customHeight="1" x14ac:dyDescent="0.3">
      <c r="A820" s="85"/>
      <c r="B820" s="86"/>
      <c r="C820" s="92"/>
      <c r="D820" s="34"/>
      <c r="E820" s="36"/>
      <c r="F820" s="36"/>
      <c r="G820" s="87"/>
    </row>
    <row r="821" spans="1:7" ht="14.25" customHeight="1" x14ac:dyDescent="0.3">
      <c r="A821" s="85"/>
      <c r="B821" s="86"/>
      <c r="C821" s="92"/>
      <c r="D821" s="34"/>
      <c r="E821" s="36"/>
      <c r="F821" s="36"/>
      <c r="G821" s="87"/>
    </row>
    <row r="822" spans="1:7" ht="14.25" customHeight="1" x14ac:dyDescent="0.3">
      <c r="A822" s="85"/>
      <c r="B822" s="86"/>
      <c r="C822" s="92"/>
      <c r="D822" s="34"/>
      <c r="E822" s="36"/>
      <c r="F822" s="36"/>
      <c r="G822" s="87"/>
    </row>
    <row r="823" spans="1:7" ht="14.25" customHeight="1" x14ac:dyDescent="0.3">
      <c r="A823" s="85"/>
      <c r="B823" s="86"/>
      <c r="C823" s="92"/>
      <c r="D823" s="34"/>
      <c r="E823" s="36"/>
      <c r="F823" s="36"/>
      <c r="G823" s="87"/>
    </row>
    <row r="824" spans="1:7" ht="14.25" customHeight="1" x14ac:dyDescent="0.3">
      <c r="A824" s="85"/>
      <c r="B824" s="86"/>
      <c r="C824" s="92"/>
      <c r="D824" s="34"/>
      <c r="E824" s="36"/>
      <c r="F824" s="36"/>
      <c r="G824" s="87"/>
    </row>
    <row r="825" spans="1:7" ht="14.25" customHeight="1" x14ac:dyDescent="0.3">
      <c r="A825" s="85"/>
      <c r="B825" s="86"/>
      <c r="C825" s="92"/>
      <c r="D825" s="34"/>
      <c r="E825" s="36"/>
      <c r="F825" s="36"/>
      <c r="G825" s="87"/>
    </row>
    <row r="826" spans="1:7" ht="14.25" customHeight="1" x14ac:dyDescent="0.3">
      <c r="A826" s="85"/>
      <c r="B826" s="86"/>
      <c r="C826" s="92"/>
      <c r="D826" s="34"/>
      <c r="E826" s="36"/>
      <c r="F826" s="36"/>
      <c r="G826" s="87"/>
    </row>
    <row r="827" spans="1:7" ht="14.25" customHeight="1" x14ac:dyDescent="0.3">
      <c r="A827" s="85"/>
      <c r="B827" s="86"/>
      <c r="C827" s="92"/>
      <c r="D827" s="34"/>
      <c r="E827" s="36"/>
      <c r="F827" s="36"/>
      <c r="G827" s="87"/>
    </row>
    <row r="828" spans="1:7" ht="14.25" customHeight="1" x14ac:dyDescent="0.3">
      <c r="A828" s="85"/>
      <c r="B828" s="86"/>
      <c r="C828" s="92"/>
      <c r="D828" s="34"/>
      <c r="E828" s="36"/>
      <c r="F828" s="36"/>
      <c r="G828" s="87"/>
    </row>
    <row r="829" spans="1:7" ht="14.25" customHeight="1" x14ac:dyDescent="0.3">
      <c r="A829" s="85"/>
      <c r="B829" s="86"/>
      <c r="C829" s="92"/>
      <c r="D829" s="34"/>
      <c r="E829" s="36"/>
      <c r="F829" s="36"/>
      <c r="G829" s="87"/>
    </row>
    <row r="830" spans="1:7" ht="14.25" customHeight="1" x14ac:dyDescent="0.3">
      <c r="A830" s="85"/>
      <c r="B830" s="86"/>
      <c r="C830" s="92"/>
      <c r="D830" s="34"/>
      <c r="E830" s="36"/>
      <c r="F830" s="36"/>
      <c r="G830" s="87"/>
    </row>
    <row r="831" spans="1:7" ht="14.25" customHeight="1" x14ac:dyDescent="0.3">
      <c r="A831" s="85"/>
      <c r="B831" s="86"/>
      <c r="C831" s="92"/>
      <c r="D831" s="34"/>
      <c r="E831" s="36"/>
      <c r="F831" s="36"/>
      <c r="G831" s="87"/>
    </row>
    <row r="832" spans="1:7" ht="14.25" customHeight="1" x14ac:dyDescent="0.3">
      <c r="A832" s="85"/>
      <c r="B832" s="86"/>
      <c r="C832" s="92"/>
      <c r="D832" s="34"/>
      <c r="E832" s="36"/>
      <c r="F832" s="36"/>
      <c r="G832" s="87"/>
    </row>
    <row r="833" spans="1:7" ht="14.25" customHeight="1" x14ac:dyDescent="0.3">
      <c r="A833" s="85"/>
      <c r="B833" s="86"/>
      <c r="C833" s="92"/>
      <c r="D833" s="34"/>
      <c r="E833" s="36"/>
      <c r="F833" s="36"/>
      <c r="G833" s="87"/>
    </row>
    <row r="834" spans="1:7" ht="14.25" customHeight="1" x14ac:dyDescent="0.3">
      <c r="A834" s="85"/>
      <c r="B834" s="86"/>
      <c r="C834" s="92"/>
      <c r="D834" s="34"/>
      <c r="E834" s="36"/>
      <c r="F834" s="36"/>
      <c r="G834" s="87"/>
    </row>
    <row r="835" spans="1:7" ht="14.25" customHeight="1" x14ac:dyDescent="0.3">
      <c r="A835" s="85"/>
      <c r="B835" s="86"/>
      <c r="C835" s="92"/>
      <c r="D835" s="34"/>
      <c r="E835" s="36"/>
      <c r="F835" s="36"/>
      <c r="G835" s="87"/>
    </row>
    <row r="836" spans="1:7" ht="14.25" customHeight="1" x14ac:dyDescent="0.3">
      <c r="A836" s="85"/>
      <c r="B836" s="86"/>
      <c r="C836" s="92"/>
      <c r="D836" s="34"/>
      <c r="E836" s="36"/>
      <c r="F836" s="36"/>
      <c r="G836" s="87"/>
    </row>
    <row r="837" spans="1:7" ht="14.25" customHeight="1" x14ac:dyDescent="0.3">
      <c r="A837" s="85"/>
      <c r="B837" s="86"/>
      <c r="C837" s="92"/>
      <c r="D837" s="34"/>
      <c r="E837" s="36"/>
      <c r="F837" s="36"/>
      <c r="G837" s="87"/>
    </row>
    <row r="838" spans="1:7" ht="14.25" customHeight="1" x14ac:dyDescent="0.3">
      <c r="A838" s="85"/>
      <c r="B838" s="86"/>
      <c r="C838" s="92"/>
      <c r="D838" s="34"/>
      <c r="E838" s="36"/>
      <c r="F838" s="36"/>
      <c r="G838" s="87"/>
    </row>
    <row r="839" spans="1:7" ht="14.25" customHeight="1" x14ac:dyDescent="0.3">
      <c r="A839" s="85"/>
      <c r="B839" s="86"/>
      <c r="C839" s="92"/>
      <c r="D839" s="34"/>
      <c r="E839" s="36"/>
      <c r="F839" s="36"/>
      <c r="G839" s="87"/>
    </row>
    <row r="840" spans="1:7" ht="14.25" customHeight="1" x14ac:dyDescent="0.3">
      <c r="A840" s="85"/>
      <c r="B840" s="86"/>
      <c r="C840" s="92"/>
      <c r="D840" s="34"/>
      <c r="E840" s="36"/>
      <c r="F840" s="36"/>
      <c r="G840" s="87"/>
    </row>
    <row r="841" spans="1:7" ht="14.25" customHeight="1" x14ac:dyDescent="0.3">
      <c r="A841" s="85"/>
      <c r="B841" s="86"/>
      <c r="C841" s="92"/>
      <c r="D841" s="34"/>
      <c r="E841" s="36"/>
      <c r="F841" s="36"/>
      <c r="G841" s="87"/>
    </row>
    <row r="842" spans="1:7" ht="14.25" customHeight="1" x14ac:dyDescent="0.3">
      <c r="A842" s="85"/>
      <c r="B842" s="86"/>
      <c r="C842" s="92"/>
      <c r="D842" s="34"/>
      <c r="E842" s="36"/>
      <c r="F842" s="36"/>
      <c r="G842" s="87"/>
    </row>
    <row r="843" spans="1:7" ht="14.25" customHeight="1" x14ac:dyDescent="0.3">
      <c r="A843" s="85"/>
      <c r="B843" s="86"/>
      <c r="C843" s="92"/>
      <c r="D843" s="34"/>
      <c r="E843" s="36"/>
      <c r="F843" s="36"/>
      <c r="G843" s="87"/>
    </row>
    <row r="844" spans="1:7" ht="14.25" customHeight="1" x14ac:dyDescent="0.3">
      <c r="A844" s="85"/>
      <c r="B844" s="86"/>
      <c r="C844" s="92"/>
      <c r="D844" s="34"/>
      <c r="E844" s="36"/>
      <c r="F844" s="36"/>
      <c r="G844" s="87"/>
    </row>
    <row r="845" spans="1:7" ht="14.25" customHeight="1" x14ac:dyDescent="0.3">
      <c r="A845" s="85"/>
      <c r="B845" s="86"/>
      <c r="C845" s="92"/>
      <c r="D845" s="34"/>
      <c r="E845" s="36"/>
      <c r="F845" s="36"/>
      <c r="G845" s="87"/>
    </row>
    <row r="846" spans="1:7" ht="14.25" customHeight="1" x14ac:dyDescent="0.3">
      <c r="A846" s="85"/>
      <c r="B846" s="86"/>
      <c r="C846" s="92"/>
      <c r="D846" s="34"/>
      <c r="E846" s="36"/>
      <c r="F846" s="36"/>
      <c r="G846" s="87"/>
    </row>
    <row r="847" spans="1:7" ht="14.25" customHeight="1" x14ac:dyDescent="0.3">
      <c r="A847" s="85"/>
      <c r="B847" s="86"/>
      <c r="C847" s="92"/>
      <c r="D847" s="34"/>
      <c r="E847" s="36"/>
      <c r="F847" s="36"/>
      <c r="G847" s="87"/>
    </row>
    <row r="848" spans="1:7" ht="14.25" customHeight="1" x14ac:dyDescent="0.3">
      <c r="A848" s="85"/>
      <c r="B848" s="86"/>
      <c r="C848" s="92"/>
      <c r="D848" s="34"/>
      <c r="E848" s="36"/>
      <c r="F848" s="36"/>
      <c r="G848" s="87"/>
    </row>
    <row r="849" spans="1:7" ht="14.25" customHeight="1" x14ac:dyDescent="0.3">
      <c r="A849" s="85"/>
      <c r="B849" s="86"/>
      <c r="C849" s="92"/>
      <c r="D849" s="34"/>
      <c r="E849" s="36"/>
      <c r="F849" s="36"/>
      <c r="G849" s="87"/>
    </row>
    <row r="850" spans="1:7" ht="14.25" customHeight="1" x14ac:dyDescent="0.3">
      <c r="A850" s="85"/>
      <c r="B850" s="86"/>
      <c r="C850" s="92"/>
      <c r="D850" s="34"/>
      <c r="E850" s="36"/>
      <c r="F850" s="36"/>
      <c r="G850" s="87"/>
    </row>
    <row r="851" spans="1:7" ht="14.25" customHeight="1" x14ac:dyDescent="0.3">
      <c r="A851" s="85"/>
      <c r="B851" s="86"/>
      <c r="C851" s="92"/>
      <c r="D851" s="34"/>
      <c r="E851" s="36"/>
      <c r="F851" s="36"/>
      <c r="G851" s="87"/>
    </row>
    <row r="852" spans="1:7" ht="14.25" customHeight="1" x14ac:dyDescent="0.3">
      <c r="A852" s="85"/>
      <c r="B852" s="86"/>
      <c r="C852" s="92"/>
      <c r="D852" s="34"/>
      <c r="E852" s="36"/>
      <c r="F852" s="36"/>
      <c r="G852" s="87"/>
    </row>
    <row r="853" spans="1:7" ht="14.25" customHeight="1" x14ac:dyDescent="0.3">
      <c r="A853" s="85"/>
      <c r="B853" s="86"/>
      <c r="C853" s="92"/>
      <c r="D853" s="34"/>
      <c r="E853" s="36"/>
      <c r="F853" s="36"/>
      <c r="G853" s="87"/>
    </row>
    <row r="854" spans="1:7" ht="14.25" customHeight="1" x14ac:dyDescent="0.3">
      <c r="A854" s="85"/>
      <c r="B854" s="86"/>
      <c r="C854" s="92"/>
      <c r="D854" s="34"/>
      <c r="E854" s="36"/>
      <c r="F854" s="36"/>
      <c r="G854" s="87"/>
    </row>
    <row r="855" spans="1:7" ht="14.25" customHeight="1" x14ac:dyDescent="0.3">
      <c r="A855" s="85"/>
      <c r="B855" s="86"/>
      <c r="C855" s="92"/>
      <c r="D855" s="34"/>
      <c r="E855" s="36"/>
      <c r="F855" s="36"/>
      <c r="G855" s="87"/>
    </row>
    <row r="856" spans="1:7" ht="14.25" customHeight="1" x14ac:dyDescent="0.3">
      <c r="A856" s="85"/>
      <c r="B856" s="86"/>
      <c r="C856" s="92"/>
      <c r="D856" s="34"/>
      <c r="E856" s="36"/>
      <c r="F856" s="36"/>
      <c r="G856" s="87"/>
    </row>
    <row r="857" spans="1:7" ht="14.25" customHeight="1" x14ac:dyDescent="0.3">
      <c r="A857" s="85"/>
      <c r="B857" s="86"/>
      <c r="C857" s="92"/>
      <c r="D857" s="34"/>
      <c r="E857" s="36"/>
      <c r="F857" s="36"/>
      <c r="G857" s="87"/>
    </row>
    <row r="858" spans="1:7" ht="14.25" customHeight="1" x14ac:dyDescent="0.3">
      <c r="A858" s="85"/>
      <c r="B858" s="86"/>
      <c r="C858" s="92"/>
      <c r="D858" s="34"/>
      <c r="E858" s="36"/>
      <c r="F858" s="36"/>
      <c r="G858" s="87"/>
    </row>
    <row r="859" spans="1:7" ht="14.25" customHeight="1" x14ac:dyDescent="0.3">
      <c r="A859" s="85"/>
      <c r="B859" s="86"/>
      <c r="C859" s="92"/>
      <c r="D859" s="34"/>
      <c r="E859" s="36"/>
      <c r="F859" s="36"/>
      <c r="G859" s="87"/>
    </row>
    <row r="860" spans="1:7" ht="14.25" customHeight="1" x14ac:dyDescent="0.3">
      <c r="A860" s="85"/>
      <c r="B860" s="86"/>
      <c r="C860" s="92"/>
      <c r="D860" s="34"/>
      <c r="E860" s="36"/>
      <c r="F860" s="36"/>
      <c r="G860" s="87"/>
    </row>
    <row r="861" spans="1:7" ht="14.25" customHeight="1" x14ac:dyDescent="0.3">
      <c r="A861" s="85"/>
      <c r="B861" s="86"/>
      <c r="C861" s="92"/>
      <c r="D861" s="34"/>
      <c r="E861" s="36"/>
      <c r="F861" s="36"/>
      <c r="G861" s="87"/>
    </row>
    <row r="862" spans="1:7" ht="14.25" customHeight="1" x14ac:dyDescent="0.3">
      <c r="A862" s="85"/>
      <c r="B862" s="86"/>
      <c r="C862" s="92"/>
      <c r="D862" s="34"/>
      <c r="E862" s="36"/>
      <c r="F862" s="36"/>
      <c r="G862" s="87"/>
    </row>
    <row r="863" spans="1:7" ht="14.25" customHeight="1" x14ac:dyDescent="0.3">
      <c r="A863" s="85"/>
      <c r="B863" s="86"/>
      <c r="C863" s="92"/>
      <c r="D863" s="34"/>
      <c r="E863" s="36"/>
      <c r="F863" s="36"/>
      <c r="G863" s="87"/>
    </row>
    <row r="864" spans="1:7" ht="14.25" customHeight="1" x14ac:dyDescent="0.3">
      <c r="A864" s="85"/>
      <c r="B864" s="86"/>
      <c r="C864" s="92"/>
      <c r="D864" s="34"/>
      <c r="E864" s="36"/>
      <c r="F864" s="36"/>
      <c r="G864" s="87"/>
    </row>
    <row r="865" spans="1:7" ht="14.25" customHeight="1" x14ac:dyDescent="0.3">
      <c r="A865" s="85"/>
      <c r="B865" s="86"/>
      <c r="C865" s="92"/>
      <c r="D865" s="34"/>
      <c r="E865" s="36"/>
      <c r="F865" s="36"/>
      <c r="G865" s="87"/>
    </row>
    <row r="866" spans="1:7" ht="14.25" customHeight="1" x14ac:dyDescent="0.3">
      <c r="A866" s="85"/>
      <c r="B866" s="86"/>
      <c r="C866" s="92"/>
      <c r="D866" s="34"/>
      <c r="E866" s="36"/>
      <c r="F866" s="36"/>
      <c r="G866" s="87"/>
    </row>
    <row r="867" spans="1:7" ht="14.25" customHeight="1" x14ac:dyDescent="0.3">
      <c r="A867" s="85"/>
      <c r="B867" s="86"/>
      <c r="C867" s="92"/>
      <c r="D867" s="34"/>
      <c r="E867" s="36"/>
      <c r="F867" s="36"/>
      <c r="G867" s="87"/>
    </row>
    <row r="868" spans="1:7" ht="14.25" customHeight="1" x14ac:dyDescent="0.3">
      <c r="A868" s="85"/>
      <c r="B868" s="86"/>
      <c r="C868" s="92"/>
      <c r="D868" s="34"/>
      <c r="E868" s="36"/>
      <c r="F868" s="36"/>
      <c r="G868" s="87"/>
    </row>
    <row r="869" spans="1:7" ht="14.25" customHeight="1" x14ac:dyDescent="0.3">
      <c r="A869" s="85"/>
      <c r="B869" s="86"/>
      <c r="C869" s="92"/>
      <c r="D869" s="34"/>
      <c r="E869" s="36"/>
      <c r="F869" s="36"/>
      <c r="G869" s="87"/>
    </row>
    <row r="870" spans="1:7" ht="14.25" customHeight="1" x14ac:dyDescent="0.3">
      <c r="A870" s="85"/>
      <c r="B870" s="86"/>
      <c r="C870" s="92"/>
      <c r="D870" s="34"/>
      <c r="E870" s="36"/>
      <c r="F870" s="36"/>
      <c r="G870" s="87"/>
    </row>
    <row r="871" spans="1:7" ht="14.25" customHeight="1" x14ac:dyDescent="0.3">
      <c r="A871" s="85"/>
      <c r="B871" s="86"/>
      <c r="C871" s="92"/>
      <c r="D871" s="34"/>
      <c r="E871" s="36"/>
      <c r="F871" s="36"/>
      <c r="G871" s="87"/>
    </row>
    <row r="872" spans="1:7" ht="14.25" customHeight="1" x14ac:dyDescent="0.3">
      <c r="A872" s="85"/>
      <c r="B872" s="86"/>
      <c r="C872" s="92"/>
      <c r="D872" s="34"/>
      <c r="E872" s="36"/>
      <c r="F872" s="36"/>
      <c r="G872" s="87"/>
    </row>
    <row r="873" spans="1:7" ht="14.25" customHeight="1" x14ac:dyDescent="0.3">
      <c r="A873" s="85"/>
      <c r="B873" s="86"/>
      <c r="C873" s="92"/>
      <c r="D873" s="34"/>
      <c r="E873" s="36"/>
      <c r="F873" s="36"/>
      <c r="G873" s="87"/>
    </row>
    <row r="874" spans="1:7" ht="14.25" customHeight="1" x14ac:dyDescent="0.3">
      <c r="A874" s="85"/>
      <c r="B874" s="86"/>
      <c r="C874" s="92"/>
      <c r="D874" s="34"/>
      <c r="E874" s="36"/>
      <c r="F874" s="36"/>
      <c r="G874" s="87"/>
    </row>
    <row r="875" spans="1:7" ht="14.25" customHeight="1" x14ac:dyDescent="0.3">
      <c r="A875" s="85"/>
      <c r="B875" s="86"/>
      <c r="C875" s="92"/>
      <c r="D875" s="34"/>
      <c r="E875" s="36"/>
      <c r="F875" s="36"/>
      <c r="G875" s="87"/>
    </row>
    <row r="876" spans="1:7" ht="14.25" customHeight="1" x14ac:dyDescent="0.3">
      <c r="A876" s="85"/>
      <c r="B876" s="86"/>
      <c r="C876" s="92"/>
      <c r="D876" s="34"/>
      <c r="E876" s="36"/>
      <c r="F876" s="36"/>
      <c r="G876" s="87"/>
    </row>
    <row r="877" spans="1:7" ht="14.25" customHeight="1" x14ac:dyDescent="0.3">
      <c r="A877" s="85"/>
      <c r="B877" s="86"/>
      <c r="C877" s="92"/>
      <c r="D877" s="34"/>
      <c r="E877" s="36"/>
      <c r="F877" s="36"/>
      <c r="G877" s="87"/>
    </row>
    <row r="878" spans="1:7" ht="14.25" customHeight="1" x14ac:dyDescent="0.3">
      <c r="A878" s="85"/>
      <c r="B878" s="86"/>
      <c r="C878" s="92"/>
      <c r="D878" s="34"/>
      <c r="E878" s="36"/>
      <c r="F878" s="36"/>
      <c r="G878" s="87"/>
    </row>
    <row r="879" spans="1:7" ht="14.25" customHeight="1" x14ac:dyDescent="0.3">
      <c r="A879" s="85"/>
      <c r="B879" s="86"/>
      <c r="C879" s="92"/>
      <c r="D879" s="34"/>
      <c r="E879" s="36"/>
      <c r="F879" s="36"/>
      <c r="G879" s="87"/>
    </row>
    <row r="880" spans="1:7" ht="14.25" customHeight="1" x14ac:dyDescent="0.3">
      <c r="A880" s="85"/>
      <c r="B880" s="86"/>
      <c r="C880" s="92"/>
      <c r="D880" s="34"/>
      <c r="E880" s="36"/>
      <c r="F880" s="36"/>
      <c r="G880" s="87"/>
    </row>
    <row r="881" spans="1:7" ht="14.25" customHeight="1" x14ac:dyDescent="0.3">
      <c r="A881" s="85"/>
      <c r="B881" s="86"/>
      <c r="C881" s="92"/>
      <c r="D881" s="34"/>
      <c r="E881" s="36"/>
      <c r="F881" s="36"/>
      <c r="G881" s="87"/>
    </row>
    <row r="882" spans="1:7" ht="14.25" customHeight="1" x14ac:dyDescent="0.3">
      <c r="A882" s="85"/>
      <c r="B882" s="86"/>
      <c r="C882" s="92"/>
      <c r="D882" s="34"/>
      <c r="E882" s="36"/>
      <c r="F882" s="36"/>
      <c r="G882" s="87"/>
    </row>
    <row r="883" spans="1:7" ht="14.25" customHeight="1" x14ac:dyDescent="0.3">
      <c r="A883" s="85"/>
      <c r="B883" s="86"/>
      <c r="C883" s="92"/>
      <c r="D883" s="34"/>
      <c r="E883" s="36"/>
      <c r="F883" s="36"/>
      <c r="G883" s="87"/>
    </row>
    <row r="884" spans="1:7" ht="14.25" customHeight="1" x14ac:dyDescent="0.3">
      <c r="A884" s="85"/>
      <c r="B884" s="86"/>
      <c r="C884" s="92"/>
      <c r="D884" s="34"/>
      <c r="E884" s="36"/>
      <c r="F884" s="36"/>
      <c r="G884" s="87"/>
    </row>
    <row r="885" spans="1:7" ht="14.25" customHeight="1" x14ac:dyDescent="0.3">
      <c r="A885" s="85"/>
      <c r="B885" s="86"/>
      <c r="C885" s="92"/>
      <c r="D885" s="34"/>
      <c r="E885" s="36"/>
      <c r="F885" s="36"/>
      <c r="G885" s="87"/>
    </row>
    <row r="886" spans="1:7" ht="14.25" customHeight="1" x14ac:dyDescent="0.3">
      <c r="A886" s="85"/>
      <c r="B886" s="86"/>
      <c r="C886" s="92"/>
      <c r="D886" s="34"/>
      <c r="E886" s="36"/>
      <c r="F886" s="36"/>
      <c r="G886" s="87"/>
    </row>
    <row r="887" spans="1:7" ht="14.25" customHeight="1" x14ac:dyDescent="0.3">
      <c r="A887" s="85"/>
      <c r="B887" s="86"/>
      <c r="C887" s="92"/>
      <c r="D887" s="34"/>
      <c r="E887" s="36"/>
      <c r="F887" s="36"/>
      <c r="G887" s="87"/>
    </row>
    <row r="888" spans="1:7" ht="14.25" customHeight="1" x14ac:dyDescent="0.3">
      <c r="A888" s="85"/>
      <c r="B888" s="86"/>
      <c r="C888" s="92"/>
      <c r="D888" s="34"/>
      <c r="E888" s="36"/>
      <c r="F888" s="36"/>
      <c r="G888" s="87"/>
    </row>
    <row r="889" spans="1:7" ht="14.25" customHeight="1" x14ac:dyDescent="0.3">
      <c r="A889" s="85"/>
      <c r="B889" s="86"/>
      <c r="C889" s="92"/>
      <c r="D889" s="34"/>
      <c r="E889" s="36"/>
      <c r="F889" s="36"/>
      <c r="G889" s="87"/>
    </row>
    <row r="890" spans="1:7" ht="14.25" customHeight="1" x14ac:dyDescent="0.3">
      <c r="A890" s="85"/>
      <c r="B890" s="86"/>
      <c r="C890" s="92"/>
      <c r="D890" s="34"/>
      <c r="E890" s="36"/>
      <c r="F890" s="36"/>
      <c r="G890" s="87"/>
    </row>
    <row r="891" spans="1:7" ht="14.25" customHeight="1" x14ac:dyDescent="0.3">
      <c r="A891" s="85"/>
      <c r="B891" s="86"/>
      <c r="C891" s="92"/>
      <c r="D891" s="34"/>
      <c r="E891" s="36"/>
      <c r="F891" s="36"/>
      <c r="G891" s="87"/>
    </row>
    <row r="892" spans="1:7" ht="14.25" customHeight="1" x14ac:dyDescent="0.3">
      <c r="A892" s="85"/>
      <c r="B892" s="86"/>
      <c r="C892" s="92"/>
      <c r="D892" s="34"/>
      <c r="E892" s="36"/>
      <c r="F892" s="36"/>
      <c r="G892" s="87"/>
    </row>
    <row r="893" spans="1:7" ht="14.25" customHeight="1" x14ac:dyDescent="0.3">
      <c r="A893" s="85"/>
      <c r="B893" s="86"/>
      <c r="C893" s="92"/>
      <c r="D893" s="34"/>
      <c r="E893" s="36"/>
      <c r="F893" s="36"/>
      <c r="G893" s="87"/>
    </row>
    <row r="894" spans="1:7" ht="14.25" customHeight="1" x14ac:dyDescent="0.3">
      <c r="A894" s="85"/>
      <c r="B894" s="86"/>
      <c r="C894" s="92"/>
      <c r="D894" s="34"/>
      <c r="E894" s="36"/>
      <c r="F894" s="36"/>
      <c r="G894" s="87"/>
    </row>
    <row r="895" spans="1:7" ht="14.25" customHeight="1" x14ac:dyDescent="0.3">
      <c r="A895" s="85"/>
      <c r="B895" s="86"/>
      <c r="C895" s="92"/>
      <c r="D895" s="34"/>
      <c r="E895" s="36"/>
      <c r="F895" s="36"/>
      <c r="G895" s="87"/>
    </row>
    <row r="896" spans="1:7" ht="14.25" customHeight="1" x14ac:dyDescent="0.3">
      <c r="A896" s="85"/>
      <c r="B896" s="86"/>
      <c r="C896" s="92"/>
      <c r="D896" s="34"/>
      <c r="E896" s="36"/>
      <c r="F896" s="36"/>
      <c r="G896" s="87"/>
    </row>
    <row r="897" spans="1:7" ht="14.25" customHeight="1" x14ac:dyDescent="0.3">
      <c r="A897" s="85"/>
      <c r="B897" s="86"/>
      <c r="C897" s="92"/>
      <c r="D897" s="34"/>
      <c r="E897" s="36"/>
      <c r="F897" s="36"/>
      <c r="G897" s="87"/>
    </row>
    <row r="898" spans="1:7" ht="14.25" customHeight="1" x14ac:dyDescent="0.3">
      <c r="A898" s="85"/>
      <c r="B898" s="86"/>
      <c r="C898" s="92"/>
      <c r="D898" s="34"/>
      <c r="E898" s="36"/>
      <c r="F898" s="36"/>
      <c r="G898" s="87"/>
    </row>
    <row r="899" spans="1:7" ht="14.25" customHeight="1" x14ac:dyDescent="0.3">
      <c r="A899" s="85"/>
      <c r="B899" s="86"/>
      <c r="C899" s="92"/>
      <c r="D899" s="34"/>
      <c r="E899" s="36"/>
      <c r="F899" s="36"/>
      <c r="G899" s="87"/>
    </row>
    <row r="900" spans="1:7" ht="14.25" customHeight="1" x14ac:dyDescent="0.3">
      <c r="A900" s="85"/>
      <c r="B900" s="86"/>
      <c r="C900" s="92"/>
      <c r="D900" s="34"/>
      <c r="E900" s="36"/>
      <c r="F900" s="36"/>
      <c r="G900" s="87"/>
    </row>
    <row r="901" spans="1:7" ht="14.25" customHeight="1" x14ac:dyDescent="0.3">
      <c r="A901" s="85"/>
      <c r="B901" s="86"/>
      <c r="C901" s="92"/>
      <c r="D901" s="34"/>
      <c r="E901" s="36"/>
      <c r="F901" s="36"/>
      <c r="G901" s="87"/>
    </row>
    <row r="902" spans="1:7" ht="14.25" customHeight="1" x14ac:dyDescent="0.3">
      <c r="A902" s="85"/>
      <c r="B902" s="86"/>
      <c r="C902" s="92"/>
      <c r="D902" s="34"/>
      <c r="E902" s="36"/>
      <c r="F902" s="36"/>
      <c r="G902" s="87"/>
    </row>
    <row r="903" spans="1:7" ht="14.25" customHeight="1" x14ac:dyDescent="0.3">
      <c r="A903" s="85"/>
      <c r="B903" s="86"/>
      <c r="C903" s="92"/>
      <c r="D903" s="34"/>
      <c r="E903" s="36"/>
      <c r="F903" s="36"/>
      <c r="G903" s="87"/>
    </row>
    <row r="904" spans="1:7" ht="14.25" customHeight="1" x14ac:dyDescent="0.3">
      <c r="A904" s="85"/>
      <c r="B904" s="86"/>
      <c r="C904" s="92"/>
      <c r="D904" s="34"/>
      <c r="E904" s="36"/>
      <c r="F904" s="36"/>
      <c r="G904" s="87"/>
    </row>
    <row r="905" spans="1:7" ht="14.25" customHeight="1" x14ac:dyDescent="0.3">
      <c r="A905" s="85"/>
      <c r="B905" s="86"/>
      <c r="C905" s="92"/>
      <c r="D905" s="34"/>
      <c r="E905" s="36"/>
      <c r="F905" s="36"/>
      <c r="G905" s="87"/>
    </row>
    <row r="906" spans="1:7" ht="14.25" customHeight="1" x14ac:dyDescent="0.3">
      <c r="A906" s="85"/>
      <c r="B906" s="86"/>
      <c r="C906" s="92"/>
      <c r="D906" s="34"/>
      <c r="E906" s="36"/>
      <c r="F906" s="36"/>
      <c r="G906" s="87"/>
    </row>
    <row r="907" spans="1:7" ht="14.25" customHeight="1" x14ac:dyDescent="0.3">
      <c r="A907" s="85"/>
      <c r="B907" s="86"/>
      <c r="C907" s="92"/>
      <c r="D907" s="34"/>
      <c r="E907" s="36"/>
      <c r="F907" s="36"/>
      <c r="G907" s="87"/>
    </row>
    <row r="908" spans="1:7" ht="14.25" customHeight="1" x14ac:dyDescent="0.3">
      <c r="A908" s="85"/>
      <c r="B908" s="86"/>
      <c r="C908" s="92"/>
      <c r="D908" s="34"/>
      <c r="E908" s="36"/>
      <c r="F908" s="36"/>
      <c r="G908" s="87"/>
    </row>
    <row r="909" spans="1:7" ht="14.25" customHeight="1" x14ac:dyDescent="0.3">
      <c r="A909" s="85"/>
      <c r="B909" s="86"/>
      <c r="C909" s="92"/>
      <c r="D909" s="34"/>
      <c r="E909" s="36"/>
      <c r="F909" s="36"/>
      <c r="G909" s="87"/>
    </row>
    <row r="910" spans="1:7" ht="14.25" customHeight="1" x14ac:dyDescent="0.3">
      <c r="A910" s="85"/>
      <c r="B910" s="86"/>
      <c r="C910" s="92"/>
      <c r="D910" s="34"/>
      <c r="E910" s="36"/>
      <c r="F910" s="36"/>
      <c r="G910" s="87"/>
    </row>
    <row r="911" spans="1:7" ht="14.25" customHeight="1" x14ac:dyDescent="0.3">
      <c r="A911" s="85"/>
      <c r="B911" s="86"/>
      <c r="C911" s="92"/>
      <c r="D911" s="34"/>
      <c r="E911" s="36"/>
      <c r="F911" s="36"/>
      <c r="G911" s="87"/>
    </row>
    <row r="912" spans="1:7" ht="14.25" customHeight="1" x14ac:dyDescent="0.3">
      <c r="A912" s="85"/>
      <c r="B912" s="86"/>
      <c r="C912" s="92"/>
      <c r="D912" s="34"/>
      <c r="E912" s="36"/>
      <c r="F912" s="36"/>
      <c r="G912" s="87"/>
    </row>
    <row r="913" spans="1:7" ht="14.25" customHeight="1" x14ac:dyDescent="0.3">
      <c r="A913" s="85"/>
      <c r="B913" s="86"/>
      <c r="C913" s="92"/>
      <c r="D913" s="34"/>
      <c r="E913" s="36"/>
      <c r="F913" s="36"/>
      <c r="G913" s="87"/>
    </row>
    <row r="914" spans="1:7" ht="14.25" customHeight="1" x14ac:dyDescent="0.3">
      <c r="A914" s="85"/>
      <c r="B914" s="86"/>
      <c r="C914" s="92"/>
      <c r="D914" s="34"/>
      <c r="E914" s="36"/>
      <c r="F914" s="36"/>
      <c r="G914" s="87"/>
    </row>
    <row r="915" spans="1:7" ht="14.25" customHeight="1" x14ac:dyDescent="0.3">
      <c r="A915" s="85"/>
      <c r="B915" s="86"/>
      <c r="C915" s="92"/>
      <c r="D915" s="34"/>
      <c r="E915" s="36"/>
      <c r="F915" s="36"/>
      <c r="G915" s="87"/>
    </row>
    <row r="916" spans="1:7" ht="14.25" customHeight="1" x14ac:dyDescent="0.3">
      <c r="A916" s="85"/>
      <c r="B916" s="86"/>
      <c r="C916" s="92"/>
      <c r="D916" s="34"/>
      <c r="E916" s="36"/>
      <c r="F916" s="36"/>
      <c r="G916" s="87"/>
    </row>
    <row r="917" spans="1:7" ht="14.25" customHeight="1" x14ac:dyDescent="0.3">
      <c r="A917" s="85"/>
      <c r="B917" s="86"/>
      <c r="C917" s="92"/>
      <c r="D917" s="34"/>
      <c r="E917" s="36"/>
      <c r="F917" s="36"/>
      <c r="G917" s="87"/>
    </row>
    <row r="918" spans="1:7" ht="14.25" customHeight="1" x14ac:dyDescent="0.3">
      <c r="A918" s="85"/>
      <c r="B918" s="86"/>
      <c r="C918" s="92"/>
      <c r="D918" s="34"/>
      <c r="E918" s="36"/>
      <c r="F918" s="36"/>
      <c r="G918" s="87"/>
    </row>
    <row r="919" spans="1:7" ht="14.25" customHeight="1" x14ac:dyDescent="0.3">
      <c r="A919" s="85"/>
      <c r="B919" s="86"/>
      <c r="C919" s="92"/>
      <c r="D919" s="34"/>
      <c r="E919" s="36"/>
      <c r="F919" s="36"/>
      <c r="G919" s="87"/>
    </row>
    <row r="920" spans="1:7" ht="14.25" customHeight="1" x14ac:dyDescent="0.3">
      <c r="A920" s="85"/>
      <c r="B920" s="86"/>
      <c r="C920" s="92"/>
      <c r="D920" s="34"/>
      <c r="E920" s="36"/>
      <c r="F920" s="36"/>
      <c r="G920" s="87"/>
    </row>
    <row r="921" spans="1:7" ht="14.25" customHeight="1" x14ac:dyDescent="0.3">
      <c r="A921" s="85"/>
      <c r="B921" s="86"/>
      <c r="C921" s="92"/>
      <c r="D921" s="34"/>
      <c r="E921" s="36"/>
      <c r="F921" s="36"/>
      <c r="G921" s="87"/>
    </row>
    <row r="922" spans="1:7" ht="14.25" customHeight="1" x14ac:dyDescent="0.3">
      <c r="A922" s="85"/>
      <c r="B922" s="86"/>
      <c r="C922" s="92"/>
      <c r="D922" s="34"/>
      <c r="E922" s="36"/>
      <c r="F922" s="36"/>
      <c r="G922" s="87"/>
    </row>
    <row r="923" spans="1:7" ht="14.25" customHeight="1" x14ac:dyDescent="0.3">
      <c r="A923" s="85"/>
      <c r="B923" s="86"/>
      <c r="C923" s="92"/>
      <c r="D923" s="34"/>
      <c r="E923" s="36"/>
      <c r="F923" s="36"/>
      <c r="G923" s="87"/>
    </row>
    <row r="924" spans="1:7" ht="14.25" customHeight="1" x14ac:dyDescent="0.3">
      <c r="A924" s="85"/>
      <c r="B924" s="86"/>
      <c r="C924" s="92"/>
      <c r="D924" s="34"/>
      <c r="E924" s="36"/>
      <c r="F924" s="36"/>
      <c r="G924" s="87"/>
    </row>
    <row r="925" spans="1:7" ht="14.25" customHeight="1" x14ac:dyDescent="0.3">
      <c r="A925" s="85"/>
      <c r="B925" s="86"/>
      <c r="C925" s="92"/>
      <c r="D925" s="34"/>
      <c r="E925" s="36"/>
      <c r="F925" s="36"/>
      <c r="G925" s="87"/>
    </row>
    <row r="926" spans="1:7" ht="14.25" customHeight="1" x14ac:dyDescent="0.3">
      <c r="A926" s="85"/>
      <c r="B926" s="86"/>
      <c r="C926" s="92"/>
      <c r="D926" s="34"/>
      <c r="E926" s="36"/>
      <c r="F926" s="36"/>
      <c r="G926" s="87"/>
    </row>
    <row r="927" spans="1:7" ht="14.25" customHeight="1" x14ac:dyDescent="0.3">
      <c r="A927" s="85"/>
      <c r="B927" s="86"/>
      <c r="C927" s="92"/>
      <c r="D927" s="34"/>
      <c r="E927" s="36"/>
      <c r="F927" s="36"/>
      <c r="G927" s="87"/>
    </row>
    <row r="928" spans="1:7" ht="14.25" customHeight="1" x14ac:dyDescent="0.3">
      <c r="A928" s="85"/>
      <c r="B928" s="86"/>
      <c r="C928" s="92"/>
      <c r="D928" s="34"/>
      <c r="E928" s="36"/>
      <c r="F928" s="36"/>
      <c r="G928" s="87"/>
    </row>
    <row r="929" spans="1:7" ht="14.25" customHeight="1" x14ac:dyDescent="0.3">
      <c r="A929" s="85"/>
      <c r="B929" s="86"/>
      <c r="C929" s="92"/>
      <c r="D929" s="34"/>
      <c r="E929" s="36"/>
      <c r="F929" s="36"/>
      <c r="G929" s="87"/>
    </row>
    <row r="930" spans="1:7" ht="14.25" customHeight="1" x14ac:dyDescent="0.3">
      <c r="A930" s="85"/>
      <c r="B930" s="86"/>
      <c r="C930" s="92"/>
      <c r="D930" s="34"/>
      <c r="E930" s="36"/>
      <c r="F930" s="36"/>
      <c r="G930" s="87"/>
    </row>
    <row r="931" spans="1:7" ht="14.25" customHeight="1" x14ac:dyDescent="0.3">
      <c r="A931" s="85"/>
      <c r="B931" s="86"/>
      <c r="C931" s="92"/>
      <c r="D931" s="34"/>
      <c r="E931" s="36"/>
      <c r="F931" s="36"/>
      <c r="G931" s="87"/>
    </row>
    <row r="932" spans="1:7" ht="14.25" customHeight="1" x14ac:dyDescent="0.3">
      <c r="A932" s="85"/>
      <c r="B932" s="86"/>
      <c r="C932" s="92"/>
      <c r="D932" s="34"/>
      <c r="E932" s="36"/>
      <c r="F932" s="36"/>
      <c r="G932" s="87"/>
    </row>
    <row r="933" spans="1:7" ht="14.25" customHeight="1" x14ac:dyDescent="0.3">
      <c r="A933" s="85"/>
      <c r="B933" s="86"/>
      <c r="C933" s="92"/>
      <c r="D933" s="34"/>
      <c r="E933" s="36"/>
      <c r="F933" s="36"/>
      <c r="G933" s="87"/>
    </row>
    <row r="934" spans="1:7" ht="14.25" customHeight="1" x14ac:dyDescent="0.3">
      <c r="A934" s="85"/>
      <c r="B934" s="86"/>
      <c r="C934" s="92"/>
      <c r="D934" s="34"/>
      <c r="E934" s="36"/>
      <c r="F934" s="36"/>
      <c r="G934" s="87"/>
    </row>
    <row r="935" spans="1:7" ht="14.25" customHeight="1" x14ac:dyDescent="0.3">
      <c r="A935" s="85"/>
      <c r="B935" s="86"/>
      <c r="C935" s="92"/>
      <c r="D935" s="34"/>
      <c r="E935" s="36"/>
      <c r="F935" s="36"/>
      <c r="G935" s="87"/>
    </row>
    <row r="936" spans="1:7" ht="14.25" customHeight="1" x14ac:dyDescent="0.3">
      <c r="A936" s="85"/>
      <c r="B936" s="86"/>
      <c r="C936" s="92"/>
      <c r="D936" s="34"/>
      <c r="E936" s="36"/>
      <c r="F936" s="36"/>
      <c r="G936" s="87"/>
    </row>
    <row r="937" spans="1:7" ht="14.25" customHeight="1" x14ac:dyDescent="0.3">
      <c r="A937" s="85"/>
      <c r="B937" s="86"/>
      <c r="C937" s="92"/>
      <c r="D937" s="34"/>
      <c r="E937" s="36"/>
      <c r="F937" s="36"/>
      <c r="G937" s="87"/>
    </row>
    <row r="938" spans="1:7" ht="14.25" customHeight="1" x14ac:dyDescent="0.3">
      <c r="A938" s="85"/>
      <c r="B938" s="86"/>
      <c r="C938" s="92"/>
      <c r="D938" s="34"/>
      <c r="E938" s="36"/>
      <c r="F938" s="36"/>
      <c r="G938" s="87"/>
    </row>
    <row r="939" spans="1:7" ht="14.25" customHeight="1" x14ac:dyDescent="0.3">
      <c r="A939" s="85"/>
      <c r="B939" s="86"/>
      <c r="C939" s="92"/>
      <c r="D939" s="34"/>
      <c r="E939" s="36"/>
      <c r="F939" s="36"/>
      <c r="G939" s="87"/>
    </row>
    <row r="940" spans="1:7" ht="14.25" customHeight="1" x14ac:dyDescent="0.3">
      <c r="A940" s="85"/>
      <c r="B940" s="86"/>
      <c r="C940" s="92"/>
      <c r="D940" s="34"/>
      <c r="E940" s="36"/>
      <c r="F940" s="36"/>
      <c r="G940" s="87"/>
    </row>
    <row r="941" spans="1:7" ht="14.25" customHeight="1" x14ac:dyDescent="0.3">
      <c r="A941" s="85"/>
      <c r="B941" s="86"/>
      <c r="C941" s="92"/>
      <c r="D941" s="34"/>
      <c r="E941" s="36"/>
      <c r="F941" s="36"/>
      <c r="G941" s="87"/>
    </row>
    <row r="942" spans="1:7" ht="14.25" customHeight="1" x14ac:dyDescent="0.3">
      <c r="A942" s="85"/>
      <c r="B942" s="86"/>
      <c r="C942" s="92"/>
      <c r="D942" s="34"/>
      <c r="E942" s="36"/>
      <c r="F942" s="36"/>
      <c r="G942" s="87"/>
    </row>
    <row r="943" spans="1:7" ht="14.25" customHeight="1" x14ac:dyDescent="0.3">
      <c r="A943" s="85"/>
      <c r="B943" s="86"/>
      <c r="C943" s="92"/>
      <c r="D943" s="34"/>
      <c r="E943" s="36"/>
      <c r="F943" s="36"/>
      <c r="G943" s="87"/>
    </row>
    <row r="944" spans="1:7" ht="14.25" customHeight="1" x14ac:dyDescent="0.3">
      <c r="A944" s="85"/>
      <c r="B944" s="86"/>
      <c r="C944" s="92"/>
      <c r="D944" s="34"/>
      <c r="E944" s="36"/>
      <c r="F944" s="36"/>
      <c r="G944" s="87"/>
    </row>
    <row r="945" spans="1:7" ht="14.25" customHeight="1" x14ac:dyDescent="0.3">
      <c r="A945" s="85"/>
      <c r="B945" s="86"/>
      <c r="C945" s="92"/>
      <c r="D945" s="34"/>
      <c r="E945" s="36"/>
      <c r="F945" s="36"/>
      <c r="G945" s="87"/>
    </row>
    <row r="946" spans="1:7" ht="14.25" customHeight="1" x14ac:dyDescent="0.3">
      <c r="A946" s="85"/>
      <c r="B946" s="86"/>
      <c r="C946" s="92"/>
      <c r="D946" s="34"/>
      <c r="E946" s="36"/>
      <c r="F946" s="36"/>
      <c r="G946" s="87"/>
    </row>
    <row r="947" spans="1:7" ht="14.25" customHeight="1" x14ac:dyDescent="0.3">
      <c r="A947" s="85"/>
      <c r="B947" s="86"/>
      <c r="C947" s="92"/>
      <c r="D947" s="34"/>
      <c r="E947" s="36"/>
      <c r="F947" s="36"/>
      <c r="G947" s="87"/>
    </row>
    <row r="948" spans="1:7" ht="14.25" customHeight="1" x14ac:dyDescent="0.3">
      <c r="A948" s="85"/>
      <c r="B948" s="86"/>
      <c r="C948" s="92"/>
      <c r="D948" s="34"/>
      <c r="E948" s="36"/>
      <c r="F948" s="36"/>
      <c r="G948" s="87"/>
    </row>
    <row r="949" spans="1:7" ht="14.25" customHeight="1" x14ac:dyDescent="0.3">
      <c r="A949" s="85"/>
      <c r="B949" s="86"/>
      <c r="C949" s="92"/>
      <c r="D949" s="34"/>
      <c r="E949" s="36"/>
      <c r="F949" s="36"/>
      <c r="G949" s="87"/>
    </row>
    <row r="950" spans="1:7" ht="14.25" customHeight="1" x14ac:dyDescent="0.3">
      <c r="A950" s="85"/>
      <c r="B950" s="86"/>
      <c r="C950" s="92"/>
      <c r="D950" s="34"/>
      <c r="E950" s="36"/>
      <c r="F950" s="36"/>
      <c r="G950" s="87"/>
    </row>
    <row r="951" spans="1:7" ht="14.25" customHeight="1" x14ac:dyDescent="0.3">
      <c r="A951" s="85"/>
      <c r="B951" s="86"/>
      <c r="C951" s="92"/>
      <c r="D951" s="34"/>
      <c r="E951" s="36"/>
      <c r="F951" s="36"/>
      <c r="G951" s="87"/>
    </row>
    <row r="952" spans="1:7" ht="14.25" customHeight="1" x14ac:dyDescent="0.3">
      <c r="A952" s="85"/>
      <c r="B952" s="86"/>
      <c r="C952" s="92"/>
      <c r="D952" s="34"/>
      <c r="E952" s="36"/>
      <c r="F952" s="36"/>
      <c r="G952" s="87"/>
    </row>
    <row r="953" spans="1:7" ht="14.25" customHeight="1" x14ac:dyDescent="0.3">
      <c r="A953" s="85"/>
      <c r="B953" s="86"/>
      <c r="C953" s="92"/>
      <c r="D953" s="34"/>
      <c r="E953" s="36"/>
      <c r="F953" s="36"/>
      <c r="G953" s="87"/>
    </row>
    <row r="954" spans="1:7" ht="14.25" customHeight="1" x14ac:dyDescent="0.3">
      <c r="A954" s="85"/>
      <c r="B954" s="86"/>
      <c r="C954" s="92"/>
      <c r="D954" s="34"/>
      <c r="E954" s="36"/>
      <c r="F954" s="36"/>
      <c r="G954" s="87"/>
    </row>
    <row r="955" spans="1:7" ht="14.25" customHeight="1" x14ac:dyDescent="0.3">
      <c r="A955" s="85"/>
      <c r="B955" s="86"/>
      <c r="C955" s="92"/>
      <c r="D955" s="34"/>
      <c r="E955" s="36"/>
      <c r="F955" s="36"/>
      <c r="G955" s="87"/>
    </row>
    <row r="956" spans="1:7" ht="14.25" customHeight="1" x14ac:dyDescent="0.3">
      <c r="A956" s="85"/>
      <c r="B956" s="86"/>
      <c r="C956" s="92"/>
      <c r="D956" s="34"/>
      <c r="E956" s="36"/>
      <c r="F956" s="36"/>
      <c r="G956" s="87"/>
    </row>
    <row r="957" spans="1:7" ht="14.25" customHeight="1" x14ac:dyDescent="0.3">
      <c r="A957" s="85"/>
      <c r="B957" s="86"/>
      <c r="C957" s="92"/>
      <c r="D957" s="34"/>
      <c r="E957" s="36"/>
      <c r="F957" s="36"/>
      <c r="G957" s="87"/>
    </row>
    <row r="958" spans="1:7" ht="14.25" customHeight="1" x14ac:dyDescent="0.3">
      <c r="A958" s="85"/>
      <c r="B958" s="86"/>
      <c r="C958" s="92"/>
      <c r="D958" s="34"/>
      <c r="E958" s="36"/>
      <c r="F958" s="36"/>
      <c r="G958" s="87"/>
    </row>
    <row r="959" spans="1:7" ht="14.25" customHeight="1" x14ac:dyDescent="0.3">
      <c r="A959" s="85"/>
      <c r="B959" s="86"/>
      <c r="C959" s="92"/>
      <c r="D959" s="34"/>
      <c r="E959" s="36"/>
      <c r="F959" s="36"/>
      <c r="G959" s="87"/>
    </row>
    <row r="960" spans="1:7" ht="14.25" customHeight="1" x14ac:dyDescent="0.3">
      <c r="A960" s="85"/>
      <c r="B960" s="86"/>
      <c r="C960" s="92"/>
      <c r="D960" s="34"/>
      <c r="E960" s="36"/>
      <c r="F960" s="36"/>
      <c r="G960" s="87"/>
    </row>
    <row r="961" spans="1:7" ht="14.25" customHeight="1" x14ac:dyDescent="0.3">
      <c r="A961" s="85"/>
      <c r="B961" s="86"/>
      <c r="C961" s="92"/>
      <c r="D961" s="34"/>
      <c r="E961" s="36"/>
      <c r="F961" s="36"/>
      <c r="G961" s="87"/>
    </row>
    <row r="962" spans="1:7" ht="14.25" customHeight="1" x14ac:dyDescent="0.3">
      <c r="A962" s="85"/>
      <c r="B962" s="86"/>
      <c r="C962" s="92"/>
      <c r="D962" s="34"/>
      <c r="E962" s="36"/>
      <c r="F962" s="36"/>
      <c r="G962" s="87"/>
    </row>
    <row r="963" spans="1:7" ht="14.25" customHeight="1" x14ac:dyDescent="0.3">
      <c r="A963" s="85"/>
      <c r="B963" s="86"/>
      <c r="C963" s="92"/>
      <c r="D963" s="34"/>
      <c r="E963" s="36"/>
      <c r="F963" s="36"/>
      <c r="G963" s="87"/>
    </row>
    <row r="964" spans="1:7" ht="14.25" customHeight="1" x14ac:dyDescent="0.3">
      <c r="A964" s="85"/>
      <c r="B964" s="86"/>
      <c r="C964" s="92"/>
      <c r="D964" s="34"/>
      <c r="E964" s="36"/>
      <c r="F964" s="36"/>
      <c r="G964" s="87"/>
    </row>
    <row r="965" spans="1:7" ht="14.25" customHeight="1" x14ac:dyDescent="0.3">
      <c r="A965" s="85"/>
      <c r="B965" s="86"/>
      <c r="C965" s="92"/>
      <c r="D965" s="34"/>
      <c r="E965" s="36"/>
      <c r="F965" s="36"/>
      <c r="G965" s="87"/>
    </row>
    <row r="966" spans="1:7" ht="14.25" customHeight="1" x14ac:dyDescent="0.3">
      <c r="A966" s="85"/>
      <c r="B966" s="86"/>
      <c r="C966" s="92"/>
      <c r="D966" s="34"/>
      <c r="E966" s="36"/>
      <c r="F966" s="36"/>
      <c r="G966" s="87"/>
    </row>
    <row r="967" spans="1:7" ht="14.25" customHeight="1" x14ac:dyDescent="0.3">
      <c r="A967" s="85"/>
      <c r="B967" s="86"/>
      <c r="C967" s="92"/>
      <c r="D967" s="34"/>
      <c r="E967" s="36"/>
      <c r="F967" s="36"/>
      <c r="G967" s="87"/>
    </row>
    <row r="968" spans="1:7" ht="14.25" customHeight="1" x14ac:dyDescent="0.3">
      <c r="A968" s="85"/>
      <c r="B968" s="86"/>
      <c r="C968" s="92"/>
      <c r="D968" s="34"/>
      <c r="E968" s="36"/>
      <c r="F968" s="36"/>
      <c r="G968" s="87"/>
    </row>
    <row r="969" spans="1:7" ht="14.25" customHeight="1" x14ac:dyDescent="0.3">
      <c r="A969" s="85"/>
      <c r="B969" s="86"/>
      <c r="C969" s="92"/>
      <c r="D969" s="34"/>
      <c r="E969" s="36"/>
      <c r="F969" s="36"/>
      <c r="G969" s="87"/>
    </row>
    <row r="970" spans="1:7" ht="14.25" customHeight="1" x14ac:dyDescent="0.3">
      <c r="A970" s="85"/>
      <c r="B970" s="86"/>
      <c r="C970" s="92"/>
      <c r="D970" s="34"/>
      <c r="E970" s="36"/>
      <c r="F970" s="36"/>
      <c r="G970" s="87"/>
    </row>
    <row r="971" spans="1:7" ht="14.25" customHeight="1" x14ac:dyDescent="0.3">
      <c r="A971" s="85"/>
      <c r="B971" s="86"/>
      <c r="C971" s="92"/>
      <c r="D971" s="34"/>
      <c r="E971" s="36"/>
      <c r="F971" s="36"/>
      <c r="G971" s="87"/>
    </row>
    <row r="972" spans="1:7" ht="14.25" customHeight="1" x14ac:dyDescent="0.3">
      <c r="A972" s="85"/>
      <c r="B972" s="86"/>
      <c r="C972" s="92"/>
      <c r="D972" s="34"/>
      <c r="E972" s="36"/>
      <c r="F972" s="36"/>
      <c r="G972" s="87"/>
    </row>
    <row r="973" spans="1:7" ht="14.25" customHeight="1" x14ac:dyDescent="0.3">
      <c r="A973" s="85"/>
      <c r="B973" s="86"/>
      <c r="C973" s="92"/>
      <c r="D973" s="34"/>
      <c r="E973" s="36"/>
      <c r="F973" s="36"/>
      <c r="G973" s="87"/>
    </row>
    <row r="974" spans="1:7" ht="14.25" customHeight="1" x14ac:dyDescent="0.3">
      <c r="A974" s="85"/>
      <c r="B974" s="86"/>
      <c r="C974" s="92"/>
      <c r="D974" s="34"/>
      <c r="E974" s="36"/>
      <c r="F974" s="36"/>
      <c r="G974" s="87"/>
    </row>
    <row r="975" spans="1:7" ht="14.25" customHeight="1" x14ac:dyDescent="0.3">
      <c r="A975" s="85"/>
      <c r="B975" s="86"/>
      <c r="C975" s="92"/>
      <c r="D975" s="34"/>
      <c r="E975" s="36"/>
      <c r="F975" s="36"/>
      <c r="G975" s="87"/>
    </row>
    <row r="976" spans="1:7" ht="14.25" customHeight="1" x14ac:dyDescent="0.3">
      <c r="A976" s="85"/>
      <c r="B976" s="86"/>
      <c r="C976" s="92"/>
      <c r="D976" s="34"/>
      <c r="E976" s="36"/>
      <c r="F976" s="36"/>
      <c r="G976" s="87"/>
    </row>
    <row r="977" spans="1:7" ht="14.25" customHeight="1" x14ac:dyDescent="0.3">
      <c r="A977" s="85"/>
      <c r="B977" s="86"/>
      <c r="C977" s="92"/>
      <c r="D977" s="34"/>
      <c r="E977" s="36"/>
      <c r="F977" s="36"/>
      <c r="G977" s="87"/>
    </row>
    <row r="978" spans="1:7" ht="14.25" customHeight="1" x14ac:dyDescent="0.3">
      <c r="A978" s="85"/>
      <c r="B978" s="86"/>
      <c r="C978" s="92"/>
      <c r="D978" s="34"/>
      <c r="E978" s="36"/>
      <c r="F978" s="36"/>
      <c r="G978" s="87"/>
    </row>
    <row r="979" spans="1:7" ht="14.25" customHeight="1" x14ac:dyDescent="0.3">
      <c r="A979" s="85"/>
      <c r="B979" s="86"/>
      <c r="C979" s="92"/>
      <c r="D979" s="34"/>
      <c r="E979" s="36"/>
      <c r="F979" s="36"/>
      <c r="G979" s="87"/>
    </row>
    <row r="980" spans="1:7" ht="14.25" customHeight="1" x14ac:dyDescent="0.3">
      <c r="A980" s="85"/>
      <c r="B980" s="86"/>
      <c r="C980" s="92"/>
      <c r="D980" s="34"/>
      <c r="E980" s="36"/>
      <c r="F980" s="36"/>
      <c r="G980" s="87"/>
    </row>
    <row r="981" spans="1:7" ht="14.25" customHeight="1" x14ac:dyDescent="0.3">
      <c r="A981" s="85"/>
      <c r="B981" s="86"/>
      <c r="C981" s="92"/>
      <c r="D981" s="34"/>
      <c r="E981" s="36"/>
      <c r="F981" s="36"/>
      <c r="G981" s="87"/>
    </row>
    <row r="982" spans="1:7" ht="14.25" customHeight="1" x14ac:dyDescent="0.3">
      <c r="A982" s="85"/>
      <c r="B982" s="86"/>
      <c r="C982" s="92"/>
      <c r="D982" s="34"/>
      <c r="E982" s="36"/>
      <c r="F982" s="36"/>
      <c r="G982" s="87"/>
    </row>
    <row r="983" spans="1:7" ht="14.25" customHeight="1" x14ac:dyDescent="0.3">
      <c r="A983" s="85"/>
      <c r="B983" s="86"/>
      <c r="C983" s="92"/>
      <c r="D983" s="34"/>
      <c r="E983" s="36"/>
      <c r="F983" s="36"/>
      <c r="G983" s="87"/>
    </row>
    <row r="984" spans="1:7" ht="14.25" customHeight="1" x14ac:dyDescent="0.3">
      <c r="A984" s="85"/>
      <c r="B984" s="86"/>
      <c r="C984" s="92"/>
      <c r="D984" s="34"/>
      <c r="E984" s="36"/>
      <c r="F984" s="36"/>
      <c r="G984" s="87"/>
    </row>
    <row r="985" spans="1:7" ht="14.25" customHeight="1" x14ac:dyDescent="0.3">
      <c r="A985" s="85"/>
      <c r="B985" s="86"/>
      <c r="C985" s="92"/>
      <c r="D985" s="34"/>
      <c r="E985" s="36"/>
      <c r="F985" s="36"/>
      <c r="G985" s="87"/>
    </row>
    <row r="986" spans="1:7" ht="14.25" customHeight="1" x14ac:dyDescent="0.3">
      <c r="A986" s="85"/>
      <c r="B986" s="86"/>
      <c r="C986" s="92"/>
      <c r="D986" s="34"/>
      <c r="E986" s="36"/>
      <c r="F986" s="36"/>
      <c r="G986" s="87"/>
    </row>
    <row r="987" spans="1:7" ht="14.25" customHeight="1" x14ac:dyDescent="0.3">
      <c r="A987" s="85"/>
      <c r="B987" s="86"/>
      <c r="C987" s="92"/>
      <c r="D987" s="34"/>
      <c r="E987" s="36"/>
      <c r="F987" s="36"/>
      <c r="G987" s="87"/>
    </row>
    <row r="988" spans="1:7" ht="14.25" customHeight="1" x14ac:dyDescent="0.3">
      <c r="A988" s="85"/>
      <c r="B988" s="86"/>
      <c r="C988" s="92"/>
      <c r="D988" s="34"/>
      <c r="E988" s="36"/>
      <c r="F988" s="36"/>
      <c r="G988" s="87"/>
    </row>
    <row r="989" spans="1:7" ht="14.25" customHeight="1" x14ac:dyDescent="0.3">
      <c r="A989" s="85"/>
      <c r="B989" s="86"/>
      <c r="C989" s="92"/>
      <c r="D989" s="34"/>
      <c r="E989" s="36"/>
      <c r="F989" s="36"/>
      <c r="G989" s="87"/>
    </row>
    <row r="990" spans="1:7" ht="14.25" customHeight="1" x14ac:dyDescent="0.3">
      <c r="A990" s="85"/>
      <c r="B990" s="86"/>
      <c r="C990" s="92"/>
      <c r="D990" s="34"/>
      <c r="E990" s="36"/>
      <c r="F990" s="36"/>
      <c r="G990" s="87"/>
    </row>
    <row r="991" spans="1:7" ht="14.25" customHeight="1" x14ac:dyDescent="0.3">
      <c r="A991" s="85"/>
      <c r="B991" s="86"/>
      <c r="C991" s="92"/>
      <c r="D991" s="34"/>
      <c r="E991" s="36"/>
      <c r="F991" s="36"/>
      <c r="G991" s="87"/>
    </row>
    <row r="992" spans="1:7" ht="14.25" customHeight="1" x14ac:dyDescent="0.3">
      <c r="A992" s="85"/>
      <c r="B992" s="86"/>
      <c r="C992" s="92"/>
      <c r="D992" s="34"/>
      <c r="E992" s="36"/>
      <c r="F992" s="36"/>
      <c r="G992" s="87"/>
    </row>
    <row r="993" spans="1:7" ht="14.25" customHeight="1" x14ac:dyDescent="0.3">
      <c r="A993" s="85"/>
      <c r="B993" s="86"/>
      <c r="C993" s="92"/>
      <c r="D993" s="34"/>
      <c r="E993" s="36"/>
      <c r="F993" s="36"/>
      <c r="G993" s="87"/>
    </row>
    <row r="994" spans="1:7" ht="14.25" customHeight="1" x14ac:dyDescent="0.3">
      <c r="A994" s="85"/>
      <c r="B994" s="86"/>
      <c r="C994" s="92"/>
      <c r="D994" s="34"/>
      <c r="E994" s="36"/>
      <c r="F994" s="36"/>
      <c r="G994" s="87"/>
    </row>
    <row r="995" spans="1:7" ht="14.25" customHeight="1" x14ac:dyDescent="0.3">
      <c r="A995" s="85"/>
      <c r="B995" s="86"/>
      <c r="C995" s="92"/>
      <c r="D995" s="34"/>
      <c r="E995" s="36"/>
      <c r="F995" s="36"/>
      <c r="G995" s="87"/>
    </row>
    <row r="996" spans="1:7" ht="14.25" customHeight="1" x14ac:dyDescent="0.3">
      <c r="A996" s="85"/>
      <c r="B996" s="86"/>
      <c r="C996" s="92"/>
      <c r="D996" s="34"/>
      <c r="E996" s="36"/>
      <c r="F996" s="36"/>
      <c r="G996" s="87"/>
    </row>
    <row r="997" spans="1:7" ht="14.25" customHeight="1" x14ac:dyDescent="0.3">
      <c r="A997" s="85"/>
      <c r="B997" s="86"/>
      <c r="C997" s="92"/>
      <c r="D997" s="34"/>
      <c r="E997" s="36"/>
      <c r="F997" s="36"/>
      <c r="G997" s="87"/>
    </row>
    <row r="998" spans="1:7" ht="14.25" customHeight="1" x14ac:dyDescent="0.3">
      <c r="A998" s="85"/>
      <c r="B998" s="86"/>
      <c r="C998" s="92"/>
      <c r="D998" s="34"/>
      <c r="E998" s="36"/>
      <c r="F998" s="36"/>
      <c r="G998" s="87"/>
    </row>
    <row r="999" spans="1:7" ht="14.25" customHeight="1" x14ac:dyDescent="0.3">
      <c r="A999" s="85"/>
      <c r="B999" s="86"/>
      <c r="C999" s="92"/>
      <c r="D999" s="34"/>
      <c r="E999" s="36"/>
      <c r="F999" s="36"/>
      <c r="G999" s="87"/>
    </row>
    <row r="1000" spans="1:7" ht="14.25" customHeight="1" x14ac:dyDescent="0.3">
      <c r="A1000" s="85"/>
      <c r="B1000" s="86"/>
      <c r="C1000" s="92"/>
      <c r="D1000" s="34"/>
      <c r="E1000" s="36"/>
      <c r="F1000" s="36"/>
      <c r="G1000" s="87"/>
    </row>
  </sheetData>
  <pageMargins left="0.75" right="0.75" top="1" bottom="1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0C1997-E331-4750-A93E-E60EB17D4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Task-1</vt:lpstr>
      <vt:lpstr>Task1_Cleaned_Posts</vt:lpstr>
      <vt:lpstr>Task1_Cleaned_Engagement</vt:lpstr>
      <vt:lpstr>Task1_Cleaned_Campaign</vt:lpstr>
      <vt:lpstr>Task-2</vt:lpstr>
      <vt:lpstr>Task-2.2-Top_10_Posts</vt:lpstr>
      <vt:lpstr>Sheet7</vt:lpstr>
      <vt:lpstr>Sheet9</vt:lpstr>
      <vt:lpstr>Task-3</vt:lpstr>
      <vt:lpstr>Task-3-Continue</vt:lpstr>
      <vt:lpstr>Task-4</vt:lpstr>
      <vt:lpstr>Detail1</vt:lpstr>
      <vt:lpstr>Task-4-Continue..</vt:lpstr>
      <vt:lpstr>Task 5.1</vt:lpstr>
      <vt:lpstr>Task 5.2</vt:lpstr>
      <vt:lpstr>Task-5-Insights</vt:lpstr>
      <vt:lpstr>Task-6.1</vt:lpstr>
      <vt:lpstr>Sheet36</vt:lpstr>
      <vt:lpstr>Task-6.2</vt:lpstr>
      <vt:lpstr>Sheet37</vt:lpstr>
      <vt:lpstr>Task-6.3</vt:lpstr>
      <vt:lpstr>Cleaned_Posts_Dataset</vt:lpstr>
      <vt:lpstr>Sheet2</vt:lpstr>
      <vt:lpstr>Task-5.4</vt:lpstr>
      <vt:lpstr>Cleaned_Engagement_Summary</vt:lpstr>
      <vt:lpstr>Posts</vt:lpstr>
      <vt:lpstr>Sheet12</vt:lpstr>
      <vt:lpstr>Engagement Summary</vt:lpstr>
      <vt:lpstr>Cleaned_Campaign_Metadata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Poorani</dc:creator>
  <cp:lastModifiedBy>Annapoorani R</cp:lastModifiedBy>
  <dcterms:created xsi:type="dcterms:W3CDTF">2025-11-13T14:07:37Z</dcterms:created>
  <dcterms:modified xsi:type="dcterms:W3CDTF">2025-11-13T20:13:33Z</dcterms:modified>
</cp:coreProperties>
</file>